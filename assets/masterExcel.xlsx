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Lancaster Hotel" sheetId="2" r:id="rId5"/>
    <sheet state="visible" name="Concord Manor Apts" sheetId="3" r:id="rId6"/>
    <sheet state="visible" name="Bavarian Village" sheetId="4" r:id="rId7"/>
    <sheet state="visible" name="Glasstown Holdings" sheetId="5" r:id="rId8"/>
    <sheet state="visible" name="Rain Tree Apts" sheetId="6" r:id="rId9"/>
    <sheet state="visible" name="RDE Central" sheetId="7" r:id="rId10"/>
    <sheet state="visible" name="ENPH" sheetId="8" r:id="rId11"/>
    <sheet state="visible" name="RD Sidney" sheetId="9" r:id="rId12"/>
    <sheet state="visible" name="New Lex MHP" sheetId="10" r:id="rId13"/>
    <sheet state="visible" name="TRS Portfolio" sheetId="11" r:id="rId14"/>
    <sheet state="visible" name="MT Vernon Studios" sheetId="12" r:id="rId15"/>
  </sheets>
  <definedNames/>
  <calcPr/>
  <extLst>
    <ext uri="GoogleSheetsCustomDataVersion2">
      <go:sheetsCustomData xmlns:go="http://customooxmlschemas.google.com/" r:id="rId16" roundtripDataChecksum="8X01v4vFiLE2WAijKxHUI5dKSFE0APM8kfYE6+Ts+Xw="/>
    </ext>
  </extLst>
</workbook>
</file>

<file path=xl/sharedStrings.xml><?xml version="1.0" encoding="utf-8"?>
<sst xmlns="http://schemas.openxmlformats.org/spreadsheetml/2006/main" count="767" uniqueCount="148">
  <si>
    <t>General Notes</t>
  </si>
  <si>
    <t>Total Revenue Projected Monthly</t>
  </si>
  <si>
    <t>Revenue Projections are based on rental income only</t>
  </si>
  <si>
    <t>Total Expenses Projected Monthly</t>
  </si>
  <si>
    <t>Expenses include (Taxes, Insurance, Mortgage Interest, Management, Utilities, R&amp;M, Turns)</t>
  </si>
  <si>
    <t>Total Net Income Projected Monthly</t>
  </si>
  <si>
    <t>Vacancy is pre-factored into revenue projections</t>
  </si>
  <si>
    <t>Building Improvement Expenses Tagged on far right not in monthly expense actual figure</t>
  </si>
  <si>
    <t>Total Revenue Projected Annual</t>
  </si>
  <si>
    <t>MT Vernon Not Calculated in Dashboard</t>
  </si>
  <si>
    <t>Total Expenses Projected Annual</t>
  </si>
  <si>
    <t xml:space="preserve">Cap Ex  &amp; Prop. Stab. staring in June is on the far right column but not factored into expenses. </t>
  </si>
  <si>
    <t>Total Net Income Projected Annual</t>
  </si>
  <si>
    <t>January</t>
  </si>
  <si>
    <t>Monthly Revenue</t>
  </si>
  <si>
    <t>Monthly Expenses</t>
  </si>
  <si>
    <t>Monthly Net Income</t>
  </si>
  <si>
    <t>February</t>
  </si>
  <si>
    <t>March</t>
  </si>
  <si>
    <t>April</t>
  </si>
  <si>
    <t>May</t>
  </si>
  <si>
    <t>June</t>
  </si>
  <si>
    <t>July</t>
  </si>
  <si>
    <t>August</t>
  </si>
  <si>
    <t>Septemeber</t>
  </si>
  <si>
    <t>October</t>
  </si>
  <si>
    <t>November</t>
  </si>
  <si>
    <t>December</t>
  </si>
  <si>
    <t>KEY</t>
  </si>
  <si>
    <t>Manual Input</t>
  </si>
  <si>
    <t>Owner Input or Formula</t>
  </si>
  <si>
    <t>Formula</t>
  </si>
  <si>
    <t># of Units</t>
  </si>
  <si>
    <t>KPI Tracker</t>
  </si>
  <si>
    <t>Week Ending Sunday</t>
  </si>
  <si>
    <t># of Occupied Units</t>
  </si>
  <si>
    <t>Occupancy %</t>
  </si>
  <si>
    <t>Total Leased Rent Amount $</t>
  </si>
  <si>
    <t>Average Rent</t>
  </si>
  <si>
    <t>Total Collections to Date $</t>
  </si>
  <si>
    <t>Collection Percentage</t>
  </si>
  <si>
    <t>Actual Revenue (Monthly Only)</t>
  </si>
  <si>
    <t>Budgeted Revenue (Monthly Only)</t>
  </si>
  <si>
    <t>Variance $</t>
  </si>
  <si>
    <t>Variance %</t>
  </si>
  <si>
    <t>Actual Expense (Monthly Only)</t>
  </si>
  <si>
    <t>Budgeted Expense (Monthly Only</t>
  </si>
  <si>
    <t>Net Income</t>
  </si>
  <si>
    <t>Net Income Budgeteted</t>
  </si>
  <si>
    <t>Total Expenses</t>
  </si>
  <si>
    <t>123 N Broad Street, Lancaster, Ohio 43130</t>
  </si>
  <si>
    <t>Monthly Target</t>
  </si>
  <si>
    <t>Dual Lease Option Expense paid on the 29th of January</t>
  </si>
  <si>
    <t>$3500 in Building imrpovements NOT included in expenses</t>
  </si>
  <si>
    <t>$1,060 building improvements and 6 months proeprty taxes</t>
  </si>
  <si>
    <t>$7,300 in Building Improvements (Lowes Materials for Unit Turns)</t>
  </si>
  <si>
    <t>$1000 additional in building improvements</t>
  </si>
  <si>
    <t>Property Taxes and Gas Leak 10k building imrovments</t>
  </si>
  <si>
    <t>Utilities over 10k a month</t>
  </si>
  <si>
    <t>Turn repositions</t>
  </si>
  <si>
    <t>21</t>
  </si>
  <si>
    <t>Annual Total</t>
  </si>
  <si>
    <t>**</t>
  </si>
  <si>
    <t>Concord Manor Apartments</t>
  </si>
  <si>
    <t>Net Income Budgeted</t>
  </si>
  <si>
    <t>Notes:</t>
  </si>
  <si>
    <t>123 &amp; 129 W Walnut Street, Lancaster, Ohio 43130</t>
  </si>
  <si>
    <t>$23,125 in building improvements not included in expenses</t>
  </si>
  <si>
    <t>$4,000 appraisal fee</t>
  </si>
  <si>
    <t>Additional $6700 in building improvments for sewer project</t>
  </si>
  <si>
    <t>5980 In Building Improvmeents 129 Sewer Project ($20,000 in R&amp;M in house for sewer project as well)</t>
  </si>
  <si>
    <t>8,000 in building improvements property taxes</t>
  </si>
  <si>
    <t>Heavy Turn 129 J</t>
  </si>
  <si>
    <t>15k in unit turns and (15k sewer replacment not included)</t>
  </si>
  <si>
    <t>34</t>
  </si>
  <si>
    <t>No Property Stabalization factored into Total Expenses / Total Expenses Budgeted</t>
  </si>
  <si>
    <t>250 Angle Street</t>
  </si>
  <si>
    <t xml:space="preserve">250 Angle Street, Bremen, Ohio </t>
  </si>
  <si>
    <t>OUCU double mortgage payment</t>
  </si>
  <si>
    <t>Mortgage credited in June and double payment the month before</t>
  </si>
  <si>
    <t>Double Mortgage Payment &amp; prepaid rent reduced income</t>
  </si>
  <si>
    <t>Property Taxes</t>
  </si>
  <si>
    <t>Property Insurance for the year</t>
  </si>
  <si>
    <t>19</t>
  </si>
  <si>
    <t>Slocum &amp; 6th</t>
  </si>
  <si>
    <t>709 W 6th and 234 Slocum Ave Lancaster, Ohio 43130 (6 &amp; 10 unit)</t>
  </si>
  <si>
    <t>Paid Property Insurance for the year</t>
  </si>
  <si>
    <t>$769 in building improvements not in expenses. &amp; property taxes 1/2 year paid</t>
  </si>
  <si>
    <t>$6,200 property insurance for the year</t>
  </si>
  <si>
    <t>Flood insuranc eon Slocum for the year</t>
  </si>
  <si>
    <t>Stellar</t>
  </si>
  <si>
    <t>16</t>
  </si>
  <si>
    <t>Rain Tree Apartments</t>
  </si>
  <si>
    <t>1442 Tiki Lane, Lancaster, Ohio 43130</t>
  </si>
  <si>
    <t xml:space="preserve">Really high water bill (addressed) </t>
  </si>
  <si>
    <t>$730 building improvements not in expenses. (1/2 year property taxes paid)</t>
  </si>
  <si>
    <t>$2,500 building improvements</t>
  </si>
  <si>
    <t>No OUCU mortgage in April</t>
  </si>
  <si>
    <t>Property Insurance For Year</t>
  </si>
  <si>
    <t>8</t>
  </si>
  <si>
    <t>RDE Central</t>
  </si>
  <si>
    <t>3/16/2025 up to 17 Units</t>
  </si>
  <si>
    <t>1153-1155 N Columbus, 1233 Williams, 508 N Columbus, 530-532 N Columbus, 544-566 E Wheeling</t>
  </si>
  <si>
    <t>$9,000 in building improvements not in expenses (1/2 year property taxes paid)</t>
  </si>
  <si>
    <t>$15,000 Building Improvements Sweeneys</t>
  </si>
  <si>
    <t>$4,000 in building improvments on Sweeneys</t>
  </si>
  <si>
    <t>18000 in building improvements mostly Sweeneys</t>
  </si>
  <si>
    <t>20,000 in building improvements and property taxes</t>
  </si>
  <si>
    <t>Plus $8,500 in property stabalization</t>
  </si>
  <si>
    <t>Plus Sweeneys 10k Building Improvements</t>
  </si>
  <si>
    <t>Plus $56,000 in Stabalization mostly Sweeneys</t>
  </si>
  <si>
    <t>18</t>
  </si>
  <si>
    <t>ENPH</t>
  </si>
  <si>
    <t xml:space="preserve">AO 4/1 </t>
  </si>
  <si>
    <t>AO 4/20</t>
  </si>
  <si>
    <t>122 Harrison, 730 E Mulberry, 410 W Wheeling, 129 E Chestnut, 620 N Zane, 434 N Maple, 720 Hubert, 1215 N Columbus, 1401 W Mulberry (Garage)</t>
  </si>
  <si>
    <t>Property Tax payment for non escrowed properties</t>
  </si>
  <si>
    <t>1/2 year property taxes and $3700 in building improvements not included</t>
  </si>
  <si>
    <t>$6,000 building improvements 1401 Mulberry and $2700 apraisal costs</t>
  </si>
  <si>
    <t>$11000 in building improvements on 1401 W Mulberry and N Maple Sidewalk</t>
  </si>
  <si>
    <t>New Roof on Chestnut and Ac 1215 ($10,000 in building improvements EXPENSED)</t>
  </si>
  <si>
    <t>Fuller &amp; 1101 Unit Turns</t>
  </si>
  <si>
    <t>Plus $3,600 in Building Improvements (Heavy Unit Turns)</t>
  </si>
  <si>
    <t>16k in unit turn expenses mostly 720 Hubert</t>
  </si>
  <si>
    <t>10k unit turn expenses</t>
  </si>
  <si>
    <t>22</t>
  </si>
  <si>
    <t>RD Sidney</t>
  </si>
  <si>
    <t>431 N Miami, 509 S Miami, 824 Spruce</t>
  </si>
  <si>
    <r>
      <rPr>
        <rFont val="Arial"/>
        <color rgb="FF000000"/>
        <sz val="12.0"/>
        <u/>
      </rPr>
      <t>https://bhhsprofessionalrealty.managebuilding.com/manager/app/accounting/rental-owner-financials</t>
    </r>
    <r>
      <rPr>
        <rFont val="Arial"/>
        <color theme="1"/>
        <sz val="12.0"/>
      </rPr>
      <t xml:space="preserve">  MIAMI</t>
    </r>
  </si>
  <si>
    <r>
      <rPr>
        <rFont val="Arial"/>
        <color rgb="FF000000"/>
        <sz val="12.0"/>
        <u/>
      </rPr>
      <t>https://bhhsprofessionalrealty.managebuilding.com/manager/app/reports/list</t>
    </r>
    <r>
      <rPr>
        <rFont val="Arial"/>
        <color theme="1"/>
        <sz val="12.0"/>
      </rPr>
      <t xml:space="preserve"> S Miami &amp; Spruce</t>
    </r>
  </si>
  <si>
    <t>New Lex MHP</t>
  </si>
  <si>
    <t>Net Income Projected</t>
  </si>
  <si>
    <t xml:space="preserve">308 W Broadway Street, New Lexington Ohio (21 Real Pads) </t>
  </si>
  <si>
    <t>Back paid Insurance owed to RDE and 1/2 year property taxes</t>
  </si>
  <si>
    <t>Trailer Turn Expenses $5,000</t>
  </si>
  <si>
    <t>MH Turns for Sell Offs</t>
  </si>
  <si>
    <t>Property Taxes &amp; Unit Turns</t>
  </si>
  <si>
    <t>Plus $14,000 MH sale income</t>
  </si>
  <si>
    <t>TRS Portfolio</t>
  </si>
  <si>
    <t>Clean</t>
  </si>
  <si>
    <t xml:space="preserve">Mt Vernon </t>
  </si>
  <si>
    <t>Property Insurance for the year and an additional $28,000 in building improvmeents</t>
  </si>
  <si>
    <t>$28,000 in building improvements / proeprty stabalization not in Expense number</t>
  </si>
  <si>
    <t>$49,000 in Property Stabalization &amp; Building Improvements</t>
  </si>
  <si>
    <t>PLus $29,000 in building improvements</t>
  </si>
  <si>
    <t>PLus $38,280 in building improvements</t>
  </si>
  <si>
    <t>Plus 37k property stabalization</t>
  </si>
  <si>
    <t>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</si>
</sst>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&quot;$&quot;#,##0"/>
    <numFmt numFmtId="166" formatCode="_(&quot;$&quot;* #,##0.00_);_(&quot;$&quot;* \(#,##0.00\);_(&quot;$&quot;* &quot;-&quot;??_);_(@_)"/>
    <numFmt numFmtId="167" formatCode="0.0%"/>
    <numFmt numFmtId="168" formatCode="m/d/yyyy"/>
  </numFmts>
  <fonts count="14">
    <font>
      <sz val="12.0"/>
      <color theme="1"/>
      <name val="Calibri"/>
      <scheme val="minor"/>
    </font>
    <font>
      <b/>
      <sz val="20.0"/>
      <color theme="1"/>
      <name val="Calibri"/>
      <scheme val="minor"/>
    </font>
    <font/>
    <font>
      <color theme="1"/>
      <name val="Calibri"/>
      <scheme val="minor"/>
    </font>
    <font>
      <b/>
      <color theme="1"/>
      <name val="Calibri"/>
      <scheme val="minor"/>
    </font>
    <font>
      <sz val="12.0"/>
      <color theme="0"/>
      <name val="Arial"/>
    </font>
    <font>
      <sz val="12.0"/>
      <color theme="1"/>
      <name val="Arial"/>
    </font>
    <font>
      <b/>
      <sz val="16.0"/>
      <color rgb="FFFFFFFF"/>
      <name val="Arial"/>
    </font>
    <font>
      <b/>
      <sz val="16.0"/>
      <color theme="0"/>
      <name val="Arial"/>
    </font>
    <font>
      <b/>
      <sz val="16.0"/>
      <color rgb="FFD8D8D8"/>
      <name val="Arial"/>
    </font>
    <font>
      <b/>
      <sz val="12.0"/>
      <color theme="1"/>
      <name val="Arial"/>
    </font>
    <font>
      <sz val="12.0"/>
      <color rgb="FFFFFFFF"/>
      <name val="Arial"/>
    </font>
    <font>
      <b/>
      <sz val="12.0"/>
      <color rgb="FFFFFFFF"/>
      <name val="Arial"/>
    </font>
    <font>
      <u/>
      <sz val="12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002060"/>
        <bgColor rgb="FF002060"/>
      </patternFill>
    </fill>
    <fill>
      <patternFill patternType="solid">
        <fgColor rgb="FFD9E2F3"/>
        <bgColor rgb="FFD9E2F3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AEABAB"/>
        <bgColor rgb="FFAEABAB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2F5496"/>
        <bgColor rgb="FF2F5496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</fills>
  <borders count="2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readingOrder="0"/>
    </xf>
    <xf borderId="3" fillId="3" fontId="3" numFmtId="164" xfId="0" applyBorder="1" applyFont="1" applyNumberFormat="1"/>
    <xf borderId="4" fillId="0" fontId="3" numFmtId="0" xfId="0" applyAlignment="1" applyBorder="1" applyFont="1">
      <alignment readingOrder="0"/>
    </xf>
    <xf borderId="5" fillId="0" fontId="2" numFmtId="0" xfId="0" applyBorder="1" applyFont="1"/>
    <xf borderId="4" fillId="4" fontId="3" numFmtId="0" xfId="0" applyAlignment="1" applyBorder="1" applyFill="1" applyFont="1">
      <alignment readingOrder="0"/>
    </xf>
    <xf borderId="5" fillId="4" fontId="3" numFmtId="164" xfId="0" applyBorder="1" applyFont="1" applyNumberFormat="1"/>
    <xf borderId="6" fillId="3" fontId="3" numFmtId="0" xfId="0" applyAlignment="1" applyBorder="1" applyFont="1">
      <alignment readingOrder="0"/>
    </xf>
    <xf borderId="7" fillId="3" fontId="3" numFmtId="164" xfId="0" applyBorder="1" applyFont="1" applyNumberFormat="1"/>
    <xf borderId="4" fillId="0" fontId="3" numFmtId="0" xfId="0" applyBorder="1" applyFont="1"/>
    <xf borderId="6" fillId="0" fontId="3" numFmtId="0" xfId="0" applyBorder="1" applyFont="1"/>
    <xf borderId="8" fillId="0" fontId="2" numFmtId="0" xfId="0" applyBorder="1" applyFont="1"/>
    <xf borderId="7" fillId="0" fontId="2" numFmtId="0" xfId="0" applyBorder="1" applyFont="1"/>
    <xf borderId="9" fillId="4" fontId="4" numFmtId="0" xfId="0" applyAlignment="1" applyBorder="1" applyFont="1">
      <alignment readingOrder="0"/>
    </xf>
    <xf borderId="10" fillId="4" fontId="3" numFmtId="0" xfId="0" applyBorder="1" applyFont="1"/>
    <xf borderId="4" fillId="5" fontId="3" numFmtId="0" xfId="0" applyAlignment="1" applyBorder="1" applyFill="1" applyFont="1">
      <alignment readingOrder="0"/>
    </xf>
    <xf borderId="5" fillId="3" fontId="3" numFmtId="165" xfId="0" applyBorder="1" applyFont="1" applyNumberFormat="1"/>
    <xf borderId="6" fillId="5" fontId="3" numFmtId="0" xfId="0" applyAlignment="1" applyBorder="1" applyFont="1">
      <alignment readingOrder="0"/>
    </xf>
    <xf borderId="7" fillId="3" fontId="3" numFmtId="165" xfId="0" applyBorder="1" applyFont="1" applyNumberFormat="1"/>
    <xf borderId="0" fillId="0" fontId="3" numFmtId="0" xfId="0" applyAlignment="1" applyFont="1">
      <alignment readingOrder="0"/>
    </xf>
    <xf borderId="5" fillId="3" fontId="3" numFmtId="0" xfId="0" applyBorder="1" applyFont="1"/>
    <xf borderId="7" fillId="3" fontId="3" numFmtId="0" xfId="0" applyBorder="1" applyFont="1"/>
    <xf borderId="11" fillId="6" fontId="5" numFmtId="14" xfId="0" applyAlignment="1" applyBorder="1" applyFill="1" applyFont="1" applyNumberFormat="1">
      <alignment horizontal="left"/>
    </xf>
    <xf borderId="11" fillId="6" fontId="6" numFmtId="166" xfId="0" applyAlignment="1" applyBorder="1" applyFont="1" applyNumberFormat="1">
      <alignment horizontal="left"/>
    </xf>
    <xf borderId="11" fillId="6" fontId="6" numFmtId="166" xfId="0" applyAlignment="1" applyBorder="1" applyFont="1" applyNumberFormat="1">
      <alignment horizontal="center"/>
    </xf>
    <xf borderId="11" fillId="6" fontId="6" numFmtId="0" xfId="0" applyAlignment="1" applyBorder="1" applyFont="1">
      <alignment horizontal="left"/>
    </xf>
    <xf borderId="11" fillId="6" fontId="6" numFmtId="0" xfId="0" applyAlignment="1" applyBorder="1" applyFont="1">
      <alignment horizontal="center"/>
    </xf>
    <xf borderId="11" fillId="6" fontId="6" numFmtId="9" xfId="0" applyAlignment="1" applyBorder="1" applyFont="1" applyNumberFormat="1">
      <alignment horizontal="left"/>
    </xf>
    <xf borderId="12" fillId="7" fontId="6" numFmtId="14" xfId="0" applyAlignment="1" applyBorder="1" applyFill="1" applyFont="1" applyNumberFormat="1">
      <alignment horizontal="left"/>
    </xf>
    <xf borderId="12" fillId="8" fontId="6" numFmtId="14" xfId="0" applyAlignment="1" applyBorder="1" applyFill="1" applyFont="1" applyNumberFormat="1">
      <alignment horizontal="left"/>
    </xf>
    <xf borderId="12" fillId="9" fontId="6" numFmtId="14" xfId="0" applyAlignment="1" applyBorder="1" applyFill="1" applyFont="1" applyNumberFormat="1">
      <alignment horizontal="left"/>
    </xf>
    <xf borderId="11" fillId="6" fontId="7" numFmtId="166" xfId="0" applyAlignment="1" applyBorder="1" applyFont="1" applyNumberFormat="1">
      <alignment horizontal="left"/>
    </xf>
    <xf borderId="11" fillId="6" fontId="8" numFmtId="9" xfId="0" applyAlignment="1" applyBorder="1" applyFont="1" applyNumberFormat="1">
      <alignment horizontal="left"/>
    </xf>
    <xf borderId="11" fillId="6" fontId="9" numFmtId="14" xfId="0" applyAlignment="1" applyBorder="1" applyFont="1" applyNumberFormat="1">
      <alignment horizontal="left"/>
    </xf>
    <xf borderId="11" fillId="6" fontId="8" numFmtId="166" xfId="0" applyAlignment="1" applyBorder="1" applyFont="1" applyNumberFormat="1">
      <alignment horizontal="left"/>
    </xf>
    <xf borderId="11" fillId="6" fontId="7" numFmtId="1" xfId="0" applyAlignment="1" applyBorder="1" applyFont="1" applyNumberFormat="1">
      <alignment horizontal="left" readingOrder="0"/>
    </xf>
    <xf borderId="11" fillId="6" fontId="9" numFmtId="0" xfId="0" applyAlignment="1" applyBorder="1" applyFont="1">
      <alignment horizontal="left"/>
    </xf>
    <xf borderId="11" fillId="6" fontId="6" numFmtId="14" xfId="0" applyAlignment="1" applyBorder="1" applyFont="1" applyNumberFormat="1">
      <alignment horizontal="left"/>
    </xf>
    <xf borderId="11" fillId="10" fontId="10" numFmtId="14" xfId="0" applyAlignment="1" applyBorder="1" applyFill="1" applyFont="1" applyNumberFormat="1">
      <alignment horizontal="center" shrinkToFit="0" wrapText="1"/>
    </xf>
    <xf borderId="11" fillId="10" fontId="10" numFmtId="166" xfId="0" applyAlignment="1" applyBorder="1" applyFont="1" applyNumberFormat="1">
      <alignment horizontal="center" shrinkToFit="0" wrapText="1"/>
    </xf>
    <xf borderId="11" fillId="10" fontId="10" numFmtId="164" xfId="0" applyAlignment="1" applyBorder="1" applyFont="1" applyNumberFormat="1">
      <alignment horizontal="center" shrinkToFit="0" wrapText="1"/>
    </xf>
    <xf borderId="11" fillId="10" fontId="10" numFmtId="0" xfId="0" applyAlignment="1" applyBorder="1" applyFont="1">
      <alignment horizontal="center" shrinkToFit="0" wrapText="1"/>
    </xf>
    <xf borderId="11" fillId="10" fontId="10" numFmtId="9" xfId="0" applyAlignment="1" applyBorder="1" applyFont="1" applyNumberFormat="1">
      <alignment horizontal="center" shrinkToFit="0" wrapText="1"/>
    </xf>
    <xf borderId="11" fillId="10" fontId="10" numFmtId="0" xfId="0" applyAlignment="1" applyBorder="1" applyFont="1">
      <alignment horizontal="center" readingOrder="0" shrinkToFit="0" wrapText="1"/>
    </xf>
    <xf borderId="12" fillId="9" fontId="6" numFmtId="14" xfId="0" applyAlignment="1" applyBorder="1" applyFont="1" applyNumberFormat="1">
      <alignment horizontal="center" readingOrder="0"/>
    </xf>
    <xf borderId="13" fillId="11" fontId="6" numFmtId="1" xfId="0" applyAlignment="1" applyBorder="1" applyFill="1" applyFont="1" applyNumberFormat="1">
      <alignment horizontal="center" readingOrder="0"/>
    </xf>
    <xf borderId="12" fillId="9" fontId="6" numFmtId="9" xfId="0" applyAlignment="1" applyBorder="1" applyFont="1" applyNumberFormat="1">
      <alignment horizontal="center"/>
    </xf>
    <xf borderId="12" fillId="11" fontId="6" numFmtId="165" xfId="0" applyAlignment="1" applyBorder="1" applyFont="1" applyNumberFormat="1">
      <alignment horizontal="center" readingOrder="0"/>
    </xf>
    <xf borderId="12" fillId="9" fontId="6" numFmtId="165" xfId="0" applyAlignment="1" applyBorder="1" applyFont="1" applyNumberFormat="1">
      <alignment horizontal="center"/>
    </xf>
    <xf borderId="14" fillId="9" fontId="6" numFmtId="167" xfId="0" applyAlignment="1" applyBorder="1" applyFont="1" applyNumberFormat="1">
      <alignment horizontal="center"/>
    </xf>
    <xf borderId="15" fillId="12" fontId="6" numFmtId="165" xfId="0" applyAlignment="1" applyBorder="1" applyFill="1" applyFont="1" applyNumberFormat="1">
      <alignment horizontal="center"/>
    </xf>
    <xf borderId="12" fillId="0" fontId="6" numFmtId="165" xfId="0" applyAlignment="1" applyBorder="1" applyFont="1" applyNumberFormat="1">
      <alignment horizontal="center"/>
    </xf>
    <xf borderId="12" fillId="0" fontId="6" numFmtId="9" xfId="0" applyAlignment="1" applyBorder="1" applyFont="1" applyNumberFormat="1">
      <alignment horizontal="center"/>
    </xf>
    <xf borderId="12" fillId="9" fontId="6" numFmtId="0" xfId="0" applyAlignment="1" applyBorder="1" applyFont="1">
      <alignment readingOrder="0"/>
    </xf>
    <xf borderId="12" fillId="9" fontId="6" numFmtId="14" xfId="0" applyAlignment="1" applyBorder="1" applyFont="1" applyNumberFormat="1">
      <alignment horizontal="center"/>
    </xf>
    <xf borderId="16" fillId="12" fontId="6" numFmtId="165" xfId="0" applyAlignment="1" applyBorder="1" applyFont="1" applyNumberFormat="1">
      <alignment horizontal="center"/>
    </xf>
    <xf borderId="12" fillId="9" fontId="6" numFmtId="0" xfId="0" applyBorder="1" applyFont="1"/>
    <xf borderId="17" fillId="12" fontId="6" numFmtId="165" xfId="0" applyAlignment="1" applyBorder="1" applyFont="1" applyNumberFormat="1">
      <alignment horizontal="center"/>
    </xf>
    <xf borderId="12" fillId="8" fontId="6" numFmtId="14" xfId="0" applyAlignment="1" applyBorder="1" applyFont="1" applyNumberFormat="1">
      <alignment horizontal="center"/>
    </xf>
    <xf borderId="13" fillId="8" fontId="6" numFmtId="1" xfId="0" applyAlignment="1" applyBorder="1" applyFont="1" applyNumberFormat="1">
      <alignment horizontal="center" readingOrder="0"/>
    </xf>
    <xf borderId="12" fillId="7" fontId="6" numFmtId="9" xfId="0" applyAlignment="1" applyBorder="1" applyFont="1" applyNumberFormat="1">
      <alignment horizontal="center"/>
    </xf>
    <xf borderId="12" fillId="8" fontId="6" numFmtId="165" xfId="0" applyAlignment="1" applyBorder="1" applyFont="1" applyNumberFormat="1">
      <alignment horizontal="center" readingOrder="0"/>
    </xf>
    <xf borderId="12" fillId="7" fontId="6" numFmtId="164" xfId="0" applyAlignment="1" applyBorder="1" applyFont="1" applyNumberFormat="1">
      <alignment horizontal="center"/>
    </xf>
    <xf borderId="12" fillId="7" fontId="6" numFmtId="167" xfId="0" applyAlignment="1" applyBorder="1" applyFont="1" applyNumberFormat="1">
      <alignment horizontal="center"/>
    </xf>
    <xf borderId="12" fillId="7" fontId="6" numFmtId="165" xfId="0" applyAlignment="1" applyBorder="1" applyFont="1" applyNumberFormat="1">
      <alignment horizontal="center" readingOrder="0"/>
    </xf>
    <xf borderId="12" fillId="8" fontId="6" numFmtId="165" xfId="0" applyAlignment="1" applyBorder="1" applyFont="1" applyNumberFormat="1">
      <alignment horizontal="center"/>
    </xf>
    <xf borderId="12" fillId="8" fontId="6" numFmtId="9" xfId="0" applyAlignment="1" applyBorder="1" applyFont="1" applyNumberFormat="1">
      <alignment horizontal="center"/>
    </xf>
    <xf borderId="12" fillId="7" fontId="6" numFmtId="165" xfId="0" applyAlignment="1" applyBorder="1" applyFont="1" applyNumberFormat="1">
      <alignment horizontal="center"/>
    </xf>
    <xf borderId="12" fillId="8" fontId="6" numFmtId="0" xfId="0" applyAlignment="1" applyBorder="1" applyFont="1">
      <alignment readingOrder="0"/>
    </xf>
    <xf borderId="18" fillId="9" fontId="6" numFmtId="167" xfId="0" applyAlignment="1" applyBorder="1" applyFont="1" applyNumberFormat="1">
      <alignment horizontal="center"/>
    </xf>
    <xf borderId="19" fillId="12" fontId="6" numFmtId="165" xfId="0" applyAlignment="1" applyBorder="1" applyFont="1" applyNumberFormat="1">
      <alignment horizontal="center"/>
    </xf>
    <xf borderId="20" fillId="12" fontId="6" numFmtId="165" xfId="0" applyAlignment="1" applyBorder="1" applyFont="1" applyNumberFormat="1">
      <alignment horizontal="center"/>
    </xf>
    <xf borderId="21" fillId="0" fontId="6" numFmtId="165" xfId="0" applyAlignment="1" applyBorder="1" applyFont="1" applyNumberFormat="1">
      <alignment horizontal="center"/>
    </xf>
    <xf borderId="18" fillId="0" fontId="6" numFmtId="9" xfId="0" applyAlignment="1" applyBorder="1" applyFont="1" applyNumberFormat="1">
      <alignment horizontal="center"/>
    </xf>
    <xf borderId="21" fillId="0" fontId="6" numFmtId="9" xfId="0" applyAlignment="1" applyBorder="1" applyFont="1" applyNumberFormat="1">
      <alignment horizontal="center"/>
    </xf>
    <xf borderId="22" fillId="12" fontId="6" numFmtId="165" xfId="0" applyAlignment="1" applyBorder="1" applyFont="1" applyNumberFormat="1">
      <alignment horizontal="center"/>
    </xf>
    <xf borderId="12" fillId="9" fontId="6" numFmtId="167" xfId="0" applyAlignment="1" applyBorder="1" applyFont="1" applyNumberFormat="1">
      <alignment horizontal="center"/>
    </xf>
    <xf borderId="23" fillId="12" fontId="6" numFmtId="165" xfId="0" applyAlignment="1" applyBorder="1" applyFont="1" applyNumberFormat="1">
      <alignment horizontal="center"/>
    </xf>
    <xf borderId="0" fillId="12" fontId="6" numFmtId="165" xfId="0" applyAlignment="1" applyFont="1" applyNumberFormat="1">
      <alignment horizontal="center"/>
    </xf>
    <xf borderId="24" fillId="12" fontId="6" numFmtId="165" xfId="0" applyAlignment="1" applyBorder="1" applyFont="1" applyNumberFormat="1">
      <alignment horizontal="center"/>
    </xf>
    <xf borderId="16" fillId="7" fontId="6" numFmtId="165" xfId="0" applyAlignment="1" applyBorder="1" applyFont="1" applyNumberFormat="1">
      <alignment horizontal="center" readingOrder="0"/>
    </xf>
    <xf borderId="16" fillId="7" fontId="6" numFmtId="165" xfId="0" applyAlignment="1" applyBorder="1" applyFont="1" applyNumberFormat="1">
      <alignment horizontal="center"/>
    </xf>
    <xf borderId="12" fillId="13" fontId="6" numFmtId="14" xfId="0" applyAlignment="1" applyBorder="1" applyFill="1" applyFont="1" applyNumberFormat="1">
      <alignment horizontal="center"/>
    </xf>
    <xf borderId="12" fillId="0" fontId="6" numFmtId="0" xfId="0" applyBorder="1" applyFont="1"/>
    <xf borderId="12" fillId="8" fontId="6" numFmtId="0" xfId="0" applyBorder="1" applyFont="1"/>
    <xf borderId="12" fillId="13" fontId="6" numFmtId="9" xfId="0" applyAlignment="1" applyBorder="1" applyFont="1" applyNumberFormat="1">
      <alignment horizontal="center"/>
    </xf>
    <xf borderId="13" fillId="11" fontId="6" numFmtId="49" xfId="0" applyAlignment="1" applyBorder="1" applyFont="1" applyNumberFormat="1">
      <alignment horizontal="center" readingOrder="0"/>
    </xf>
    <xf borderId="13" fillId="11" fontId="6" numFmtId="49" xfId="0" applyAlignment="1" applyBorder="1" applyFont="1" applyNumberFormat="1">
      <alignment horizontal="center"/>
    </xf>
    <xf borderId="12" fillId="11" fontId="6" numFmtId="165" xfId="0" applyAlignment="1" applyBorder="1" applyFont="1" applyNumberFormat="1">
      <alignment horizontal="center"/>
    </xf>
    <xf borderId="24" fillId="7" fontId="6" numFmtId="165" xfId="0" applyAlignment="1" applyBorder="1" applyFont="1" applyNumberFormat="1">
      <alignment horizontal="center"/>
    </xf>
    <xf borderId="12" fillId="14" fontId="5" numFmtId="14" xfId="0" applyAlignment="1" applyBorder="1" applyFill="1" applyFont="1" applyNumberFormat="1">
      <alignment horizontal="center"/>
    </xf>
    <xf borderId="12" fillId="14" fontId="5" numFmtId="166" xfId="0" applyBorder="1" applyFont="1" applyNumberFormat="1"/>
    <xf borderId="12" fillId="14" fontId="5" numFmtId="9" xfId="0" applyAlignment="1" applyBorder="1" applyFont="1" applyNumberFormat="1">
      <alignment horizontal="center"/>
    </xf>
    <xf borderId="12" fillId="14" fontId="5" numFmtId="165" xfId="0" applyAlignment="1" applyBorder="1" applyFont="1" applyNumberFormat="1">
      <alignment horizontal="center"/>
    </xf>
    <xf borderId="12" fillId="14" fontId="5" numFmtId="167" xfId="0" applyAlignment="1" applyBorder="1" applyFont="1" applyNumberFormat="1">
      <alignment horizontal="center"/>
    </xf>
    <xf borderId="12" fillId="14" fontId="5" numFmtId="0" xfId="0" applyBorder="1" applyFont="1"/>
    <xf borderId="25" fillId="0" fontId="6" numFmtId="14" xfId="0" applyAlignment="1" applyBorder="1" applyFont="1" applyNumberFormat="1">
      <alignment horizontal="center"/>
    </xf>
    <xf borderId="0" fillId="0" fontId="6" numFmtId="14" xfId="0" applyFont="1" applyNumberFormat="1"/>
    <xf borderId="0" fillId="0" fontId="6" numFmtId="165" xfId="0" applyAlignment="1" applyFont="1" applyNumberFormat="1">
      <alignment horizontal="center"/>
    </xf>
    <xf borderId="0" fillId="0" fontId="6" numFmtId="165" xfId="0" applyFont="1" applyNumberFormat="1"/>
    <xf borderId="11" fillId="9" fontId="6" numFmtId="14" xfId="0" applyAlignment="1" applyBorder="1" applyFont="1" applyNumberFormat="1">
      <alignment horizontal="center"/>
    </xf>
    <xf borderId="0" fillId="0" fontId="6" numFmtId="166" xfId="0" applyFont="1" applyNumberFormat="1"/>
    <xf borderId="0" fillId="0" fontId="6" numFmtId="166" xfId="0" applyAlignment="1" applyFont="1" applyNumberFormat="1">
      <alignment horizontal="center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6" numFmtId="9" xfId="0" applyFont="1" applyNumberFormat="1"/>
    <xf borderId="0" fillId="0" fontId="6" numFmtId="14" xfId="0" applyAlignment="1" applyFont="1" applyNumberFormat="1">
      <alignment horizontal="center"/>
    </xf>
    <xf borderId="11" fillId="6" fontId="11" numFmtId="0" xfId="0" applyAlignment="1" applyBorder="1" applyFont="1">
      <alignment horizontal="left"/>
    </xf>
    <xf borderId="11" fillId="6" fontId="7" numFmtId="166" xfId="0" applyAlignment="1" applyBorder="1" applyFont="1" applyNumberFormat="1">
      <alignment horizontal="left" shrinkToFit="0" wrapText="0"/>
    </xf>
    <xf borderId="11" fillId="6" fontId="8" numFmtId="166" xfId="0" applyAlignment="1" applyBorder="1" applyFont="1" applyNumberFormat="1">
      <alignment horizontal="center"/>
    </xf>
    <xf borderId="11" fillId="6" fontId="7" numFmtId="1" xfId="0" applyAlignment="1" applyBorder="1" applyFont="1" applyNumberFormat="1">
      <alignment horizontal="left"/>
    </xf>
    <xf borderId="12" fillId="9" fontId="6" numFmtId="166" xfId="0" applyAlignment="1" applyBorder="1" applyFont="1" applyNumberFormat="1">
      <alignment horizontal="center"/>
    </xf>
    <xf borderId="26" fillId="12" fontId="6" numFmtId="165" xfId="0" applyAlignment="1" applyBorder="1" applyFont="1" applyNumberFormat="1">
      <alignment horizontal="center"/>
    </xf>
    <xf borderId="12" fillId="7" fontId="6" numFmtId="166" xfId="0" applyAlignment="1" applyBorder="1" applyFont="1" applyNumberFormat="1">
      <alignment horizontal="center"/>
    </xf>
    <xf borderId="12" fillId="13" fontId="6" numFmtId="166" xfId="0" applyAlignment="1" applyBorder="1" applyFont="1" applyNumberFormat="1">
      <alignment horizontal="center"/>
    </xf>
    <xf borderId="25" fillId="12" fontId="6" numFmtId="165" xfId="0" applyAlignment="1" applyBorder="1" applyFont="1" applyNumberFormat="1">
      <alignment horizontal="center"/>
    </xf>
    <xf borderId="20" fillId="7" fontId="6" numFmtId="165" xfId="0" applyAlignment="1" applyBorder="1" applyFont="1" applyNumberFormat="1">
      <alignment horizontal="center"/>
    </xf>
    <xf borderId="13" fillId="8" fontId="6" numFmtId="1" xfId="0" applyAlignment="1" applyBorder="1" applyFont="1" applyNumberFormat="1">
      <alignment horizontal="center"/>
    </xf>
    <xf borderId="12" fillId="15" fontId="6" numFmtId="9" xfId="0" applyAlignment="1" applyBorder="1" applyFill="1" applyFont="1" applyNumberFormat="1">
      <alignment horizontal="center"/>
    </xf>
    <xf borderId="12" fillId="15" fontId="6" numFmtId="0" xfId="0" applyAlignment="1" applyBorder="1" applyFont="1">
      <alignment horizontal="center" readingOrder="0"/>
    </xf>
    <xf borderId="12" fillId="15" fontId="6" numFmtId="166" xfId="0" applyAlignment="1" applyBorder="1" applyFont="1" applyNumberFormat="1">
      <alignment horizontal="center" readingOrder="0"/>
    </xf>
    <xf borderId="25" fillId="7" fontId="6" numFmtId="165" xfId="0" applyAlignment="1" applyBorder="1" applyFont="1" applyNumberFormat="1">
      <alignment horizontal="center"/>
    </xf>
    <xf borderId="12" fillId="14" fontId="5" numFmtId="1" xfId="0" applyAlignment="1" applyBorder="1" applyFont="1" applyNumberFormat="1">
      <alignment horizontal="center"/>
    </xf>
    <xf borderId="12" fillId="14" fontId="5" numFmtId="166" xfId="0" applyAlignment="1" applyBorder="1" applyFont="1" applyNumberFormat="1">
      <alignment horizontal="center"/>
    </xf>
    <xf borderId="11" fillId="6" fontId="6" numFmtId="164" xfId="0" applyAlignment="1" applyBorder="1" applyFont="1" applyNumberFormat="1">
      <alignment horizontal="left"/>
    </xf>
    <xf borderId="0" fillId="0" fontId="6" numFmtId="0" xfId="0" applyAlignment="1" applyFont="1">
      <alignment horizontal="left"/>
    </xf>
    <xf borderId="0" fillId="0" fontId="6" numFmtId="0" xfId="0" applyAlignment="1" applyFont="1">
      <alignment shrinkToFit="0" wrapText="1"/>
    </xf>
    <xf borderId="12" fillId="9" fontId="6" numFmtId="164" xfId="0" applyAlignment="1" applyBorder="1" applyFont="1" applyNumberFormat="1">
      <alignment horizontal="center"/>
    </xf>
    <xf borderId="12" fillId="7" fontId="6" numFmtId="164" xfId="0" applyAlignment="1" applyBorder="1" applyFont="1" applyNumberFormat="1">
      <alignment horizontal="center"/>
    </xf>
    <xf borderId="15" fillId="12" fontId="6" numFmtId="165" xfId="0" applyAlignment="1" applyBorder="1" applyFont="1" applyNumberFormat="1">
      <alignment horizontal="center" readingOrder="0"/>
    </xf>
    <xf borderId="12" fillId="14" fontId="5" numFmtId="4" xfId="0" applyAlignment="1" applyBorder="1" applyFont="1" applyNumberFormat="1">
      <alignment horizontal="center"/>
    </xf>
    <xf borderId="12" fillId="14" fontId="5" numFmtId="10" xfId="0" applyAlignment="1" applyBorder="1" applyFont="1" applyNumberFormat="1">
      <alignment horizontal="center"/>
    </xf>
    <xf borderId="0" fillId="0" fontId="6" numFmtId="164" xfId="0" applyFont="1" applyNumberFormat="1"/>
    <xf borderId="11" fillId="6" fontId="7" numFmtId="166" xfId="0" applyAlignment="1" applyBorder="1" applyFont="1" applyNumberFormat="1">
      <alignment horizontal="left" readingOrder="0"/>
    </xf>
    <xf borderId="11" fillId="6" fontId="12" numFmtId="168" xfId="0" applyAlignment="1" applyBorder="1" applyFont="1" applyNumberFormat="1">
      <alignment horizontal="center" readingOrder="0"/>
    </xf>
    <xf borderId="11" fillId="6" fontId="11" numFmtId="166" xfId="0" applyAlignment="1" applyBorder="1" applyFont="1" applyNumberFormat="1">
      <alignment horizontal="left" readingOrder="0"/>
    </xf>
    <xf borderId="11" fillId="6" fontId="12" numFmtId="4" xfId="0" applyAlignment="1" applyBorder="1" applyFont="1" applyNumberFormat="1">
      <alignment horizontal="center" readingOrder="0"/>
    </xf>
    <xf borderId="12" fillId="0" fontId="6" numFmtId="0" xfId="0" applyAlignment="1" applyBorder="1" applyFont="1">
      <alignment readingOrder="0"/>
    </xf>
    <xf borderId="12" fillId="4" fontId="6" numFmtId="9" xfId="0" applyAlignment="1" applyBorder="1" applyFont="1" applyNumberFormat="1">
      <alignment horizontal="center"/>
    </xf>
    <xf borderId="11" fillId="6" fontId="11" numFmtId="166" xfId="0" applyAlignment="1" applyBorder="1" applyFont="1" applyNumberFormat="1">
      <alignment horizontal="center" readingOrder="0"/>
    </xf>
    <xf borderId="11" fillId="6" fontId="11" numFmtId="4" xfId="0" applyAlignment="1" applyBorder="1" applyFont="1" applyNumberFormat="1">
      <alignment horizontal="left" readingOrder="0"/>
    </xf>
    <xf borderId="11" fillId="6" fontId="11" numFmtId="0" xfId="0" applyAlignment="1" applyBorder="1" applyFont="1">
      <alignment horizontal="center" readingOrder="0"/>
    </xf>
    <xf borderId="12" fillId="16" fontId="6" numFmtId="9" xfId="0" applyAlignment="1" applyBorder="1" applyFill="1" applyFont="1" applyNumberFormat="1">
      <alignment horizontal="center"/>
    </xf>
    <xf borderId="12" fillId="14" fontId="5" numFmtId="164" xfId="0" applyAlignment="1" applyBorder="1" applyFont="1" applyNumberFormat="1">
      <alignment horizontal="center"/>
    </xf>
    <xf borderId="12" fillId="2" fontId="13" numFmtId="0" xfId="0" applyAlignment="1" applyBorder="1" applyFont="1">
      <alignment readingOrder="0"/>
    </xf>
    <xf borderId="13" fillId="11" fontId="6" numFmtId="1" xfId="0" applyAlignment="1" applyBorder="1" applyFont="1" applyNumberFormat="1">
      <alignment horizontal="center"/>
    </xf>
    <xf borderId="12" fillId="13" fontId="6" numFmtId="165" xfId="0" applyAlignment="1" applyBorder="1" applyFont="1" applyNumberFormat="1">
      <alignment horizontal="center"/>
    </xf>
    <xf borderId="12" fillId="17" fontId="6" numFmtId="14" xfId="0" applyAlignment="1" applyBorder="1" applyFill="1" applyFont="1" applyNumberFormat="1">
      <alignment horizontal="center" readingOrder="0"/>
    </xf>
    <xf borderId="13" fillId="17" fontId="6" numFmtId="1" xfId="0" applyAlignment="1" applyBorder="1" applyFont="1" applyNumberFormat="1">
      <alignment horizontal="center" readingOrder="0"/>
    </xf>
    <xf borderId="12" fillId="17" fontId="6" numFmtId="9" xfId="0" applyAlignment="1" applyBorder="1" applyFont="1" applyNumberFormat="1">
      <alignment horizontal="center"/>
    </xf>
    <xf borderId="12" fillId="17" fontId="6" numFmtId="165" xfId="0" applyAlignment="1" applyBorder="1" applyFont="1" applyNumberFormat="1">
      <alignment horizontal="center" readingOrder="0"/>
    </xf>
    <xf borderId="12" fillId="17" fontId="6" numFmtId="165" xfId="0" applyAlignment="1" applyBorder="1" applyFont="1" applyNumberFormat="1">
      <alignment horizontal="center"/>
    </xf>
    <xf borderId="14" fillId="17" fontId="6" numFmtId="167" xfId="0" applyAlignment="1" applyBorder="1" applyFont="1" applyNumberFormat="1">
      <alignment horizontal="center"/>
    </xf>
    <xf borderId="15" fillId="17" fontId="6" numFmtId="165" xfId="0" applyAlignment="1" applyBorder="1" applyFont="1" applyNumberFormat="1">
      <alignment horizontal="center"/>
    </xf>
    <xf borderId="12" fillId="17" fontId="6" numFmtId="0" xfId="0" applyAlignment="1" applyBorder="1" applyFont="1">
      <alignment readingOrder="0"/>
    </xf>
    <xf borderId="12" fillId="17" fontId="6" numFmtId="14" xfId="0" applyAlignment="1" applyBorder="1" applyFont="1" applyNumberFormat="1">
      <alignment horizontal="center"/>
    </xf>
    <xf borderId="16" fillId="17" fontId="6" numFmtId="165" xfId="0" applyAlignment="1" applyBorder="1" applyFont="1" applyNumberFormat="1">
      <alignment horizontal="center"/>
    </xf>
    <xf borderId="12" fillId="17" fontId="6" numFmtId="0" xfId="0" applyBorder="1" applyFont="1"/>
    <xf borderId="17" fillId="17" fontId="6" numFmtId="165" xfId="0" applyAlignment="1" applyBorder="1" applyFont="1" applyNumberFormat="1">
      <alignment horizontal="center"/>
    </xf>
    <xf borderId="12" fillId="17" fontId="6" numFmtId="164" xfId="0" applyAlignment="1" applyBorder="1" applyFont="1" applyNumberFormat="1">
      <alignment horizontal="center"/>
    </xf>
    <xf borderId="12" fillId="17" fontId="6" numFmtId="167" xfId="0" applyAlignment="1" applyBorder="1" applyFont="1" applyNumberFormat="1">
      <alignment horizontal="center"/>
    </xf>
    <xf borderId="18" fillId="17" fontId="6" numFmtId="167" xfId="0" applyAlignment="1" applyBorder="1" applyFont="1" applyNumberFormat="1">
      <alignment horizontal="center"/>
    </xf>
    <xf borderId="19" fillId="17" fontId="6" numFmtId="165" xfId="0" applyAlignment="1" applyBorder="1" applyFont="1" applyNumberFormat="1">
      <alignment horizontal="center"/>
    </xf>
    <xf borderId="20" fillId="17" fontId="6" numFmtId="165" xfId="0" applyAlignment="1" applyBorder="1" applyFont="1" applyNumberFormat="1">
      <alignment horizontal="center"/>
    </xf>
    <xf borderId="21" fillId="17" fontId="6" numFmtId="165" xfId="0" applyAlignment="1" applyBorder="1" applyFont="1" applyNumberFormat="1">
      <alignment horizontal="center"/>
    </xf>
    <xf borderId="18" fillId="17" fontId="6" numFmtId="9" xfId="0" applyAlignment="1" applyBorder="1" applyFont="1" applyNumberFormat="1">
      <alignment horizontal="center"/>
    </xf>
    <xf borderId="21" fillId="17" fontId="6" numFmtId="9" xfId="0" applyAlignment="1" applyBorder="1" applyFont="1" applyNumberFormat="1">
      <alignment horizontal="center"/>
    </xf>
    <xf borderId="22" fillId="17" fontId="6" numFmtId="165" xfId="0" applyAlignment="1" applyBorder="1" applyFont="1" applyNumberFormat="1">
      <alignment horizontal="center"/>
    </xf>
    <xf borderId="13" fillId="17" fontId="6" numFmtId="1" xfId="0" applyAlignment="1" applyBorder="1" applyFont="1" applyNumberFormat="1">
      <alignment horizontal="center"/>
    </xf>
    <xf borderId="23" fillId="17" fontId="6" numFmtId="165" xfId="0" applyAlignment="1" applyBorder="1" applyFont="1" applyNumberFormat="1">
      <alignment horizontal="center"/>
    </xf>
    <xf borderId="0" fillId="17" fontId="6" numFmtId="165" xfId="0" applyAlignment="1" applyFont="1" applyNumberFormat="1">
      <alignment horizontal="center"/>
    </xf>
    <xf borderId="24" fillId="17" fontId="6" numFmtId="165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bhhsprofessionalrealty.managebuilding.com/manager/app/accounting/rental-owner-financials" TargetMode="External"/><Relationship Id="rId2" Type="http://schemas.openxmlformats.org/officeDocument/2006/relationships/hyperlink" Target="https://bhhsprofessionalrealty.managebuilding.com/manager/app/reports/list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1.22" defaultRowHeight="15.0"/>
  <cols>
    <col customWidth="1" min="2" max="2" width="29.0"/>
    <col customWidth="1" min="3" max="3" width="22.33"/>
    <col customWidth="1" min="12" max="12" width="16.44"/>
  </cols>
  <sheetData>
    <row r="1" ht="31.5" customHeight="1">
      <c r="G1" s="1" t="s">
        <v>0</v>
      </c>
      <c r="H1" s="2"/>
      <c r="I1" s="2"/>
      <c r="J1" s="2"/>
      <c r="K1" s="2"/>
      <c r="L1" s="3"/>
    </row>
    <row r="2">
      <c r="B2" s="4" t="s">
        <v>1</v>
      </c>
      <c r="C2" s="5">
        <f t="shared" ref="C2:C4" si="1">C6/12</f>
        <v>145522</v>
      </c>
      <c r="G2" s="6" t="s">
        <v>2</v>
      </c>
      <c r="L2" s="7"/>
    </row>
    <row r="3">
      <c r="B3" s="8" t="s">
        <v>3</v>
      </c>
      <c r="C3" s="9">
        <f t="shared" si="1"/>
        <v>123550</v>
      </c>
      <c r="G3" s="6" t="s">
        <v>4</v>
      </c>
      <c r="L3" s="7"/>
    </row>
    <row r="4">
      <c r="B4" s="10" t="s">
        <v>5</v>
      </c>
      <c r="C4" s="11">
        <f t="shared" si="1"/>
        <v>21972</v>
      </c>
      <c r="G4" s="6" t="s">
        <v>6</v>
      </c>
      <c r="L4" s="7"/>
    </row>
    <row r="5">
      <c r="G5" s="6" t="s">
        <v>7</v>
      </c>
      <c r="L5" s="7"/>
    </row>
    <row r="6">
      <c r="B6" s="4" t="s">
        <v>8</v>
      </c>
      <c r="C6" s="5">
        <f>sum('Lancaster Hotel'!I75,'Concord Manor Apts'!I75,'Bavarian Village'!I75,'Glasstown Holdings'!I75,'Rain Tree Apts'!I75,'RDE Central'!I75,ENPH!I75,'RD Sidney'!I75,'New Lex MHP'!I75)</f>
        <v>1746264</v>
      </c>
      <c r="G6" s="6" t="s">
        <v>9</v>
      </c>
      <c r="L6" s="7"/>
    </row>
    <row r="7">
      <c r="B7" s="8" t="s">
        <v>10</v>
      </c>
      <c r="C7" s="9">
        <f>sum('Lancaster Hotel'!M75,'Concord Manor Apts'!M75,'Bavarian Village'!M75,'Glasstown Holdings'!M75,'Rain Tree Apts'!M75,'RDE Central'!M75,ENPH!M75,'RD Sidney'!M75,'New Lex MHP'!I75)</f>
        <v>1482600</v>
      </c>
      <c r="G7" s="6" t="s">
        <v>11</v>
      </c>
      <c r="L7" s="7"/>
    </row>
    <row r="8">
      <c r="B8" s="10" t="s">
        <v>12</v>
      </c>
      <c r="C8" s="11">
        <f>C6-C7</f>
        <v>263664</v>
      </c>
      <c r="G8" s="12"/>
      <c r="L8" s="7"/>
    </row>
    <row r="9">
      <c r="G9" s="13"/>
      <c r="H9" s="14"/>
      <c r="I9" s="14"/>
      <c r="J9" s="14"/>
      <c r="K9" s="14"/>
      <c r="L9" s="15"/>
    </row>
    <row r="10">
      <c r="B10" s="16" t="s">
        <v>13</v>
      </c>
      <c r="C10" s="17"/>
    </row>
    <row r="11">
      <c r="B11" s="18" t="s">
        <v>14</v>
      </c>
      <c r="C11" s="19">
        <f>sum('Lancaster Hotel'!H15,'Concord Manor Apts'!H15,'Bavarian Village'!H15,'Glasstown Holdings'!H15,'Rain Tree Apts'!H15,'RDE Central'!H15,ENPH!H15,'RD Sidney'!H15,'New Lex MHP'!H15)</f>
        <v>136059</v>
      </c>
    </row>
    <row r="12">
      <c r="B12" s="18" t="s">
        <v>15</v>
      </c>
      <c r="C12" s="19">
        <f>sum('Lancaster Hotel'!L15,'Concord Manor Apts'!L15,'Bavarian Village'!L15,'Glasstown Holdings'!L15,'Rain Tree Apts'!L15,'RDE Central'!L15,ENPH!L15,'RD Sidney'!L15,'New Lex MHP'!L15)</f>
        <v>136807</v>
      </c>
    </row>
    <row r="13">
      <c r="B13" s="20" t="s">
        <v>16</v>
      </c>
      <c r="C13" s="21">
        <f>C11-C12</f>
        <v>-748</v>
      </c>
    </row>
    <row r="14">
      <c r="B14" s="22"/>
    </row>
    <row r="15">
      <c r="B15" s="16" t="s">
        <v>17</v>
      </c>
      <c r="C15" s="17"/>
    </row>
    <row r="16">
      <c r="B16" s="18" t="s">
        <v>14</v>
      </c>
      <c r="C16" s="19">
        <f>sum('Lancaster Hotel'!H20,'Concord Manor Apts'!L20,'Bavarian Village'!H20,'Glasstown Holdings'!L20,'Rain Tree Apts'!L20,'RDE Central'!L20,ENPH!L20,'RD Sidney'!H20,'New Lex MHP'!L20)</f>
        <v>149324</v>
      </c>
    </row>
    <row r="17">
      <c r="B17" s="18" t="s">
        <v>15</v>
      </c>
      <c r="C17" s="19">
        <f>sum('Lancaster Hotel'!L20,'Concord Manor Apts'!L20,'Bavarian Village'!L20,'Glasstown Holdings'!L20,'Rain Tree Apts'!L20,'RDE Central'!L20,ENPH!L20,'RD Sidney'!L20,'New Lex MHP'!L20)</f>
        <v>119716</v>
      </c>
    </row>
    <row r="18">
      <c r="B18" s="20" t="s">
        <v>16</v>
      </c>
      <c r="C18" s="21">
        <f>C16-C17</f>
        <v>29608</v>
      </c>
    </row>
    <row r="20">
      <c r="B20" s="16" t="s">
        <v>18</v>
      </c>
      <c r="C20" s="17"/>
    </row>
    <row r="21">
      <c r="B21" s="18" t="s">
        <v>14</v>
      </c>
      <c r="C21" s="19">
        <f>sum('Lancaster Hotel'!H26,'Concord Manor Apts'!H26,'Bavarian Village'!H26,'Glasstown Holdings'!H26,'Rain Tree Apts'!H26,'RDE Central'!H26,ENPH!H26,'RD Sidney'!H26,'New Lex MHP'!H26)</f>
        <v>137959</v>
      </c>
    </row>
    <row r="22">
      <c r="B22" s="18" t="s">
        <v>15</v>
      </c>
      <c r="C22" s="19">
        <f>sum('Lancaster Hotel'!L26,'Concord Manor Apts'!L26,'Bavarian Village'!L26,'Glasstown Holdings'!L26,'Rain Tree Apts'!L26,'RDE Central'!L26,ENPH!L26,'RD Sidney'!L26,'New Lex MHP'!L26)</f>
        <v>170556</v>
      </c>
    </row>
    <row r="23">
      <c r="B23" s="20" t="s">
        <v>16</v>
      </c>
      <c r="C23" s="21">
        <f>C21-C22</f>
        <v>-32597</v>
      </c>
    </row>
    <row r="25">
      <c r="B25" s="16" t="s">
        <v>19</v>
      </c>
      <c r="C25" s="17"/>
    </row>
    <row r="26">
      <c r="B26" s="18" t="s">
        <v>14</v>
      </c>
      <c r="C26" s="19">
        <f>sum('Lancaster Hotel'!H31,'Concord Manor Apts'!H31,'Bavarian Village'!H31,'Glasstown Holdings'!H31,'Rain Tree Apts'!H31,'RDE Central'!H31,ENPH!H31,'RD Sidney'!H31,'New Lex MHP'!H31,'TRS Portfolio'!H31)</f>
        <v>156446</v>
      </c>
    </row>
    <row r="27">
      <c r="B27" s="18" t="s">
        <v>15</v>
      </c>
      <c r="C27" s="19">
        <f>sum('Lancaster Hotel'!L36,'Concord Manor Apts'!L31,'Bavarian Village'!L31,'Glasstown Holdings'!L31,'Rain Tree Apts'!L31,'RDE Central'!L31,ENPH!L31,'RD Sidney'!L31,'New Lex MHP'!L31,'TRS Portfolio'!L31)</f>
        <v>175922</v>
      </c>
    </row>
    <row r="28">
      <c r="B28" s="20" t="s">
        <v>16</v>
      </c>
      <c r="C28" s="21">
        <f>C26-C27</f>
        <v>-19476</v>
      </c>
    </row>
    <row r="30">
      <c r="B30" s="16" t="s">
        <v>20</v>
      </c>
      <c r="C30" s="17"/>
    </row>
    <row r="31">
      <c r="B31" s="18" t="s">
        <v>14</v>
      </c>
      <c r="C31" s="19">
        <f>sum('Lancaster Hotel'!H36,'Concord Manor Apts'!H36,'Bavarian Village'!H36,'Glasstown Holdings'!H36,'Rain Tree Apts'!H36,'RDE Central'!H36,ENPH!H36,'RD Sidney'!H36,'New Lex MHP'!H36,'TRS Portfolio'!H36,'MT Vernon Studios'!H36)</f>
        <v>193775</v>
      </c>
    </row>
    <row r="32">
      <c r="B32" s="18" t="s">
        <v>15</v>
      </c>
      <c r="C32" s="19">
        <f>sum('Lancaster Hotel'!L36,'Bavarian Village'!L36,'Glasstown Holdings'!L36,'Rain Tree Apts'!L36,'RDE Central'!L36,ENPH!L36,'RD Sidney'!L36,'New Lex MHP'!L36,'TRS Portfolio'!L36,'MT Vernon Studios'!L36)</f>
        <v>130236</v>
      </c>
    </row>
    <row r="33">
      <c r="B33" s="20" t="s">
        <v>16</v>
      </c>
      <c r="C33" s="21">
        <f>C31-C32</f>
        <v>63539</v>
      </c>
    </row>
    <row r="35">
      <c r="B35" s="16" t="s">
        <v>21</v>
      </c>
      <c r="C35" s="17"/>
    </row>
    <row r="36">
      <c r="B36" s="18" t="s">
        <v>14</v>
      </c>
      <c r="C36" s="23"/>
    </row>
    <row r="37">
      <c r="B37" s="18" t="s">
        <v>15</v>
      </c>
      <c r="C37" s="23"/>
    </row>
    <row r="38">
      <c r="B38" s="20" t="s">
        <v>16</v>
      </c>
      <c r="C38" s="24">
        <f>C36-C37</f>
        <v>0</v>
      </c>
    </row>
    <row r="40">
      <c r="B40" s="16" t="s">
        <v>22</v>
      </c>
      <c r="C40" s="17"/>
    </row>
    <row r="41">
      <c r="B41" s="18" t="s">
        <v>14</v>
      </c>
      <c r="C41" s="23"/>
    </row>
    <row r="42">
      <c r="B42" s="18" t="s">
        <v>15</v>
      </c>
      <c r="C42" s="23"/>
    </row>
    <row r="43">
      <c r="B43" s="20" t="s">
        <v>16</v>
      </c>
      <c r="C43" s="24"/>
    </row>
    <row r="45">
      <c r="B45" s="16" t="s">
        <v>23</v>
      </c>
      <c r="C45" s="17"/>
    </row>
    <row r="46">
      <c r="B46" s="18" t="s">
        <v>14</v>
      </c>
      <c r="C46" s="23"/>
    </row>
    <row r="47">
      <c r="B47" s="18" t="s">
        <v>15</v>
      </c>
      <c r="C47" s="23"/>
    </row>
    <row r="48">
      <c r="B48" s="20" t="s">
        <v>16</v>
      </c>
      <c r="C48" s="24"/>
    </row>
    <row r="50">
      <c r="B50" s="16" t="s">
        <v>24</v>
      </c>
      <c r="C50" s="17"/>
    </row>
    <row r="51">
      <c r="B51" s="18" t="s">
        <v>14</v>
      </c>
      <c r="C51" s="23"/>
    </row>
    <row r="52">
      <c r="B52" s="18" t="s">
        <v>15</v>
      </c>
      <c r="C52" s="23"/>
    </row>
    <row r="53">
      <c r="B53" s="20" t="s">
        <v>16</v>
      </c>
      <c r="C53" s="24"/>
    </row>
    <row r="55">
      <c r="B55" s="16" t="s">
        <v>25</v>
      </c>
      <c r="C55" s="17"/>
    </row>
    <row r="56">
      <c r="B56" s="18" t="s">
        <v>14</v>
      </c>
      <c r="C56" s="23"/>
    </row>
    <row r="57">
      <c r="B57" s="18" t="s">
        <v>15</v>
      </c>
      <c r="C57" s="23"/>
    </row>
    <row r="58">
      <c r="B58" s="20" t="s">
        <v>16</v>
      </c>
      <c r="C58" s="24"/>
    </row>
    <row r="60">
      <c r="B60" s="16" t="s">
        <v>26</v>
      </c>
      <c r="C60" s="17"/>
    </row>
    <row r="61">
      <c r="B61" s="18" t="s">
        <v>14</v>
      </c>
      <c r="C61" s="23"/>
    </row>
    <row r="62">
      <c r="B62" s="18" t="s">
        <v>15</v>
      </c>
      <c r="C62" s="23"/>
    </row>
    <row r="63">
      <c r="B63" s="20" t="s">
        <v>16</v>
      </c>
      <c r="C63" s="24"/>
    </row>
    <row r="65">
      <c r="B65" s="16" t="s">
        <v>27</v>
      </c>
      <c r="C65" s="17"/>
    </row>
    <row r="66">
      <c r="B66" s="18" t="s">
        <v>14</v>
      </c>
      <c r="C66" s="23"/>
    </row>
    <row r="67">
      <c r="B67" s="18" t="s">
        <v>15</v>
      </c>
      <c r="C67" s="23"/>
    </row>
    <row r="68">
      <c r="B68" s="20" t="s">
        <v>16</v>
      </c>
      <c r="C68" s="24"/>
    </row>
  </sheetData>
  <mergeCells count="13">
    <mergeCell ref="G8:L8"/>
    <mergeCell ref="G9:L9"/>
    <mergeCell ref="G10:L10"/>
    <mergeCell ref="G12:L12"/>
    <mergeCell ref="G16:L16"/>
    <mergeCell ref="G17:L17"/>
    <mergeCell ref="G1:L1"/>
    <mergeCell ref="G2:L2"/>
    <mergeCell ref="G3:L3"/>
    <mergeCell ref="G4:L4"/>
    <mergeCell ref="G5:L5"/>
    <mergeCell ref="G6:L6"/>
    <mergeCell ref="G7:L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1.22" defaultRowHeight="15.0"/>
  <cols>
    <col customWidth="1" min="1" max="1" width="22.78"/>
    <col customWidth="1" min="2" max="2" width="16.44"/>
    <col customWidth="1" min="3" max="3" width="13.44"/>
    <col customWidth="1" min="4" max="4" width="14.11"/>
    <col customWidth="1" min="5" max="7" width="16.78"/>
    <col customWidth="1" min="8" max="8" width="17.33"/>
    <col customWidth="1" min="9" max="11" width="16.78"/>
    <col customWidth="1" min="12" max="12" width="20.0"/>
    <col customWidth="1" min="13" max="15" width="16.78"/>
    <col customWidth="1" min="16" max="16" width="22.78"/>
    <col customWidth="1" min="17" max="17" width="22.33"/>
    <col customWidth="1" min="18" max="18" width="98.89"/>
  </cols>
  <sheetData>
    <row r="1" ht="15.75" customHeight="1">
      <c r="A1" s="25" t="s">
        <v>28</v>
      </c>
      <c r="B1" s="26"/>
      <c r="C1" s="26"/>
      <c r="D1" s="27"/>
      <c r="E1" s="28"/>
      <c r="F1" s="29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28"/>
    </row>
    <row r="2" ht="15.75" customHeight="1">
      <c r="A2" s="31" t="s">
        <v>29</v>
      </c>
      <c r="B2" s="26"/>
      <c r="C2" s="26"/>
      <c r="D2" s="27"/>
      <c r="E2" s="28"/>
      <c r="F2" s="29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28"/>
    </row>
    <row r="3" ht="15.75" customHeight="1">
      <c r="A3" s="32" t="s">
        <v>30</v>
      </c>
      <c r="B3" s="26"/>
      <c r="C3" s="26"/>
      <c r="D3" s="27"/>
      <c r="E3" s="28"/>
      <c r="F3" s="29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28"/>
    </row>
    <row r="4" ht="21.75" customHeight="1">
      <c r="A4" s="33" t="s">
        <v>31</v>
      </c>
      <c r="B4" s="34"/>
      <c r="C4" s="26"/>
      <c r="D4" s="27"/>
      <c r="E4" s="28"/>
      <c r="F4" s="29"/>
      <c r="G4" s="30"/>
      <c r="H4" s="30"/>
      <c r="I4" s="35"/>
      <c r="J4" s="30"/>
      <c r="K4" s="30"/>
      <c r="L4" s="30"/>
      <c r="M4" s="30"/>
      <c r="N4" s="30"/>
      <c r="O4" s="30"/>
      <c r="P4" s="30"/>
      <c r="Q4" s="30"/>
      <c r="R4" s="28"/>
    </row>
    <row r="5" ht="24.0" customHeight="1">
      <c r="A5" s="36"/>
      <c r="B5" s="37" t="s">
        <v>32</v>
      </c>
      <c r="C5" s="38">
        <v>24.0</v>
      </c>
      <c r="D5" s="27"/>
      <c r="E5" s="28"/>
      <c r="F5" s="29"/>
      <c r="G5" s="30"/>
      <c r="H5" s="39"/>
      <c r="I5" s="35" t="s">
        <v>33</v>
      </c>
      <c r="J5" s="30"/>
      <c r="K5" s="30"/>
      <c r="L5" s="30"/>
      <c r="M5" s="30"/>
      <c r="N5" s="30"/>
      <c r="O5" s="30"/>
      <c r="P5" s="30"/>
      <c r="Q5" s="30"/>
      <c r="R5" s="39"/>
    </row>
    <row r="6" ht="15.75" customHeight="1">
      <c r="A6" s="40"/>
      <c r="B6" s="26"/>
      <c r="C6" s="26"/>
      <c r="D6" s="27"/>
      <c r="E6" s="28"/>
      <c r="F6" s="29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28"/>
    </row>
    <row r="7" ht="15.75" customHeight="1">
      <c r="A7" s="40"/>
      <c r="B7" s="26"/>
      <c r="C7" s="26"/>
      <c r="D7" s="27"/>
      <c r="E7" s="28"/>
      <c r="F7" s="29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28"/>
    </row>
    <row r="8" ht="15.75" customHeight="1">
      <c r="A8" s="40"/>
      <c r="B8" s="26"/>
      <c r="C8" s="26"/>
      <c r="D8" s="27"/>
      <c r="E8" s="28"/>
      <c r="F8" s="29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28"/>
    </row>
    <row r="9" ht="15.75" customHeight="1">
      <c r="A9" s="40"/>
      <c r="B9" s="26"/>
      <c r="C9" s="26"/>
      <c r="D9" s="27"/>
      <c r="E9" s="28"/>
      <c r="F9" s="29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28"/>
    </row>
    <row r="10" ht="78.75" customHeight="1">
      <c r="A10" s="41" t="s">
        <v>34</v>
      </c>
      <c r="B10" s="42" t="s">
        <v>35</v>
      </c>
      <c r="C10" s="42" t="s">
        <v>36</v>
      </c>
      <c r="D10" s="42" t="s">
        <v>37</v>
      </c>
      <c r="E10" s="43" t="s">
        <v>38</v>
      </c>
      <c r="F10" s="44" t="s">
        <v>39</v>
      </c>
      <c r="G10" s="45" t="s">
        <v>40</v>
      </c>
      <c r="H10" s="45" t="s">
        <v>41</v>
      </c>
      <c r="I10" s="45" t="s">
        <v>42</v>
      </c>
      <c r="J10" s="45" t="s">
        <v>43</v>
      </c>
      <c r="K10" s="45" t="s">
        <v>44</v>
      </c>
      <c r="L10" s="45" t="s">
        <v>45</v>
      </c>
      <c r="M10" s="45" t="s">
        <v>46</v>
      </c>
      <c r="N10" s="45" t="s">
        <v>43</v>
      </c>
      <c r="O10" s="45" t="s">
        <v>44</v>
      </c>
      <c r="P10" s="46" t="s">
        <v>47</v>
      </c>
      <c r="Q10" s="46" t="s">
        <v>48</v>
      </c>
      <c r="R10" s="44" t="s">
        <v>49</v>
      </c>
    </row>
    <row r="11" ht="15.75" customHeight="1">
      <c r="A11" s="47">
        <v>45662.0</v>
      </c>
      <c r="B11" s="48">
        <v>19.0</v>
      </c>
      <c r="C11" s="49">
        <f t="shared" ref="C11:C75" si="1">IF(B11=0,"",B11/C$5)</f>
        <v>0.7916666667</v>
      </c>
      <c r="D11" s="50">
        <v>24845.0</v>
      </c>
      <c r="E11" s="51">
        <f t="shared" ref="E11:E14" si="2">IFERROR(D11/B11,"")</f>
        <v>1307.631579</v>
      </c>
      <c r="F11" s="50">
        <v>24030.0</v>
      </c>
      <c r="G11" s="52">
        <f t="shared" ref="G11:G75" si="3">IFERROR(F11/D11,"")</f>
        <v>0.967196619</v>
      </c>
      <c r="H11" s="53"/>
      <c r="I11" s="53"/>
      <c r="J11" s="54"/>
      <c r="K11" s="55"/>
      <c r="L11" s="53"/>
      <c r="M11" s="53"/>
      <c r="N11" s="55"/>
      <c r="O11" s="55"/>
      <c r="P11" s="53"/>
      <c r="Q11" s="53"/>
      <c r="R11" s="56" t="s">
        <v>50</v>
      </c>
    </row>
    <row r="12" ht="15.75" customHeight="1">
      <c r="A12" s="57">
        <f t="shared" ref="A12:A14" si="4">A11+7</f>
        <v>45669</v>
      </c>
      <c r="B12" s="48">
        <v>19.0</v>
      </c>
      <c r="C12" s="49">
        <f t="shared" si="1"/>
        <v>0.7916666667</v>
      </c>
      <c r="D12" s="50">
        <v>24845.0</v>
      </c>
      <c r="E12" s="51">
        <f t="shared" si="2"/>
        <v>1307.631579</v>
      </c>
      <c r="F12" s="50">
        <v>24845.0</v>
      </c>
      <c r="G12" s="52">
        <f t="shared" si="3"/>
        <v>1</v>
      </c>
      <c r="H12" s="58"/>
      <c r="I12" s="58"/>
      <c r="J12" s="54"/>
      <c r="K12" s="55"/>
      <c r="L12" s="58"/>
      <c r="M12" s="58"/>
      <c r="N12" s="55"/>
      <c r="O12" s="55"/>
      <c r="P12" s="58"/>
      <c r="Q12" s="58"/>
      <c r="R12" s="59"/>
    </row>
    <row r="13" ht="15.75" customHeight="1">
      <c r="A13" s="57">
        <f t="shared" si="4"/>
        <v>45676</v>
      </c>
      <c r="B13" s="48">
        <v>20.0</v>
      </c>
      <c r="C13" s="49">
        <f t="shared" si="1"/>
        <v>0.8333333333</v>
      </c>
      <c r="D13" s="50">
        <v>25895.0</v>
      </c>
      <c r="E13" s="51">
        <f t="shared" si="2"/>
        <v>1294.75</v>
      </c>
      <c r="F13" s="50">
        <v>25488.0</v>
      </c>
      <c r="G13" s="52">
        <f t="shared" si="3"/>
        <v>0.9842826801</v>
      </c>
      <c r="H13" s="58"/>
      <c r="I13" s="58"/>
      <c r="J13" s="54"/>
      <c r="K13" s="55"/>
      <c r="L13" s="58"/>
      <c r="M13" s="58"/>
      <c r="N13" s="55"/>
      <c r="O13" s="55"/>
      <c r="P13" s="58"/>
      <c r="Q13" s="58"/>
      <c r="R13" s="59"/>
    </row>
    <row r="14" ht="15.75" customHeight="1">
      <c r="A14" s="57">
        <f t="shared" si="4"/>
        <v>45683</v>
      </c>
      <c r="B14" s="48">
        <v>20.0</v>
      </c>
      <c r="C14" s="49">
        <f t="shared" si="1"/>
        <v>0.8333333333</v>
      </c>
      <c r="D14" s="50">
        <v>25895.0</v>
      </c>
      <c r="E14" s="51">
        <f t="shared" si="2"/>
        <v>1294.75</v>
      </c>
      <c r="F14" s="50">
        <v>25488.0</v>
      </c>
      <c r="G14" s="52">
        <f t="shared" si="3"/>
        <v>0.9842826801</v>
      </c>
      <c r="H14" s="60"/>
      <c r="I14" s="60"/>
      <c r="J14" s="54"/>
      <c r="K14" s="55"/>
      <c r="L14" s="58"/>
      <c r="M14" s="58"/>
      <c r="N14" s="55"/>
      <c r="O14" s="55"/>
      <c r="P14" s="58"/>
      <c r="Q14" s="58"/>
      <c r="R14" s="59"/>
    </row>
    <row r="15" ht="15.75" customHeight="1">
      <c r="A15" s="61" t="s">
        <v>51</v>
      </c>
      <c r="B15" s="62">
        <v>23.0</v>
      </c>
      <c r="C15" s="63">
        <f t="shared" si="1"/>
        <v>0.9583333333</v>
      </c>
      <c r="D15" s="64">
        <v>33500.0</v>
      </c>
      <c r="E15" s="65">
        <f>D15/B15</f>
        <v>1456.521739</v>
      </c>
      <c r="F15" s="64">
        <v>33500.0</v>
      </c>
      <c r="G15" s="66">
        <f t="shared" si="3"/>
        <v>1</v>
      </c>
      <c r="H15" s="67">
        <v>25488.0</v>
      </c>
      <c r="I15" s="67">
        <v>33500.0</v>
      </c>
      <c r="J15" s="68">
        <f>IF(H15=0,"",H15-I15)</f>
        <v>-8012</v>
      </c>
      <c r="K15" s="69">
        <f>IFERROR((H15-I15)/H15,"")</f>
        <v>-0.314344005</v>
      </c>
      <c r="L15" s="67">
        <v>36130.0</v>
      </c>
      <c r="M15" s="67">
        <v>29500.0</v>
      </c>
      <c r="N15" s="68">
        <f>IF(L15=0,"",L15-M15)</f>
        <v>6630</v>
      </c>
      <c r="O15" s="69">
        <f>IFERROR((L15-M15)/L15,"")</f>
        <v>0.1835040133</v>
      </c>
      <c r="P15" s="70">
        <f t="shared" ref="P15:Q15" si="5">H15-L15</f>
        <v>-10642</v>
      </c>
      <c r="Q15" s="70">
        <f t="shared" si="5"/>
        <v>4000</v>
      </c>
      <c r="R15" s="71" t="s">
        <v>52</v>
      </c>
    </row>
    <row r="16" ht="15.75" customHeight="1">
      <c r="A16" s="57">
        <f>A14+7</f>
        <v>45690</v>
      </c>
      <c r="B16" s="48">
        <v>20.0</v>
      </c>
      <c r="C16" s="49">
        <f t="shared" si="1"/>
        <v>0.8333333333</v>
      </c>
      <c r="D16" s="50">
        <v>25895.0</v>
      </c>
      <c r="E16" s="51">
        <f t="shared" ref="E16:E19" si="6">IFERROR(D16/B16,"")</f>
        <v>1294.75</v>
      </c>
      <c r="F16" s="50">
        <v>25895.0</v>
      </c>
      <c r="G16" s="72">
        <f t="shared" si="3"/>
        <v>1</v>
      </c>
      <c r="H16" s="73"/>
      <c r="I16" s="74"/>
      <c r="J16" s="75"/>
      <c r="K16" s="76"/>
      <c r="L16" s="74"/>
      <c r="M16" s="74"/>
      <c r="N16" s="77"/>
      <c r="O16" s="55"/>
      <c r="P16" s="74"/>
      <c r="Q16" s="74"/>
      <c r="R16" s="59"/>
    </row>
    <row r="17" ht="15.75" customHeight="1">
      <c r="A17" s="57">
        <f t="shared" ref="A17:A19" si="7">A16+7</f>
        <v>45697</v>
      </c>
      <c r="B17" s="48">
        <v>21.0</v>
      </c>
      <c r="C17" s="49">
        <f t="shared" si="1"/>
        <v>0.875</v>
      </c>
      <c r="D17" s="50">
        <v>27945.0</v>
      </c>
      <c r="E17" s="51">
        <f t="shared" si="6"/>
        <v>1330.714286</v>
      </c>
      <c r="F17" s="50">
        <v>27695.0</v>
      </c>
      <c r="G17" s="52">
        <f t="shared" si="3"/>
        <v>0.9910538558</v>
      </c>
      <c r="H17" s="78"/>
      <c r="I17" s="78"/>
      <c r="J17" s="54"/>
      <c r="K17" s="55"/>
      <c r="L17" s="78"/>
      <c r="M17" s="78"/>
      <c r="N17" s="55"/>
      <c r="O17" s="55"/>
      <c r="P17" s="78"/>
      <c r="Q17" s="78"/>
      <c r="R17" s="59"/>
    </row>
    <row r="18" ht="15.75" customHeight="1">
      <c r="A18" s="57">
        <f t="shared" si="7"/>
        <v>45704</v>
      </c>
      <c r="B18" s="48">
        <v>21.0</v>
      </c>
      <c r="C18" s="49">
        <f t="shared" si="1"/>
        <v>0.875</v>
      </c>
      <c r="D18" s="50">
        <v>27945.0</v>
      </c>
      <c r="E18" s="51">
        <f t="shared" si="6"/>
        <v>1330.714286</v>
      </c>
      <c r="F18" s="50">
        <v>27695.0</v>
      </c>
      <c r="G18" s="52">
        <f t="shared" si="3"/>
        <v>0.9910538558</v>
      </c>
      <c r="H18" s="58"/>
      <c r="I18" s="58"/>
      <c r="J18" s="54"/>
      <c r="K18" s="55"/>
      <c r="L18" s="58"/>
      <c r="M18" s="58"/>
      <c r="N18" s="55"/>
      <c r="O18" s="55"/>
      <c r="P18" s="58"/>
      <c r="Q18" s="58"/>
      <c r="R18" s="59"/>
    </row>
    <row r="19" ht="15.75" customHeight="1">
      <c r="A19" s="57">
        <f t="shared" si="7"/>
        <v>45711</v>
      </c>
      <c r="B19" s="48">
        <v>21.0</v>
      </c>
      <c r="C19" s="49">
        <f t="shared" si="1"/>
        <v>0.875</v>
      </c>
      <c r="D19" s="50">
        <v>27945.0</v>
      </c>
      <c r="E19" s="51">
        <f t="shared" si="6"/>
        <v>1330.714286</v>
      </c>
      <c r="F19" s="50">
        <v>27695.0</v>
      </c>
      <c r="G19" s="52">
        <f t="shared" si="3"/>
        <v>0.9910538558</v>
      </c>
      <c r="H19" s="60"/>
      <c r="I19" s="60"/>
      <c r="J19" s="54"/>
      <c r="K19" s="55"/>
      <c r="L19" s="58"/>
      <c r="M19" s="58"/>
      <c r="N19" s="55"/>
      <c r="O19" s="55"/>
      <c r="P19" s="58"/>
      <c r="Q19" s="58"/>
      <c r="R19" s="59"/>
    </row>
    <row r="20" ht="15.75" customHeight="1">
      <c r="A20" s="61" t="s">
        <v>51</v>
      </c>
      <c r="B20" s="62">
        <v>23.0</v>
      </c>
      <c r="C20" s="63">
        <f t="shared" si="1"/>
        <v>0.9583333333</v>
      </c>
      <c r="D20" s="64">
        <v>33500.0</v>
      </c>
      <c r="E20" s="70">
        <f>D20/B20</f>
        <v>1456.521739</v>
      </c>
      <c r="F20" s="64">
        <v>33500.0</v>
      </c>
      <c r="G20" s="66">
        <f t="shared" si="3"/>
        <v>1</v>
      </c>
      <c r="H20" s="67">
        <v>27348.0</v>
      </c>
      <c r="I20" s="67">
        <v>33500.0</v>
      </c>
      <c r="J20" s="68">
        <f>IF(H20=0,"",H20-I20)</f>
        <v>-6152</v>
      </c>
      <c r="K20" s="69">
        <f>IFERROR((H20-I20)/H20,"")</f>
        <v>-0.2249524645</v>
      </c>
      <c r="L20" s="67">
        <v>13155.0</v>
      </c>
      <c r="M20" s="67">
        <v>29500.0</v>
      </c>
      <c r="N20" s="68">
        <f>IF(L20=0,"",L20-M20)</f>
        <v>-16345</v>
      </c>
      <c r="O20" s="69">
        <f>IFERROR((L20-M20)/L20,"")</f>
        <v>-1.242493349</v>
      </c>
      <c r="P20" s="70">
        <f t="shared" ref="P20:Q20" si="8">H20-L20</f>
        <v>14193</v>
      </c>
      <c r="Q20" s="70">
        <f t="shared" si="8"/>
        <v>4000</v>
      </c>
      <c r="R20" s="71" t="s">
        <v>53</v>
      </c>
    </row>
    <row r="21" ht="15.75" customHeight="1">
      <c r="A21" s="57">
        <f>A19+7</f>
        <v>45718</v>
      </c>
      <c r="B21" s="48">
        <v>21.0</v>
      </c>
      <c r="C21" s="49">
        <f t="shared" si="1"/>
        <v>0.875</v>
      </c>
      <c r="D21" s="50">
        <v>28150.0</v>
      </c>
      <c r="E21" s="51">
        <f t="shared" ref="E21:E25" si="9">IFERROR(D21/B21,"")</f>
        <v>1340.47619</v>
      </c>
      <c r="F21" s="50">
        <v>15530.0</v>
      </c>
      <c r="G21" s="79">
        <f t="shared" si="3"/>
        <v>0.551687389</v>
      </c>
      <c r="H21" s="80"/>
      <c r="I21" s="81"/>
      <c r="J21" s="54"/>
      <c r="K21" s="76"/>
      <c r="L21" s="73"/>
      <c r="M21" s="74"/>
      <c r="N21" s="77"/>
      <c r="O21" s="55"/>
      <c r="P21" s="73"/>
      <c r="Q21" s="74"/>
      <c r="R21" s="59"/>
    </row>
    <row r="22" ht="15.75" customHeight="1">
      <c r="A22" s="57">
        <f t="shared" ref="A22:A25" si="10">A21+7</f>
        <v>45725</v>
      </c>
      <c r="B22" s="48">
        <v>21.0</v>
      </c>
      <c r="C22" s="49">
        <f t="shared" si="1"/>
        <v>0.875</v>
      </c>
      <c r="D22" s="50">
        <v>28150.0</v>
      </c>
      <c r="E22" s="51">
        <f t="shared" si="9"/>
        <v>1340.47619</v>
      </c>
      <c r="F22" s="50">
        <v>27343.0</v>
      </c>
      <c r="G22" s="52">
        <f t="shared" si="3"/>
        <v>0.9713321492</v>
      </c>
      <c r="H22" s="78"/>
      <c r="I22" s="78"/>
      <c r="J22" s="54"/>
      <c r="K22" s="55"/>
      <c r="L22" s="78"/>
      <c r="M22" s="78"/>
      <c r="N22" s="55"/>
      <c r="O22" s="55"/>
      <c r="P22" s="78"/>
      <c r="Q22" s="78"/>
      <c r="R22" s="59"/>
    </row>
    <row r="23" ht="15.75" customHeight="1">
      <c r="A23" s="57">
        <f t="shared" si="10"/>
        <v>45732</v>
      </c>
      <c r="B23" s="48">
        <v>21.0</v>
      </c>
      <c r="C23" s="49">
        <f t="shared" si="1"/>
        <v>0.875</v>
      </c>
      <c r="D23" s="50">
        <v>28150.0</v>
      </c>
      <c r="E23" s="51">
        <f t="shared" si="9"/>
        <v>1340.47619</v>
      </c>
      <c r="F23" s="50">
        <v>27343.0</v>
      </c>
      <c r="G23" s="52">
        <f t="shared" si="3"/>
        <v>0.9713321492</v>
      </c>
      <c r="H23" s="58"/>
      <c r="I23" s="58"/>
      <c r="J23" s="54"/>
      <c r="K23" s="55"/>
      <c r="L23" s="58"/>
      <c r="M23" s="58"/>
      <c r="N23" s="55"/>
      <c r="O23" s="55"/>
      <c r="P23" s="58"/>
      <c r="Q23" s="58"/>
      <c r="R23" s="59"/>
    </row>
    <row r="24" ht="15.75" customHeight="1">
      <c r="A24" s="57">
        <f t="shared" si="10"/>
        <v>45739</v>
      </c>
      <c r="B24" s="48">
        <v>21.0</v>
      </c>
      <c r="C24" s="49">
        <f t="shared" si="1"/>
        <v>0.875</v>
      </c>
      <c r="D24" s="50">
        <v>28150.0</v>
      </c>
      <c r="E24" s="51">
        <f t="shared" si="9"/>
        <v>1340.47619</v>
      </c>
      <c r="F24" s="50">
        <v>27343.0</v>
      </c>
      <c r="G24" s="52">
        <f t="shared" si="3"/>
        <v>0.9713321492</v>
      </c>
      <c r="H24" s="58"/>
      <c r="I24" s="58"/>
      <c r="J24" s="54"/>
      <c r="K24" s="55"/>
      <c r="L24" s="58"/>
      <c r="M24" s="58"/>
      <c r="N24" s="55"/>
      <c r="O24" s="55"/>
      <c r="P24" s="58"/>
      <c r="Q24" s="58"/>
      <c r="R24" s="59"/>
    </row>
    <row r="25" ht="15.75" customHeight="1">
      <c r="A25" s="57">
        <f t="shared" si="10"/>
        <v>45746</v>
      </c>
      <c r="B25" s="48">
        <v>20.0</v>
      </c>
      <c r="C25" s="49">
        <f t="shared" si="1"/>
        <v>0.8333333333</v>
      </c>
      <c r="D25" s="50">
        <v>27350.0</v>
      </c>
      <c r="E25" s="51">
        <f t="shared" si="9"/>
        <v>1367.5</v>
      </c>
      <c r="F25" s="50">
        <v>27343.0</v>
      </c>
      <c r="G25" s="52">
        <f t="shared" si="3"/>
        <v>0.9997440585</v>
      </c>
      <c r="H25" s="82"/>
      <c r="I25" s="82"/>
      <c r="J25" s="54"/>
      <c r="K25" s="55"/>
      <c r="L25" s="82"/>
      <c r="M25" s="82"/>
      <c r="N25" s="55"/>
      <c r="O25" s="55"/>
      <c r="P25" s="82"/>
      <c r="Q25" s="82"/>
      <c r="R25" s="59"/>
    </row>
    <row r="26" ht="15.75" customHeight="1">
      <c r="A26" s="61" t="s">
        <v>51</v>
      </c>
      <c r="B26" s="62">
        <v>23.0</v>
      </c>
      <c r="C26" s="63">
        <f t="shared" si="1"/>
        <v>0.9583333333</v>
      </c>
      <c r="D26" s="64">
        <v>33500.0</v>
      </c>
      <c r="E26" s="70">
        <f>D26/B26</f>
        <v>1456.521739</v>
      </c>
      <c r="F26" s="64">
        <v>33500.0</v>
      </c>
      <c r="G26" s="66">
        <f t="shared" si="3"/>
        <v>1</v>
      </c>
      <c r="H26" s="83">
        <v>27343.0</v>
      </c>
      <c r="I26" s="67">
        <v>33500.0</v>
      </c>
      <c r="J26" s="68">
        <f>IF(H26=0,"",H26-I26)</f>
        <v>-6157</v>
      </c>
      <c r="K26" s="69">
        <f>IFERROR((H26-I26)/H26,"")</f>
        <v>-0.225176462</v>
      </c>
      <c r="L26" s="83">
        <v>33780.0</v>
      </c>
      <c r="M26" s="67">
        <v>29500.0</v>
      </c>
      <c r="N26" s="68">
        <f>IF(L26=0,"",L26-M26)</f>
        <v>4280</v>
      </c>
      <c r="O26" s="69">
        <f>IFERROR((L26-M26)/L26,"")</f>
        <v>0.1267021906</v>
      </c>
      <c r="P26" s="84">
        <f t="shared" ref="P26:Q26" si="11">H26-L26</f>
        <v>-6437</v>
      </c>
      <c r="Q26" s="84">
        <f t="shared" si="11"/>
        <v>4000</v>
      </c>
      <c r="R26" s="71" t="s">
        <v>54</v>
      </c>
    </row>
    <row r="27" ht="15.75" customHeight="1">
      <c r="A27" s="57">
        <f>A25+7</f>
        <v>45753</v>
      </c>
      <c r="B27" s="48">
        <v>19.0</v>
      </c>
      <c r="C27" s="49">
        <f t="shared" si="1"/>
        <v>0.7916666667</v>
      </c>
      <c r="D27" s="50">
        <v>26630.0</v>
      </c>
      <c r="E27" s="51">
        <f t="shared" ref="E27:E30" si="12">IFERROR(D27/B27,"")</f>
        <v>1401.578947</v>
      </c>
      <c r="F27" s="50">
        <v>26630.0</v>
      </c>
      <c r="G27" s="52">
        <f t="shared" si="3"/>
        <v>1</v>
      </c>
      <c r="H27" s="53"/>
      <c r="I27" s="53"/>
      <c r="J27" s="54"/>
      <c r="K27" s="55"/>
      <c r="L27" s="53"/>
      <c r="M27" s="53"/>
      <c r="N27" s="55"/>
      <c r="O27" s="55"/>
      <c r="P27" s="53"/>
      <c r="Q27" s="53"/>
      <c r="R27" s="59"/>
    </row>
    <row r="28" ht="15.75" customHeight="1">
      <c r="A28" s="57">
        <f t="shared" ref="A28:A30" si="13">A27+7</f>
        <v>45760</v>
      </c>
      <c r="B28" s="48">
        <v>19.0</v>
      </c>
      <c r="C28" s="49">
        <f t="shared" si="1"/>
        <v>0.7916666667</v>
      </c>
      <c r="D28" s="50">
        <v>26630.0</v>
      </c>
      <c r="E28" s="51">
        <f t="shared" si="12"/>
        <v>1401.578947</v>
      </c>
      <c r="F28" s="50">
        <v>26630.0</v>
      </c>
      <c r="G28" s="52">
        <f t="shared" si="3"/>
        <v>1</v>
      </c>
      <c r="H28" s="58"/>
      <c r="I28" s="58"/>
      <c r="J28" s="54"/>
      <c r="K28" s="55"/>
      <c r="L28" s="58"/>
      <c r="M28" s="58"/>
      <c r="N28" s="55"/>
      <c r="O28" s="55"/>
      <c r="P28" s="58"/>
      <c r="Q28" s="58"/>
      <c r="R28" s="59"/>
    </row>
    <row r="29" ht="15.75" customHeight="1">
      <c r="A29" s="57">
        <f t="shared" si="13"/>
        <v>45767</v>
      </c>
      <c r="B29" s="48">
        <v>21.0</v>
      </c>
      <c r="C29" s="49">
        <f t="shared" si="1"/>
        <v>0.875</v>
      </c>
      <c r="D29" s="50">
        <v>29230.0</v>
      </c>
      <c r="E29" s="51">
        <f t="shared" si="12"/>
        <v>1391.904762</v>
      </c>
      <c r="F29" s="50">
        <v>27215.0</v>
      </c>
      <c r="G29" s="52">
        <f t="shared" si="3"/>
        <v>0.9310639754</v>
      </c>
      <c r="H29" s="58"/>
      <c r="I29" s="58"/>
      <c r="J29" s="54"/>
      <c r="K29" s="55"/>
      <c r="L29" s="58"/>
      <c r="M29" s="58"/>
      <c r="N29" s="55"/>
      <c r="O29" s="55"/>
      <c r="P29" s="58"/>
      <c r="Q29" s="58"/>
      <c r="R29" s="59"/>
    </row>
    <row r="30" ht="15.75" customHeight="1">
      <c r="A30" s="85">
        <f t="shared" si="13"/>
        <v>45774</v>
      </c>
      <c r="B30" s="48">
        <v>21.0</v>
      </c>
      <c r="C30" s="49">
        <f t="shared" si="1"/>
        <v>0.875</v>
      </c>
      <c r="D30" s="50">
        <v>29230.0</v>
      </c>
      <c r="E30" s="51">
        <f t="shared" si="12"/>
        <v>1391.904762</v>
      </c>
      <c r="F30" s="50">
        <v>27757.0</v>
      </c>
      <c r="G30" s="52">
        <f t="shared" si="3"/>
        <v>0.9496065686</v>
      </c>
      <c r="H30" s="82"/>
      <c r="I30" s="82"/>
      <c r="J30" s="54"/>
      <c r="K30" s="55"/>
      <c r="L30" s="82"/>
      <c r="M30" s="82"/>
      <c r="N30" s="55"/>
      <c r="O30" s="55"/>
      <c r="P30" s="82"/>
      <c r="Q30" s="82"/>
      <c r="R30" s="59"/>
    </row>
    <row r="31" ht="15.75" customHeight="1">
      <c r="A31" s="61" t="s">
        <v>51</v>
      </c>
      <c r="B31" s="62">
        <v>23.0</v>
      </c>
      <c r="C31" s="63">
        <f t="shared" si="1"/>
        <v>0.9583333333</v>
      </c>
      <c r="D31" s="64">
        <v>33500.0</v>
      </c>
      <c r="E31" s="70">
        <f>D31/B31</f>
        <v>1456.521739</v>
      </c>
      <c r="F31" s="64">
        <v>33500.0</v>
      </c>
      <c r="G31" s="66">
        <f t="shared" si="3"/>
        <v>1</v>
      </c>
      <c r="H31" s="83">
        <v>34355.0</v>
      </c>
      <c r="I31" s="67">
        <v>33500.0</v>
      </c>
      <c r="J31" s="68">
        <f>IF(H31=0,"",H31-I31)</f>
        <v>855</v>
      </c>
      <c r="K31" s="69">
        <f>IFERROR((H31-I31)/H31,"")</f>
        <v>0.0248872071</v>
      </c>
      <c r="L31" s="83">
        <v>29115.0</v>
      </c>
      <c r="M31" s="67">
        <v>29500.0</v>
      </c>
      <c r="N31" s="68">
        <f>IF(L31=0,"",L31-M31)</f>
        <v>-385</v>
      </c>
      <c r="O31" s="69">
        <f>IFERROR((L31-M31)/L31,"")</f>
        <v>-0.01322342435</v>
      </c>
      <c r="P31" s="84">
        <f t="shared" ref="P31:Q31" si="14">H31-L31</f>
        <v>5240</v>
      </c>
      <c r="Q31" s="84">
        <f t="shared" si="14"/>
        <v>4000</v>
      </c>
      <c r="R31" s="71" t="s">
        <v>55</v>
      </c>
    </row>
    <row r="32" ht="15.75" customHeight="1">
      <c r="A32" s="57">
        <f>A30+7</f>
        <v>45781</v>
      </c>
      <c r="B32" s="48">
        <v>21.0</v>
      </c>
      <c r="C32" s="49">
        <f t="shared" si="1"/>
        <v>0.875</v>
      </c>
      <c r="D32" s="50">
        <v>29230.0</v>
      </c>
      <c r="E32" s="51">
        <f t="shared" ref="E32:E35" si="15">IFERROR(D32/B32,"")</f>
        <v>1391.904762</v>
      </c>
      <c r="F32" s="50">
        <v>27980.0</v>
      </c>
      <c r="G32" s="52">
        <f t="shared" si="3"/>
        <v>0.9572357167</v>
      </c>
      <c r="H32" s="53"/>
      <c r="I32" s="53"/>
      <c r="J32" s="54"/>
      <c r="K32" s="55"/>
      <c r="L32" s="53"/>
      <c r="M32" s="53"/>
      <c r="N32" s="55"/>
      <c r="O32" s="55"/>
      <c r="P32" s="53"/>
      <c r="Q32" s="53"/>
      <c r="R32" s="59"/>
    </row>
    <row r="33" ht="15.75" customHeight="1">
      <c r="A33" s="57">
        <f t="shared" ref="A33:A35" si="16">A32+7</f>
        <v>45788</v>
      </c>
      <c r="B33" s="48">
        <v>21.0</v>
      </c>
      <c r="C33" s="49">
        <f t="shared" si="1"/>
        <v>0.875</v>
      </c>
      <c r="D33" s="50">
        <v>29230.0</v>
      </c>
      <c r="E33" s="51">
        <f t="shared" si="15"/>
        <v>1391.904762</v>
      </c>
      <c r="F33" s="50">
        <v>29230.0</v>
      </c>
      <c r="G33" s="52">
        <f t="shared" si="3"/>
        <v>1</v>
      </c>
      <c r="H33" s="58"/>
      <c r="I33" s="58"/>
      <c r="J33" s="54"/>
      <c r="K33" s="55"/>
      <c r="L33" s="58"/>
      <c r="M33" s="58"/>
      <c r="N33" s="55"/>
      <c r="O33" s="55"/>
      <c r="P33" s="58"/>
      <c r="Q33" s="58"/>
      <c r="R33" s="86"/>
    </row>
    <row r="34" ht="15.75" customHeight="1">
      <c r="A34" s="57">
        <f t="shared" si="16"/>
        <v>45795</v>
      </c>
      <c r="B34" s="48">
        <v>21.0</v>
      </c>
      <c r="C34" s="49">
        <f t="shared" si="1"/>
        <v>0.875</v>
      </c>
      <c r="D34" s="50">
        <v>29230.0</v>
      </c>
      <c r="E34" s="51">
        <f t="shared" si="15"/>
        <v>1391.904762</v>
      </c>
      <c r="F34" s="50">
        <v>29230.0</v>
      </c>
      <c r="G34" s="52">
        <f t="shared" si="3"/>
        <v>1</v>
      </c>
      <c r="H34" s="58"/>
      <c r="I34" s="58"/>
      <c r="J34" s="54"/>
      <c r="K34" s="55"/>
      <c r="L34" s="58"/>
      <c r="M34" s="58"/>
      <c r="N34" s="55"/>
      <c r="O34" s="55"/>
      <c r="P34" s="58"/>
      <c r="Q34" s="58"/>
      <c r="R34" s="86"/>
    </row>
    <row r="35" ht="15.75" customHeight="1">
      <c r="A35" s="57">
        <f t="shared" si="16"/>
        <v>45802</v>
      </c>
      <c r="B35" s="48">
        <v>21.0</v>
      </c>
      <c r="C35" s="49">
        <f t="shared" si="1"/>
        <v>0.875</v>
      </c>
      <c r="D35" s="50">
        <v>29230.0</v>
      </c>
      <c r="E35" s="51">
        <f t="shared" si="15"/>
        <v>1391.904762</v>
      </c>
      <c r="F35" s="50">
        <v>29230.0</v>
      </c>
      <c r="G35" s="52">
        <f t="shared" si="3"/>
        <v>1</v>
      </c>
      <c r="H35" s="60"/>
      <c r="I35" s="60"/>
      <c r="J35" s="54"/>
      <c r="K35" s="55"/>
      <c r="L35" s="58"/>
      <c r="M35" s="58"/>
      <c r="N35" s="55"/>
      <c r="O35" s="55"/>
      <c r="P35" s="58"/>
      <c r="Q35" s="58"/>
      <c r="R35" s="86"/>
    </row>
    <row r="36" ht="15.75" customHeight="1">
      <c r="A36" s="61" t="s">
        <v>51</v>
      </c>
      <c r="B36" s="62">
        <v>23.0</v>
      </c>
      <c r="C36" s="63">
        <f t="shared" si="1"/>
        <v>0.9583333333</v>
      </c>
      <c r="D36" s="64">
        <v>33500.0</v>
      </c>
      <c r="E36" s="70">
        <f>D36/B36</f>
        <v>1456.521739</v>
      </c>
      <c r="F36" s="64">
        <v>33500.0</v>
      </c>
      <c r="G36" s="66">
        <f t="shared" si="3"/>
        <v>1</v>
      </c>
      <c r="H36" s="67">
        <v>26055.0</v>
      </c>
      <c r="I36" s="67">
        <v>33500.0</v>
      </c>
      <c r="J36" s="68">
        <f>IF(H36=0,"",H36-I36)</f>
        <v>-7445</v>
      </c>
      <c r="K36" s="69">
        <f>IFERROR((H36-I36)/H36,"")</f>
        <v>-0.2857417002</v>
      </c>
      <c r="L36" s="67">
        <v>25161.0</v>
      </c>
      <c r="M36" s="67">
        <v>29500.0</v>
      </c>
      <c r="N36" s="68">
        <f>IF(L36=0,"",L36-M36)</f>
        <v>-4339</v>
      </c>
      <c r="O36" s="69">
        <f>IFERROR((L36-M36)/L36,"")</f>
        <v>-0.1724494257</v>
      </c>
      <c r="P36" s="70">
        <f t="shared" ref="P36:Q36" si="17">H36-L36</f>
        <v>894</v>
      </c>
      <c r="Q36" s="70">
        <f t="shared" si="17"/>
        <v>4000</v>
      </c>
      <c r="R36" s="71" t="s">
        <v>56</v>
      </c>
    </row>
    <row r="37" ht="15.75" customHeight="1">
      <c r="A37" s="57">
        <f>A35+7</f>
        <v>45809</v>
      </c>
      <c r="B37" s="48">
        <v>19.0</v>
      </c>
      <c r="C37" s="49">
        <f t="shared" si="1"/>
        <v>0.7916666667</v>
      </c>
      <c r="D37" s="50">
        <v>27285.0</v>
      </c>
      <c r="E37" s="51">
        <f t="shared" ref="E37:E41" si="18">IFERROR(D37/B37,"")</f>
        <v>1436.052632</v>
      </c>
      <c r="F37" s="50">
        <v>20090.0</v>
      </c>
      <c r="G37" s="72">
        <f t="shared" si="3"/>
        <v>0.7363019974</v>
      </c>
      <c r="H37" s="74"/>
      <c r="I37" s="80"/>
      <c r="J37" s="75"/>
      <c r="K37" s="55"/>
      <c r="L37" s="60"/>
      <c r="M37" s="60"/>
      <c r="N37" s="55"/>
      <c r="O37" s="55"/>
      <c r="P37" s="60"/>
      <c r="Q37" s="60"/>
      <c r="R37" s="86"/>
    </row>
    <row r="38" ht="15.75" customHeight="1">
      <c r="A38" s="57">
        <f t="shared" ref="A38:A41" si="19">A37+7</f>
        <v>45816</v>
      </c>
      <c r="B38" s="48">
        <v>19.0</v>
      </c>
      <c r="C38" s="49">
        <f t="shared" si="1"/>
        <v>0.7916666667</v>
      </c>
      <c r="D38" s="50">
        <v>27285.0</v>
      </c>
      <c r="E38" s="51">
        <f t="shared" si="18"/>
        <v>1436.052632</v>
      </c>
      <c r="F38" s="50">
        <v>27285.0</v>
      </c>
      <c r="G38" s="52">
        <f t="shared" si="3"/>
        <v>1</v>
      </c>
      <c r="H38" s="78"/>
      <c r="I38" s="78"/>
      <c r="J38" s="54"/>
      <c r="K38" s="76"/>
      <c r="L38" s="74"/>
      <c r="M38" s="74"/>
      <c r="N38" s="77"/>
      <c r="O38" s="55"/>
      <c r="P38" s="74"/>
      <c r="Q38" s="74"/>
      <c r="R38" s="86"/>
    </row>
    <row r="39" ht="15.75" customHeight="1">
      <c r="A39" s="57">
        <f t="shared" si="19"/>
        <v>45823</v>
      </c>
      <c r="B39" s="48">
        <v>19.0</v>
      </c>
      <c r="C39" s="49">
        <f t="shared" si="1"/>
        <v>0.7916666667</v>
      </c>
      <c r="D39" s="50">
        <v>27285.0</v>
      </c>
      <c r="E39" s="51">
        <f t="shared" si="18"/>
        <v>1436.052632</v>
      </c>
      <c r="F39" s="50">
        <v>27285.0</v>
      </c>
      <c r="G39" s="52">
        <f t="shared" si="3"/>
        <v>1</v>
      </c>
      <c r="H39" s="58"/>
      <c r="I39" s="58"/>
      <c r="J39" s="54"/>
      <c r="K39" s="55"/>
      <c r="L39" s="78"/>
      <c r="M39" s="78"/>
      <c r="N39" s="55"/>
      <c r="O39" s="55"/>
      <c r="P39" s="78"/>
      <c r="Q39" s="78"/>
      <c r="R39" s="86"/>
    </row>
    <row r="40" ht="15.75" customHeight="1">
      <c r="A40" s="57">
        <f t="shared" si="19"/>
        <v>45830</v>
      </c>
      <c r="B40" s="48">
        <v>19.0</v>
      </c>
      <c r="C40" s="49">
        <f t="shared" si="1"/>
        <v>0.7916666667</v>
      </c>
      <c r="D40" s="50">
        <v>27285.0</v>
      </c>
      <c r="E40" s="51">
        <f t="shared" si="18"/>
        <v>1436.052632</v>
      </c>
      <c r="F40" s="50">
        <v>27285.0</v>
      </c>
      <c r="G40" s="52">
        <f t="shared" si="3"/>
        <v>1</v>
      </c>
      <c r="H40" s="58"/>
      <c r="I40" s="58"/>
      <c r="J40" s="54"/>
      <c r="K40" s="55"/>
      <c r="L40" s="58"/>
      <c r="M40" s="58"/>
      <c r="N40" s="55"/>
      <c r="O40" s="55"/>
      <c r="P40" s="58"/>
      <c r="Q40" s="58"/>
      <c r="R40" s="86"/>
    </row>
    <row r="41" ht="15.75" customHeight="1">
      <c r="A41" s="57">
        <f t="shared" si="19"/>
        <v>45837</v>
      </c>
      <c r="B41" s="48">
        <v>19.0</v>
      </c>
      <c r="C41" s="49">
        <f t="shared" si="1"/>
        <v>0.7916666667</v>
      </c>
      <c r="D41" s="50">
        <v>27285.0</v>
      </c>
      <c r="E41" s="51">
        <f t="shared" si="18"/>
        <v>1436.052632</v>
      </c>
      <c r="F41" s="50">
        <v>27285.0</v>
      </c>
      <c r="G41" s="52">
        <f t="shared" si="3"/>
        <v>1</v>
      </c>
      <c r="H41" s="82"/>
      <c r="I41" s="82"/>
      <c r="J41" s="54"/>
      <c r="K41" s="55"/>
      <c r="L41" s="82"/>
      <c r="M41" s="82"/>
      <c r="N41" s="55"/>
      <c r="O41" s="55"/>
      <c r="P41" s="82"/>
      <c r="Q41" s="82"/>
      <c r="R41" s="86"/>
    </row>
    <row r="42" ht="15.75" customHeight="1">
      <c r="A42" s="61" t="s">
        <v>51</v>
      </c>
      <c r="B42" s="62">
        <v>23.0</v>
      </c>
      <c r="C42" s="63">
        <f t="shared" si="1"/>
        <v>0.9583333333</v>
      </c>
      <c r="D42" s="64">
        <v>33500.0</v>
      </c>
      <c r="E42" s="70">
        <f>D42/B42</f>
        <v>1456.521739</v>
      </c>
      <c r="F42" s="64">
        <v>33500.0</v>
      </c>
      <c r="G42" s="66">
        <f t="shared" si="3"/>
        <v>1</v>
      </c>
      <c r="H42" s="83">
        <v>26698.0</v>
      </c>
      <c r="I42" s="67">
        <v>33500.0</v>
      </c>
      <c r="J42" s="68">
        <f>IF(H42=0,"",H42-I42)</f>
        <v>-6802</v>
      </c>
      <c r="K42" s="69">
        <f>IFERROR((H42-I42)/H42,"")</f>
        <v>-0.2547756386</v>
      </c>
      <c r="L42" s="83">
        <v>25727.0</v>
      </c>
      <c r="M42" s="67">
        <v>29500.0</v>
      </c>
      <c r="N42" s="68">
        <f>IF(L42=0,"",L42-M42)</f>
        <v>-3773</v>
      </c>
      <c r="O42" s="69">
        <f>IFERROR((L42-M42)/L42,"")</f>
        <v>-0.1466552649</v>
      </c>
      <c r="P42" s="84">
        <f t="shared" ref="P42:Q42" si="20">H42-L42</f>
        <v>971</v>
      </c>
      <c r="Q42" s="84">
        <f t="shared" si="20"/>
        <v>4000</v>
      </c>
      <c r="R42" s="71"/>
    </row>
    <row r="43" ht="15.75" customHeight="1">
      <c r="A43" s="57">
        <f>A41+7</f>
        <v>45844</v>
      </c>
      <c r="B43" s="48">
        <v>19.0</v>
      </c>
      <c r="C43" s="49">
        <f t="shared" si="1"/>
        <v>0.7916666667</v>
      </c>
      <c r="D43" s="50">
        <v>27490.0</v>
      </c>
      <c r="E43" s="51">
        <f t="shared" ref="E43:E46" si="21">IFERROR(D43/B43,"")</f>
        <v>1446.842105</v>
      </c>
      <c r="F43" s="50">
        <v>27490.0</v>
      </c>
      <c r="G43" s="52">
        <f t="shared" si="3"/>
        <v>1</v>
      </c>
      <c r="H43" s="53"/>
      <c r="I43" s="53"/>
      <c r="J43" s="54"/>
      <c r="K43" s="55"/>
      <c r="L43" s="53"/>
      <c r="M43" s="53"/>
      <c r="N43" s="55"/>
      <c r="O43" s="55"/>
      <c r="P43" s="53"/>
      <c r="Q43" s="53"/>
      <c r="R43" s="86"/>
    </row>
    <row r="44" ht="15.75" customHeight="1">
      <c r="A44" s="57">
        <f t="shared" ref="A44:A46" si="22">A43+7</f>
        <v>45851</v>
      </c>
      <c r="B44" s="48">
        <v>20.0</v>
      </c>
      <c r="C44" s="49">
        <f t="shared" si="1"/>
        <v>0.8333333333</v>
      </c>
      <c r="D44" s="50">
        <v>28840.0</v>
      </c>
      <c r="E44" s="51">
        <f t="shared" si="21"/>
        <v>1442</v>
      </c>
      <c r="F44" s="50">
        <v>27490.0</v>
      </c>
      <c r="G44" s="52">
        <f t="shared" si="3"/>
        <v>0.9531900139</v>
      </c>
      <c r="H44" s="58"/>
      <c r="I44" s="58"/>
      <c r="J44" s="54"/>
      <c r="K44" s="55"/>
      <c r="L44" s="58"/>
      <c r="M44" s="58"/>
      <c r="N44" s="55"/>
      <c r="O44" s="55"/>
      <c r="P44" s="58"/>
      <c r="Q44" s="58"/>
      <c r="R44" s="86"/>
    </row>
    <row r="45" ht="15.75" customHeight="1">
      <c r="A45" s="57">
        <f t="shared" si="22"/>
        <v>45858</v>
      </c>
      <c r="B45" s="48">
        <v>20.0</v>
      </c>
      <c r="C45" s="49">
        <f t="shared" si="1"/>
        <v>0.8333333333</v>
      </c>
      <c r="D45" s="50">
        <v>28840.0</v>
      </c>
      <c r="E45" s="51">
        <f t="shared" si="21"/>
        <v>1442</v>
      </c>
      <c r="F45" s="50">
        <v>28317.0</v>
      </c>
      <c r="G45" s="52">
        <f t="shared" si="3"/>
        <v>0.9818654646</v>
      </c>
      <c r="H45" s="58"/>
      <c r="I45" s="58"/>
      <c r="J45" s="54"/>
      <c r="K45" s="55"/>
      <c r="L45" s="58"/>
      <c r="M45" s="58"/>
      <c r="N45" s="55"/>
      <c r="O45" s="55"/>
      <c r="P45" s="58"/>
      <c r="Q45" s="58"/>
      <c r="R45" s="86"/>
    </row>
    <row r="46" ht="15.75" customHeight="1">
      <c r="A46" s="57">
        <f t="shared" si="22"/>
        <v>45865</v>
      </c>
      <c r="B46" s="48">
        <v>20.0</v>
      </c>
      <c r="C46" s="49">
        <f t="shared" si="1"/>
        <v>0.8333333333</v>
      </c>
      <c r="D46" s="50">
        <v>28840.0</v>
      </c>
      <c r="E46" s="51">
        <f t="shared" si="21"/>
        <v>1442</v>
      </c>
      <c r="F46" s="50">
        <v>28317.0</v>
      </c>
      <c r="G46" s="52">
        <f t="shared" si="3"/>
        <v>0.9818654646</v>
      </c>
      <c r="H46" s="82"/>
      <c r="I46" s="82"/>
      <c r="J46" s="54"/>
      <c r="K46" s="55"/>
      <c r="L46" s="82"/>
      <c r="M46" s="82"/>
      <c r="N46" s="55"/>
      <c r="O46" s="55"/>
      <c r="P46" s="82"/>
      <c r="Q46" s="82"/>
      <c r="R46" s="86"/>
    </row>
    <row r="47" ht="15.75" customHeight="1">
      <c r="A47" s="61" t="s">
        <v>51</v>
      </c>
      <c r="B47" s="62">
        <v>24.0</v>
      </c>
      <c r="C47" s="63">
        <f t="shared" si="1"/>
        <v>1</v>
      </c>
      <c r="D47" s="64">
        <v>33500.0</v>
      </c>
      <c r="E47" s="70">
        <f>D47/B47</f>
        <v>1395.833333</v>
      </c>
      <c r="F47" s="64">
        <v>33500.0</v>
      </c>
      <c r="G47" s="66">
        <f t="shared" si="3"/>
        <v>1</v>
      </c>
      <c r="H47" s="83">
        <v>27472.0</v>
      </c>
      <c r="I47" s="67">
        <v>33500.0</v>
      </c>
      <c r="J47" s="68">
        <f>IF(H47=0,"",H47-I47)</f>
        <v>-6028</v>
      </c>
      <c r="K47" s="69">
        <f>IFERROR((H47-I47)/H47,"")</f>
        <v>-0.2194234129</v>
      </c>
      <c r="L47" s="83">
        <v>48251.0</v>
      </c>
      <c r="M47" s="67">
        <v>29500.0</v>
      </c>
      <c r="N47" s="68">
        <f>IF(L47=0,"",L47-M47)</f>
        <v>18751</v>
      </c>
      <c r="O47" s="69">
        <f>IFERROR((L47-M47)/L47,"")</f>
        <v>0.3886137075</v>
      </c>
      <c r="P47" s="84">
        <f t="shared" ref="P47:Q47" si="23">H47-L47</f>
        <v>-20779</v>
      </c>
      <c r="Q47" s="84">
        <f t="shared" si="23"/>
        <v>4000</v>
      </c>
      <c r="R47" s="71" t="s">
        <v>57</v>
      </c>
    </row>
    <row r="48" ht="15.75" customHeight="1">
      <c r="A48" s="57">
        <f>A46+7</f>
        <v>45872</v>
      </c>
      <c r="B48" s="48">
        <v>20.0</v>
      </c>
      <c r="C48" s="49">
        <f t="shared" si="1"/>
        <v>0.8333333333</v>
      </c>
      <c r="D48" s="50">
        <v>28965.0</v>
      </c>
      <c r="E48" s="51">
        <f t="shared" ref="E48:E52" si="24">IFERROR(D48/B48,"")</f>
        <v>1448.25</v>
      </c>
      <c r="F48" s="50">
        <v>26560.0</v>
      </c>
      <c r="G48" s="52">
        <f t="shared" si="3"/>
        <v>0.9169687554</v>
      </c>
      <c r="H48" s="53"/>
      <c r="I48" s="53"/>
      <c r="J48" s="54"/>
      <c r="K48" s="55"/>
      <c r="L48" s="53"/>
      <c r="M48" s="53"/>
      <c r="N48" s="55"/>
      <c r="O48" s="55"/>
      <c r="P48" s="53"/>
      <c r="Q48" s="53"/>
      <c r="R48" s="86"/>
    </row>
    <row r="49" ht="15.75" customHeight="1">
      <c r="A49" s="57">
        <f t="shared" ref="A49:A52" si="25">A48+7</f>
        <v>45879</v>
      </c>
      <c r="B49" s="48">
        <v>20.0</v>
      </c>
      <c r="C49" s="49">
        <f t="shared" si="1"/>
        <v>0.8333333333</v>
      </c>
      <c r="D49" s="50">
        <v>28965.0</v>
      </c>
      <c r="E49" s="51">
        <f t="shared" si="24"/>
        <v>1448.25</v>
      </c>
      <c r="F49" s="50">
        <v>27720.0</v>
      </c>
      <c r="G49" s="52">
        <f t="shared" si="3"/>
        <v>0.9570170896</v>
      </c>
      <c r="H49" s="58"/>
      <c r="I49" s="58"/>
      <c r="J49" s="54"/>
      <c r="K49" s="55"/>
      <c r="L49" s="58"/>
      <c r="M49" s="58"/>
      <c r="N49" s="55"/>
      <c r="O49" s="55"/>
      <c r="P49" s="58"/>
      <c r="Q49" s="58"/>
      <c r="R49" s="86"/>
    </row>
    <row r="50" ht="15.75" customHeight="1">
      <c r="A50" s="57">
        <f t="shared" si="25"/>
        <v>45886</v>
      </c>
      <c r="B50" s="48">
        <v>20.0</v>
      </c>
      <c r="C50" s="49">
        <f t="shared" si="1"/>
        <v>0.8333333333</v>
      </c>
      <c r="D50" s="50">
        <v>28965.0</v>
      </c>
      <c r="E50" s="51">
        <f t="shared" si="24"/>
        <v>1448.25</v>
      </c>
      <c r="F50" s="50">
        <v>28965.0</v>
      </c>
      <c r="G50" s="52">
        <f t="shared" si="3"/>
        <v>1</v>
      </c>
      <c r="H50" s="58"/>
      <c r="I50" s="58"/>
      <c r="J50" s="54"/>
      <c r="K50" s="55"/>
      <c r="L50" s="58"/>
      <c r="M50" s="58"/>
      <c r="N50" s="55"/>
      <c r="O50" s="55"/>
      <c r="P50" s="58"/>
      <c r="Q50" s="58"/>
      <c r="R50" s="86"/>
    </row>
    <row r="51" ht="15.75" customHeight="1">
      <c r="A51" s="57">
        <f t="shared" si="25"/>
        <v>45893</v>
      </c>
      <c r="B51" s="48">
        <v>20.0</v>
      </c>
      <c r="C51" s="49">
        <f t="shared" si="1"/>
        <v>0.8333333333</v>
      </c>
      <c r="D51" s="50">
        <v>28965.0</v>
      </c>
      <c r="E51" s="51">
        <f t="shared" si="24"/>
        <v>1448.25</v>
      </c>
      <c r="F51" s="50">
        <v>28965.0</v>
      </c>
      <c r="G51" s="52">
        <f t="shared" si="3"/>
        <v>1</v>
      </c>
      <c r="H51" s="60"/>
      <c r="I51" s="60"/>
      <c r="J51" s="54"/>
      <c r="K51" s="55"/>
      <c r="L51" s="58"/>
      <c r="M51" s="58"/>
      <c r="N51" s="55"/>
      <c r="O51" s="55"/>
      <c r="P51" s="58"/>
      <c r="Q51" s="58"/>
      <c r="R51" s="86"/>
    </row>
    <row r="52" ht="15.75" customHeight="1">
      <c r="A52" s="57">
        <f t="shared" si="25"/>
        <v>45900</v>
      </c>
      <c r="B52" s="48">
        <v>20.0</v>
      </c>
      <c r="C52" s="49">
        <f t="shared" si="1"/>
        <v>0.8333333333</v>
      </c>
      <c r="D52" s="50">
        <v>28965.0</v>
      </c>
      <c r="E52" s="51">
        <f t="shared" si="24"/>
        <v>1448.25</v>
      </c>
      <c r="F52" s="50">
        <v>28965.0</v>
      </c>
      <c r="G52" s="72">
        <f t="shared" si="3"/>
        <v>1</v>
      </c>
      <c r="H52" s="74"/>
      <c r="I52" s="80"/>
      <c r="J52" s="75"/>
      <c r="K52" s="55"/>
      <c r="L52" s="60"/>
      <c r="M52" s="60"/>
      <c r="N52" s="55"/>
      <c r="O52" s="55"/>
      <c r="P52" s="60"/>
      <c r="Q52" s="60"/>
      <c r="R52" s="86"/>
    </row>
    <row r="53" ht="15.75" customHeight="1">
      <c r="A53" s="61" t="s">
        <v>51</v>
      </c>
      <c r="B53" s="62">
        <v>24.0</v>
      </c>
      <c r="C53" s="63">
        <f t="shared" si="1"/>
        <v>1</v>
      </c>
      <c r="D53" s="64">
        <v>33500.0</v>
      </c>
      <c r="E53" s="70">
        <f>D53/B53</f>
        <v>1395.833333</v>
      </c>
      <c r="F53" s="64">
        <v>33500.0</v>
      </c>
      <c r="G53" s="66">
        <f t="shared" si="3"/>
        <v>1</v>
      </c>
      <c r="H53" s="67">
        <v>26629.0</v>
      </c>
      <c r="I53" s="67">
        <v>33500.0</v>
      </c>
      <c r="J53" s="68">
        <f>IF(H53=0,"",H53-I53)</f>
        <v>-6871</v>
      </c>
      <c r="K53" s="69">
        <f>IFERROR((H53-I53)/H53,"")</f>
        <v>-0.2580269631</v>
      </c>
      <c r="L53" s="67">
        <v>25945.0</v>
      </c>
      <c r="M53" s="67">
        <v>29500.0</v>
      </c>
      <c r="N53" s="68">
        <f>IF(L53=0,"",L53-M53)</f>
        <v>-3555</v>
      </c>
      <c r="O53" s="69">
        <f>IFERROR((L53-M53)/L53,"")</f>
        <v>-0.1370206205</v>
      </c>
      <c r="P53" s="70">
        <f t="shared" ref="P53:Q53" si="26">H53-L53</f>
        <v>684</v>
      </c>
      <c r="Q53" s="70">
        <f t="shared" si="26"/>
        <v>4000</v>
      </c>
      <c r="R53" s="71" t="s">
        <v>58</v>
      </c>
    </row>
    <row r="54" ht="15.75" customHeight="1">
      <c r="A54" s="57">
        <f>A52+7</f>
        <v>45907</v>
      </c>
      <c r="B54" s="48">
        <v>20.0</v>
      </c>
      <c r="C54" s="49">
        <f t="shared" si="1"/>
        <v>0.8333333333</v>
      </c>
      <c r="D54" s="50">
        <v>29565.0</v>
      </c>
      <c r="E54" s="51">
        <f t="shared" ref="E54:E57" si="27">IFERROR(D54/B54,"")</f>
        <v>1478.25</v>
      </c>
      <c r="F54" s="50">
        <v>28315.0</v>
      </c>
      <c r="G54" s="52">
        <f t="shared" si="3"/>
        <v>0.9577202774</v>
      </c>
      <c r="H54" s="78"/>
      <c r="I54" s="78"/>
      <c r="J54" s="54"/>
      <c r="K54" s="76"/>
      <c r="L54" s="74"/>
      <c r="M54" s="74"/>
      <c r="N54" s="77"/>
      <c r="O54" s="55"/>
      <c r="P54" s="74"/>
      <c r="Q54" s="74"/>
      <c r="R54" s="86"/>
    </row>
    <row r="55" ht="15.75" customHeight="1">
      <c r="A55" s="57">
        <f t="shared" ref="A55:A57" si="28">A54+7</f>
        <v>45914</v>
      </c>
      <c r="B55" s="48">
        <v>20.0</v>
      </c>
      <c r="C55" s="49">
        <f t="shared" si="1"/>
        <v>0.8333333333</v>
      </c>
      <c r="D55" s="50">
        <v>29565.0</v>
      </c>
      <c r="E55" s="51">
        <f t="shared" si="27"/>
        <v>1478.25</v>
      </c>
      <c r="F55" s="50">
        <v>29565.0</v>
      </c>
      <c r="G55" s="52">
        <f t="shared" si="3"/>
        <v>1</v>
      </c>
      <c r="H55" s="58"/>
      <c r="I55" s="58"/>
      <c r="J55" s="54"/>
      <c r="K55" s="55"/>
      <c r="L55" s="78"/>
      <c r="M55" s="78"/>
      <c r="N55" s="55"/>
      <c r="O55" s="55"/>
      <c r="P55" s="78"/>
      <c r="Q55" s="78"/>
      <c r="R55" s="86"/>
    </row>
    <row r="56" ht="15.75" customHeight="1">
      <c r="A56" s="57">
        <f t="shared" si="28"/>
        <v>45921</v>
      </c>
      <c r="B56" s="48">
        <v>20.0</v>
      </c>
      <c r="C56" s="49">
        <f t="shared" si="1"/>
        <v>0.8333333333</v>
      </c>
      <c r="D56" s="50">
        <v>29565.0</v>
      </c>
      <c r="E56" s="51">
        <f t="shared" si="27"/>
        <v>1478.25</v>
      </c>
      <c r="F56" s="50">
        <v>29565.0</v>
      </c>
      <c r="G56" s="52">
        <f t="shared" si="3"/>
        <v>1</v>
      </c>
      <c r="H56" s="58"/>
      <c r="I56" s="58"/>
      <c r="J56" s="54"/>
      <c r="K56" s="55"/>
      <c r="L56" s="58"/>
      <c r="M56" s="58"/>
      <c r="N56" s="55"/>
      <c r="O56" s="55"/>
      <c r="P56" s="58"/>
      <c r="Q56" s="58"/>
      <c r="R56" s="86"/>
    </row>
    <row r="57" ht="15.75" customHeight="1">
      <c r="A57" s="57">
        <f t="shared" si="28"/>
        <v>45928</v>
      </c>
      <c r="B57" s="48">
        <v>20.0</v>
      </c>
      <c r="C57" s="49">
        <f t="shared" si="1"/>
        <v>0.8333333333</v>
      </c>
      <c r="D57" s="50">
        <v>29565.0</v>
      </c>
      <c r="E57" s="51">
        <f t="shared" si="27"/>
        <v>1478.25</v>
      </c>
      <c r="F57" s="50">
        <v>29565.0</v>
      </c>
      <c r="G57" s="52">
        <f t="shared" si="3"/>
        <v>1</v>
      </c>
      <c r="H57" s="82"/>
      <c r="I57" s="82"/>
      <c r="J57" s="54"/>
      <c r="K57" s="55"/>
      <c r="L57" s="82"/>
      <c r="M57" s="82"/>
      <c r="N57" s="55"/>
      <c r="O57" s="55"/>
      <c r="P57" s="82"/>
      <c r="Q57" s="82"/>
      <c r="R57" s="86"/>
    </row>
    <row r="58" ht="15.75" customHeight="1">
      <c r="A58" s="61" t="s">
        <v>51</v>
      </c>
      <c r="B58" s="62">
        <v>24.0</v>
      </c>
      <c r="C58" s="63">
        <f t="shared" si="1"/>
        <v>1</v>
      </c>
      <c r="D58" s="64">
        <v>33500.0</v>
      </c>
      <c r="E58" s="70">
        <f>D58/B58</f>
        <v>1395.833333</v>
      </c>
      <c r="F58" s="64">
        <v>33500.0</v>
      </c>
      <c r="G58" s="66">
        <f t="shared" si="3"/>
        <v>1</v>
      </c>
      <c r="H58" s="83">
        <v>28497.0</v>
      </c>
      <c r="I58" s="67">
        <v>33500.0</v>
      </c>
      <c r="J58" s="68">
        <f>IF(H58=0,"",H58-I58)</f>
        <v>-5003</v>
      </c>
      <c r="K58" s="69">
        <f>IFERROR((H58-I58)/H58,"")</f>
        <v>-0.1755623399</v>
      </c>
      <c r="L58" s="83">
        <v>27533.0</v>
      </c>
      <c r="M58" s="67">
        <v>29500.0</v>
      </c>
      <c r="N58" s="68">
        <f>IF(L58=0,"",L58-M58)</f>
        <v>-1967</v>
      </c>
      <c r="O58" s="69">
        <f>IFERROR((L58-M58)/L58,"")</f>
        <v>-0.07144154288</v>
      </c>
      <c r="P58" s="84">
        <f t="shared" ref="P58:Q58" si="29">H58-L58</f>
        <v>964</v>
      </c>
      <c r="Q58" s="84">
        <f t="shared" si="29"/>
        <v>4000</v>
      </c>
      <c r="R58" s="87"/>
    </row>
    <row r="59" ht="15.75" customHeight="1">
      <c r="A59" s="57">
        <f>A57+7</f>
        <v>45935</v>
      </c>
      <c r="B59" s="48">
        <v>20.0</v>
      </c>
      <c r="C59" s="88">
        <f t="shared" si="1"/>
        <v>0.8333333333</v>
      </c>
      <c r="D59" s="50">
        <v>29565.0</v>
      </c>
      <c r="E59" s="51">
        <f t="shared" ref="E59:E62" si="30">IFERROR(D59/B59,"")</f>
        <v>1478.25</v>
      </c>
      <c r="F59" s="50">
        <v>25810.0</v>
      </c>
      <c r="G59" s="52">
        <f t="shared" si="3"/>
        <v>0.8729917132</v>
      </c>
      <c r="H59" s="53"/>
      <c r="I59" s="53"/>
      <c r="J59" s="54"/>
      <c r="K59" s="55"/>
      <c r="L59" s="53"/>
      <c r="M59" s="53"/>
      <c r="N59" s="55"/>
      <c r="O59" s="55"/>
      <c r="P59" s="53"/>
      <c r="Q59" s="53"/>
      <c r="R59" s="86"/>
    </row>
    <row r="60" ht="15.75" customHeight="1">
      <c r="A60" s="57">
        <f t="shared" ref="A60:A62" si="31">A59+7</f>
        <v>45942</v>
      </c>
      <c r="B60" s="48">
        <v>20.0</v>
      </c>
      <c r="C60" s="88">
        <f t="shared" si="1"/>
        <v>0.8333333333</v>
      </c>
      <c r="D60" s="50">
        <v>29565.0</v>
      </c>
      <c r="E60" s="51">
        <f t="shared" si="30"/>
        <v>1478.25</v>
      </c>
      <c r="F60" s="50">
        <v>29565.0</v>
      </c>
      <c r="G60" s="52">
        <f t="shared" si="3"/>
        <v>1</v>
      </c>
      <c r="H60" s="58"/>
      <c r="I60" s="58"/>
      <c r="J60" s="54"/>
      <c r="K60" s="55"/>
      <c r="L60" s="58"/>
      <c r="M60" s="58"/>
      <c r="N60" s="55"/>
      <c r="O60" s="55"/>
      <c r="P60" s="58"/>
      <c r="Q60" s="58"/>
      <c r="R60" s="86"/>
    </row>
    <row r="61" ht="15.75" customHeight="1">
      <c r="A61" s="57">
        <f t="shared" si="31"/>
        <v>45949</v>
      </c>
      <c r="B61" s="48">
        <v>20.0</v>
      </c>
      <c r="C61" s="88">
        <f t="shared" si="1"/>
        <v>0.8333333333</v>
      </c>
      <c r="D61" s="50">
        <v>29565.0</v>
      </c>
      <c r="E61" s="51">
        <f t="shared" si="30"/>
        <v>1478.25</v>
      </c>
      <c r="F61" s="50">
        <v>29565.0</v>
      </c>
      <c r="G61" s="52">
        <f t="shared" si="3"/>
        <v>1</v>
      </c>
      <c r="H61" s="58"/>
      <c r="I61" s="58"/>
      <c r="J61" s="54"/>
      <c r="K61" s="55"/>
      <c r="L61" s="58"/>
      <c r="M61" s="58"/>
      <c r="N61" s="55"/>
      <c r="O61" s="55"/>
      <c r="P61" s="58"/>
      <c r="Q61" s="58"/>
      <c r="R61" s="86"/>
    </row>
    <row r="62" ht="15.75" customHeight="1">
      <c r="A62" s="57">
        <f t="shared" si="31"/>
        <v>45956</v>
      </c>
      <c r="B62" s="48">
        <v>20.0</v>
      </c>
      <c r="C62" s="88">
        <f t="shared" si="1"/>
        <v>0.8333333333</v>
      </c>
      <c r="D62" s="50">
        <v>29565.0</v>
      </c>
      <c r="E62" s="51">
        <f t="shared" si="30"/>
        <v>1478.25</v>
      </c>
      <c r="F62" s="50">
        <v>29565.0</v>
      </c>
      <c r="G62" s="52">
        <f t="shared" si="3"/>
        <v>1</v>
      </c>
      <c r="H62" s="60"/>
      <c r="I62" s="60"/>
      <c r="J62" s="54"/>
      <c r="K62" s="55"/>
      <c r="L62" s="58"/>
      <c r="M62" s="58"/>
      <c r="N62" s="55"/>
      <c r="O62" s="55"/>
      <c r="P62" s="58"/>
      <c r="Q62" s="58"/>
      <c r="R62" s="86"/>
    </row>
    <row r="63" ht="15.75" customHeight="1">
      <c r="A63" s="61" t="s">
        <v>51</v>
      </c>
      <c r="B63" s="62">
        <v>24.0</v>
      </c>
      <c r="C63" s="63">
        <f t="shared" si="1"/>
        <v>1</v>
      </c>
      <c r="D63" s="64">
        <v>33500.0</v>
      </c>
      <c r="E63" s="70">
        <f>D63/B63</f>
        <v>1395.833333</v>
      </c>
      <c r="F63" s="64">
        <v>33500.0</v>
      </c>
      <c r="G63" s="66">
        <f t="shared" si="3"/>
        <v>1</v>
      </c>
      <c r="H63" s="67">
        <v>33317.0</v>
      </c>
      <c r="I63" s="67">
        <v>33500.0</v>
      </c>
      <c r="J63" s="68">
        <f>IF(H63=0,"",H63-I63)</f>
        <v>-183</v>
      </c>
      <c r="K63" s="69">
        <f>IFERROR((H63-I63)/H63,"")</f>
        <v>-0.005492691419</v>
      </c>
      <c r="L63" s="67">
        <v>36841.0</v>
      </c>
      <c r="M63" s="67">
        <v>29500.0</v>
      </c>
      <c r="N63" s="68">
        <f>IF(L63=0,"",L63-M63)</f>
        <v>7341</v>
      </c>
      <c r="O63" s="69">
        <f>IFERROR((L63-M63)/L63,"")</f>
        <v>0.1992616921</v>
      </c>
      <c r="P63" s="70">
        <f t="shared" ref="P63:Q63" si="32">H63-L63</f>
        <v>-3524</v>
      </c>
      <c r="Q63" s="70">
        <f t="shared" si="32"/>
        <v>4000</v>
      </c>
      <c r="R63" s="71" t="s">
        <v>59</v>
      </c>
    </row>
    <row r="64" ht="15.75" customHeight="1">
      <c r="A64" s="57">
        <f>A62+7</f>
        <v>45963</v>
      </c>
      <c r="B64" s="48">
        <v>20.0</v>
      </c>
      <c r="C64" s="88">
        <f t="shared" si="1"/>
        <v>0.8333333333</v>
      </c>
      <c r="D64" s="50">
        <v>29835.0</v>
      </c>
      <c r="E64" s="51">
        <f t="shared" ref="E64:E68" si="33">IFERROR(D64/B64,"")</f>
        <v>1491.75</v>
      </c>
      <c r="F64" s="50">
        <v>15845.0</v>
      </c>
      <c r="G64" s="79">
        <f t="shared" si="3"/>
        <v>0.5310876487</v>
      </c>
      <c r="H64" s="81"/>
      <c r="I64" s="74"/>
      <c r="J64" s="75"/>
      <c r="K64" s="55"/>
      <c r="L64" s="60"/>
      <c r="M64" s="60"/>
      <c r="N64" s="55"/>
      <c r="O64" s="55"/>
      <c r="P64" s="60"/>
      <c r="Q64" s="60"/>
      <c r="R64" s="86"/>
    </row>
    <row r="65" ht="15.75" customHeight="1">
      <c r="A65" s="57">
        <f t="shared" ref="A65:A68" si="34">A64+7</f>
        <v>45970</v>
      </c>
      <c r="B65" s="48">
        <v>21.0</v>
      </c>
      <c r="C65" s="88">
        <f t="shared" si="1"/>
        <v>0.875</v>
      </c>
      <c r="D65" s="50">
        <v>30835.0</v>
      </c>
      <c r="E65" s="51">
        <f t="shared" si="33"/>
        <v>1468.333333</v>
      </c>
      <c r="F65" s="50">
        <v>28585.0</v>
      </c>
      <c r="G65" s="52">
        <f t="shared" si="3"/>
        <v>0.9270309713</v>
      </c>
      <c r="H65" s="78"/>
      <c r="I65" s="78"/>
      <c r="J65" s="54"/>
      <c r="K65" s="55"/>
      <c r="L65" s="80"/>
      <c r="M65" s="81"/>
      <c r="N65" s="55"/>
      <c r="O65" s="55"/>
      <c r="P65" s="80"/>
      <c r="Q65" s="81"/>
      <c r="R65" s="86"/>
    </row>
    <row r="66" ht="15.75" customHeight="1">
      <c r="A66" s="57">
        <f t="shared" si="34"/>
        <v>45977</v>
      </c>
      <c r="B66" s="48">
        <v>21.0</v>
      </c>
      <c r="C66" s="88">
        <f t="shared" si="1"/>
        <v>0.875</v>
      </c>
      <c r="D66" s="50">
        <v>30835.0</v>
      </c>
      <c r="E66" s="51">
        <f t="shared" si="33"/>
        <v>1468.333333</v>
      </c>
      <c r="F66" s="50">
        <v>29318.0</v>
      </c>
      <c r="G66" s="52">
        <f t="shared" si="3"/>
        <v>0.9508026593</v>
      </c>
      <c r="H66" s="58"/>
      <c r="I66" s="58"/>
      <c r="J66" s="54"/>
      <c r="K66" s="55"/>
      <c r="L66" s="78"/>
      <c r="M66" s="78"/>
      <c r="N66" s="55"/>
      <c r="O66" s="55"/>
      <c r="P66" s="78"/>
      <c r="Q66" s="78"/>
      <c r="R66" s="86"/>
    </row>
    <row r="67" ht="15.75" customHeight="1">
      <c r="A67" s="57">
        <f t="shared" si="34"/>
        <v>45984</v>
      </c>
      <c r="B67" s="48">
        <v>20.0</v>
      </c>
      <c r="C67" s="88">
        <f t="shared" si="1"/>
        <v>0.8333333333</v>
      </c>
      <c r="D67" s="50">
        <v>29785.0</v>
      </c>
      <c r="E67" s="51">
        <f t="shared" si="33"/>
        <v>1489.25</v>
      </c>
      <c r="F67" s="50">
        <v>29318.0</v>
      </c>
      <c r="G67" s="52">
        <f t="shared" si="3"/>
        <v>0.9843209669</v>
      </c>
      <c r="H67" s="60"/>
      <c r="I67" s="60"/>
      <c r="J67" s="54"/>
      <c r="K67" s="55"/>
      <c r="L67" s="58"/>
      <c r="M67" s="58"/>
      <c r="N67" s="55"/>
      <c r="O67" s="55"/>
      <c r="P67" s="58"/>
      <c r="Q67" s="58"/>
      <c r="R67" s="86"/>
    </row>
    <row r="68" ht="15.75" customHeight="1">
      <c r="A68" s="57">
        <f t="shared" si="34"/>
        <v>45991</v>
      </c>
      <c r="B68" s="48">
        <v>22.0</v>
      </c>
      <c r="C68" s="88">
        <f t="shared" si="1"/>
        <v>0.9166666667</v>
      </c>
      <c r="D68" s="50">
        <v>31985.0</v>
      </c>
      <c r="E68" s="51">
        <f t="shared" si="33"/>
        <v>1453.863636</v>
      </c>
      <c r="F68" s="50">
        <v>32768.0</v>
      </c>
      <c r="G68" s="79">
        <f t="shared" si="3"/>
        <v>1.024480225</v>
      </c>
      <c r="H68" s="81"/>
      <c r="I68" s="74"/>
      <c r="J68" s="75"/>
      <c r="K68" s="55"/>
      <c r="L68" s="60"/>
      <c r="M68" s="60"/>
      <c r="N68" s="55"/>
      <c r="O68" s="55"/>
      <c r="P68" s="60"/>
      <c r="Q68" s="60"/>
      <c r="R68" s="86"/>
    </row>
    <row r="69" ht="15.75" customHeight="1">
      <c r="A69" s="61" t="s">
        <v>51</v>
      </c>
      <c r="B69" s="62">
        <v>24.0</v>
      </c>
      <c r="C69" s="63">
        <f t="shared" si="1"/>
        <v>1</v>
      </c>
      <c r="D69" s="64">
        <v>33500.0</v>
      </c>
      <c r="E69" s="70">
        <f>D69/B69</f>
        <v>1395.833333</v>
      </c>
      <c r="F69" s="64">
        <v>33500.0</v>
      </c>
      <c r="G69" s="66">
        <f t="shared" si="3"/>
        <v>1</v>
      </c>
      <c r="H69" s="70"/>
      <c r="I69" s="67">
        <v>33500.0</v>
      </c>
      <c r="J69" s="68" t="str">
        <f>IF(H69=0,"",H69-I69)</f>
        <v/>
      </c>
      <c r="K69" s="69" t="str">
        <f>IFERROR((H69-I69)/H69,"")</f>
        <v/>
      </c>
      <c r="L69" s="70"/>
      <c r="M69" s="67">
        <v>29500.0</v>
      </c>
      <c r="N69" s="68" t="str">
        <f>IF(L69=0,"",L69-M69)</f>
        <v/>
      </c>
      <c r="O69" s="69" t="str">
        <f>IFERROR((L69-M69)/L69,"")</f>
        <v/>
      </c>
      <c r="P69" s="70">
        <f t="shared" ref="P69:Q69" si="35">H69-L69</f>
        <v>0</v>
      </c>
      <c r="Q69" s="70">
        <f t="shared" si="35"/>
        <v>4000</v>
      </c>
      <c r="R69" s="87"/>
    </row>
    <row r="70" ht="15.75" customHeight="1">
      <c r="A70" s="57">
        <f>A68+7</f>
        <v>45998</v>
      </c>
      <c r="B70" s="89" t="s">
        <v>60</v>
      </c>
      <c r="C70" s="88">
        <f t="shared" si="1"/>
        <v>0.875</v>
      </c>
      <c r="D70" s="50">
        <v>30735.0</v>
      </c>
      <c r="E70" s="51">
        <f t="shared" ref="E70:E73" si="36">IFERROR(D70/B70,"")</f>
        <v>1463.571429</v>
      </c>
      <c r="F70" s="50">
        <v>27185.0</v>
      </c>
      <c r="G70" s="52">
        <f t="shared" si="3"/>
        <v>0.8844965024</v>
      </c>
      <c r="H70" s="78"/>
      <c r="I70" s="78"/>
      <c r="J70" s="54"/>
      <c r="K70" s="76"/>
      <c r="L70" s="74"/>
      <c r="M70" s="74"/>
      <c r="N70" s="77"/>
      <c r="O70" s="55"/>
      <c r="P70" s="74"/>
      <c r="Q70" s="74"/>
      <c r="R70" s="86"/>
    </row>
    <row r="71" ht="15.75" customHeight="1">
      <c r="A71" s="57">
        <f t="shared" ref="A71:A73" si="37">A70+7</f>
        <v>46005</v>
      </c>
      <c r="B71" s="89" t="s">
        <v>60</v>
      </c>
      <c r="C71" s="88">
        <f t="shared" si="1"/>
        <v>0.875</v>
      </c>
      <c r="D71" s="50">
        <v>30735.0</v>
      </c>
      <c r="E71" s="51">
        <f t="shared" si="36"/>
        <v>1463.571429</v>
      </c>
      <c r="F71" s="50">
        <v>29635.0</v>
      </c>
      <c r="G71" s="52">
        <f t="shared" si="3"/>
        <v>0.9642101838</v>
      </c>
      <c r="H71" s="58"/>
      <c r="I71" s="58"/>
      <c r="J71" s="54"/>
      <c r="K71" s="55"/>
      <c r="L71" s="78"/>
      <c r="M71" s="78"/>
      <c r="N71" s="55"/>
      <c r="O71" s="55"/>
      <c r="P71" s="78"/>
      <c r="Q71" s="78"/>
      <c r="R71" s="86"/>
    </row>
    <row r="72" ht="15.75" customHeight="1">
      <c r="A72" s="57">
        <f t="shared" si="37"/>
        <v>46012</v>
      </c>
      <c r="B72" s="90"/>
      <c r="C72" s="88" t="str">
        <f t="shared" si="1"/>
        <v/>
      </c>
      <c r="D72" s="91"/>
      <c r="E72" s="51" t="str">
        <f t="shared" si="36"/>
        <v/>
      </c>
      <c r="F72" s="91"/>
      <c r="G72" s="52" t="str">
        <f t="shared" si="3"/>
        <v/>
      </c>
      <c r="H72" s="58"/>
      <c r="I72" s="58"/>
      <c r="J72" s="54"/>
      <c r="K72" s="55"/>
      <c r="L72" s="58"/>
      <c r="M72" s="58"/>
      <c r="N72" s="55"/>
      <c r="O72" s="55"/>
      <c r="P72" s="58"/>
      <c r="Q72" s="58"/>
      <c r="R72" s="86"/>
    </row>
    <row r="73" ht="15.75" customHeight="1">
      <c r="A73" s="57">
        <f t="shared" si="37"/>
        <v>46019</v>
      </c>
      <c r="B73" s="90"/>
      <c r="C73" s="88" t="str">
        <f t="shared" si="1"/>
        <v/>
      </c>
      <c r="D73" s="91"/>
      <c r="E73" s="51" t="str">
        <f t="shared" si="36"/>
        <v/>
      </c>
      <c r="F73" s="91"/>
      <c r="G73" s="52" t="str">
        <f t="shared" si="3"/>
        <v/>
      </c>
      <c r="H73" s="82"/>
      <c r="I73" s="82"/>
      <c r="J73" s="54"/>
      <c r="K73" s="55"/>
      <c r="L73" s="82"/>
      <c r="M73" s="82"/>
      <c r="N73" s="55"/>
      <c r="O73" s="55"/>
      <c r="P73" s="82"/>
      <c r="Q73" s="82"/>
      <c r="R73" s="86"/>
    </row>
    <row r="74" ht="15.75" customHeight="1">
      <c r="A74" s="61" t="s">
        <v>51</v>
      </c>
      <c r="B74" s="62">
        <v>24.0</v>
      </c>
      <c r="C74" s="63">
        <f t="shared" si="1"/>
        <v>1</v>
      </c>
      <c r="D74" s="64">
        <v>33500.0</v>
      </c>
      <c r="E74" s="70">
        <f>D74/B74</f>
        <v>1395.833333</v>
      </c>
      <c r="F74" s="64">
        <v>33500.0</v>
      </c>
      <c r="G74" s="66">
        <f t="shared" si="3"/>
        <v>1</v>
      </c>
      <c r="H74" s="92"/>
      <c r="I74" s="67">
        <v>33500.0</v>
      </c>
      <c r="J74" s="68" t="str">
        <f t="shared" ref="J74:J75" si="40">IF(H74=0,"",H74-I74)</f>
        <v/>
      </c>
      <c r="K74" s="69" t="str">
        <f t="shared" ref="K74:K75" si="41">IFERROR((H74-I74)/H74,"")</f>
        <v/>
      </c>
      <c r="L74" s="92"/>
      <c r="M74" s="67">
        <v>29500.0</v>
      </c>
      <c r="N74" s="68" t="str">
        <f t="shared" ref="N74:N75" si="43">IF(L74=0,"",L74-M74)</f>
        <v/>
      </c>
      <c r="O74" s="69" t="str">
        <f t="shared" ref="O74:O75" si="44">IFERROR((L74-M74)/L74,"")</f>
        <v/>
      </c>
      <c r="P74" s="92">
        <f t="shared" ref="P74:Q74" si="38">H74-L74</f>
        <v>0</v>
      </c>
      <c r="Q74" s="92">
        <f t="shared" si="38"/>
        <v>4000</v>
      </c>
      <c r="R74" s="87"/>
    </row>
    <row r="75" ht="15.75" customHeight="1">
      <c r="A75" s="93" t="s">
        <v>61</v>
      </c>
      <c r="B75" s="94"/>
      <c r="C75" s="95" t="str">
        <f t="shared" si="1"/>
        <v/>
      </c>
      <c r="D75" s="96"/>
      <c r="E75" s="96" t="str">
        <f>IFERROR(D75/B75,"")</f>
        <v/>
      </c>
      <c r="F75" s="96"/>
      <c r="G75" s="97" t="str">
        <f t="shared" si="3"/>
        <v/>
      </c>
      <c r="H75" s="96">
        <f t="shared" ref="H75:I75" si="39">H15+H20+H26+H31+H36+H42+H47+H53+H58+H63+H69+H74</f>
        <v>283202</v>
      </c>
      <c r="I75" s="96">
        <f t="shared" si="39"/>
        <v>402000</v>
      </c>
      <c r="J75" s="96">
        <f t="shared" si="40"/>
        <v>-118798</v>
      </c>
      <c r="K75" s="95">
        <f t="shared" si="41"/>
        <v>-0.4194815008</v>
      </c>
      <c r="L75" s="96">
        <f t="shared" ref="L75:M75" si="42">L15+L20+L26+L31+L36+L42+L47+L53+L58+L63+L69+L74</f>
        <v>301638</v>
      </c>
      <c r="M75" s="96">
        <f t="shared" si="42"/>
        <v>354000</v>
      </c>
      <c r="N75" s="95">
        <f t="shared" si="43"/>
        <v>-52362</v>
      </c>
      <c r="O75" s="95">
        <f t="shared" si="44"/>
        <v>-0.1735921867</v>
      </c>
      <c r="P75" s="96">
        <f t="shared" ref="P75:Q75" si="45">P15+P20+P26+P31+P36+P42+P47+P53+P58+P63+P69+P74</f>
        <v>-18436</v>
      </c>
      <c r="Q75" s="96">
        <f t="shared" si="45"/>
        <v>48000</v>
      </c>
      <c r="R75" s="98"/>
    </row>
    <row r="76" ht="15.75" customHeight="1">
      <c r="A76" s="99" t="s">
        <v>62</v>
      </c>
      <c r="B76" s="100" t="s">
        <v>62</v>
      </c>
      <c r="C76" s="100" t="s">
        <v>62</v>
      </c>
      <c r="D76" s="101" t="s">
        <v>62</v>
      </c>
      <c r="E76" s="102" t="s">
        <v>62</v>
      </c>
      <c r="F76" s="101" t="s">
        <v>62</v>
      </c>
      <c r="G76" s="100" t="s">
        <v>62</v>
      </c>
      <c r="H76" s="102" t="s">
        <v>62</v>
      </c>
      <c r="I76" s="102" t="s">
        <v>62</v>
      </c>
      <c r="J76" s="102" t="s">
        <v>62</v>
      </c>
      <c r="K76" s="100" t="s">
        <v>62</v>
      </c>
      <c r="L76" s="102" t="s">
        <v>62</v>
      </c>
      <c r="M76" s="102" t="s">
        <v>62</v>
      </c>
      <c r="N76" s="100" t="s">
        <v>62</v>
      </c>
      <c r="O76" s="100" t="s">
        <v>62</v>
      </c>
      <c r="P76" s="102" t="s">
        <v>62</v>
      </c>
      <c r="Q76" s="102" t="s">
        <v>62</v>
      </c>
      <c r="R76" s="100" t="s">
        <v>62</v>
      </c>
    </row>
    <row r="77" ht="15.75" customHeight="1">
      <c r="A77" s="103"/>
      <c r="B77" s="104"/>
      <c r="C77" s="104"/>
      <c r="D77" s="105"/>
      <c r="E77" s="106"/>
      <c r="F77" s="107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6"/>
    </row>
    <row r="78" ht="15.75" customHeight="1">
      <c r="A78" s="103"/>
      <c r="B78" s="104"/>
      <c r="C78" s="104"/>
      <c r="D78" s="105"/>
      <c r="E78" s="106"/>
      <c r="F78" s="107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6"/>
    </row>
    <row r="79" ht="15.75" customHeight="1">
      <c r="A79" s="103"/>
      <c r="B79" s="104"/>
      <c r="C79" s="104"/>
      <c r="D79" s="105"/>
      <c r="E79" s="106"/>
      <c r="F79" s="107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6"/>
    </row>
    <row r="80" ht="15.75" customHeight="1">
      <c r="A80" s="103"/>
      <c r="B80" s="104"/>
      <c r="C80" s="104"/>
      <c r="D80" s="105"/>
      <c r="E80" s="106"/>
      <c r="F80" s="107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6"/>
    </row>
    <row r="81" ht="15.75" customHeight="1">
      <c r="A81" s="109"/>
      <c r="B81" s="104"/>
      <c r="C81" s="104"/>
      <c r="D81" s="105"/>
      <c r="E81" s="106"/>
      <c r="F81" s="107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6"/>
    </row>
    <row r="82" ht="15.75" customHeight="1">
      <c r="A82" s="109"/>
      <c r="B82" s="104"/>
      <c r="C82" s="104"/>
      <c r="D82" s="105"/>
      <c r="E82" s="106"/>
      <c r="F82" s="107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6"/>
    </row>
    <row r="83" ht="15.75" customHeight="1">
      <c r="A83" s="109"/>
      <c r="B83" s="104"/>
      <c r="C83" s="104"/>
      <c r="D83" s="105"/>
      <c r="E83" s="106"/>
      <c r="F83" s="107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6"/>
    </row>
    <row r="84" ht="15.75" customHeight="1">
      <c r="A84" s="109"/>
      <c r="B84" s="104"/>
      <c r="C84" s="104"/>
      <c r="D84" s="105"/>
      <c r="E84" s="106"/>
      <c r="F84" s="107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6"/>
    </row>
    <row r="85" ht="15.75" customHeight="1">
      <c r="A85" s="109"/>
      <c r="B85" s="104"/>
      <c r="C85" s="104"/>
      <c r="D85" s="105"/>
      <c r="E85" s="106"/>
      <c r="F85" s="107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6"/>
    </row>
    <row r="86" ht="15.75" customHeight="1">
      <c r="A86" s="109"/>
      <c r="B86" s="104"/>
      <c r="C86" s="104"/>
      <c r="D86" s="105"/>
      <c r="E86" s="106"/>
      <c r="F86" s="107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6"/>
    </row>
    <row r="87" ht="15.75" customHeight="1">
      <c r="A87" s="109"/>
      <c r="B87" s="104"/>
      <c r="C87" s="104"/>
      <c r="D87" s="105"/>
      <c r="E87" s="106"/>
      <c r="F87" s="107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6"/>
    </row>
    <row r="88" ht="15.75" customHeight="1">
      <c r="A88" s="109"/>
      <c r="B88" s="104"/>
      <c r="C88" s="104"/>
      <c r="D88" s="105"/>
      <c r="E88" s="106"/>
      <c r="F88" s="107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6"/>
    </row>
    <row r="89" ht="15.75" customHeight="1">
      <c r="A89" s="109"/>
      <c r="B89" s="104"/>
      <c r="C89" s="104"/>
      <c r="D89" s="105"/>
      <c r="E89" s="106"/>
      <c r="F89" s="107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6"/>
    </row>
    <row r="90" ht="15.75" customHeight="1">
      <c r="A90" s="109"/>
      <c r="B90" s="104"/>
      <c r="C90" s="104"/>
      <c r="D90" s="105"/>
      <c r="E90" s="106"/>
      <c r="F90" s="107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6"/>
    </row>
    <row r="91" ht="15.75" customHeight="1">
      <c r="A91" s="109"/>
      <c r="B91" s="104"/>
      <c r="C91" s="104"/>
      <c r="D91" s="105"/>
      <c r="E91" s="106"/>
      <c r="F91" s="107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6"/>
    </row>
    <row r="92" ht="15.75" customHeight="1">
      <c r="A92" s="109"/>
      <c r="B92" s="104"/>
      <c r="C92" s="104"/>
      <c r="D92" s="105"/>
      <c r="E92" s="106"/>
      <c r="F92" s="107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6"/>
    </row>
    <row r="93" ht="15.75" customHeight="1">
      <c r="A93" s="109"/>
      <c r="B93" s="104"/>
      <c r="C93" s="104"/>
      <c r="D93" s="105"/>
      <c r="E93" s="106"/>
      <c r="F93" s="107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6"/>
    </row>
    <row r="94" ht="15.75" customHeight="1">
      <c r="A94" s="109"/>
      <c r="B94" s="104"/>
      <c r="C94" s="104"/>
      <c r="D94" s="105"/>
      <c r="E94" s="106"/>
      <c r="F94" s="107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6"/>
    </row>
    <row r="95" ht="15.75" customHeight="1">
      <c r="A95" s="109"/>
      <c r="B95" s="104"/>
      <c r="C95" s="104"/>
      <c r="D95" s="105"/>
      <c r="E95" s="106"/>
      <c r="F95" s="107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6"/>
    </row>
    <row r="96" ht="15.75" customHeight="1">
      <c r="A96" s="109"/>
      <c r="B96" s="104"/>
      <c r="C96" s="104"/>
      <c r="D96" s="105"/>
      <c r="E96" s="106"/>
      <c r="F96" s="107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6"/>
    </row>
    <row r="97" ht="15.75" customHeight="1">
      <c r="A97" s="109"/>
      <c r="B97" s="104"/>
      <c r="C97" s="104"/>
      <c r="D97" s="105"/>
      <c r="E97" s="106"/>
      <c r="F97" s="107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6"/>
    </row>
    <row r="98" ht="15.75" customHeight="1">
      <c r="A98" s="109"/>
      <c r="B98" s="104"/>
      <c r="C98" s="104"/>
      <c r="D98" s="105"/>
      <c r="E98" s="106"/>
      <c r="F98" s="107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6"/>
    </row>
    <row r="99" ht="15.75" customHeight="1">
      <c r="A99" s="109"/>
      <c r="B99" s="104"/>
      <c r="C99" s="104"/>
      <c r="D99" s="105"/>
      <c r="E99" s="106"/>
      <c r="F99" s="107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6"/>
    </row>
    <row r="100" ht="15.75" customHeight="1">
      <c r="A100" s="109"/>
      <c r="B100" s="104"/>
      <c r="C100" s="104"/>
      <c r="D100" s="105"/>
      <c r="E100" s="106"/>
      <c r="F100" s="107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6"/>
    </row>
    <row r="101" ht="15.75" customHeight="1">
      <c r="A101" s="109"/>
      <c r="B101" s="104"/>
      <c r="C101" s="104"/>
      <c r="D101" s="105"/>
      <c r="E101" s="106"/>
      <c r="F101" s="107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6"/>
    </row>
    <row r="102" ht="15.75" customHeight="1">
      <c r="A102" s="109"/>
      <c r="B102" s="104"/>
      <c r="C102" s="104"/>
      <c r="D102" s="105"/>
      <c r="E102" s="106"/>
      <c r="F102" s="107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6"/>
    </row>
    <row r="103" ht="15.75" customHeight="1">
      <c r="A103" s="109"/>
      <c r="B103" s="104"/>
      <c r="C103" s="104"/>
      <c r="D103" s="105"/>
      <c r="E103" s="106"/>
      <c r="F103" s="107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6"/>
    </row>
    <row r="104" ht="15.75" customHeight="1">
      <c r="A104" s="109"/>
      <c r="B104" s="104"/>
      <c r="C104" s="104"/>
      <c r="D104" s="105"/>
      <c r="E104" s="106"/>
      <c r="F104" s="107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6"/>
    </row>
    <row r="105" ht="15.75" customHeight="1">
      <c r="A105" s="109"/>
      <c r="B105" s="104"/>
      <c r="C105" s="104"/>
      <c r="D105" s="105"/>
      <c r="E105" s="106"/>
      <c r="F105" s="107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6"/>
    </row>
    <row r="106" ht="15.75" customHeight="1">
      <c r="A106" s="109"/>
      <c r="B106" s="104"/>
      <c r="C106" s="104"/>
      <c r="D106" s="105"/>
      <c r="E106" s="106"/>
      <c r="F106" s="107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6"/>
    </row>
    <row r="107" ht="15.75" customHeight="1">
      <c r="A107" s="109"/>
      <c r="B107" s="104"/>
      <c r="C107" s="104"/>
      <c r="D107" s="105"/>
      <c r="E107" s="106"/>
      <c r="F107" s="107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6"/>
    </row>
    <row r="108" ht="15.75" customHeight="1">
      <c r="A108" s="109"/>
      <c r="B108" s="104"/>
      <c r="C108" s="104"/>
      <c r="D108" s="105"/>
      <c r="E108" s="106"/>
      <c r="F108" s="107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6"/>
    </row>
    <row r="109" ht="15.75" customHeight="1">
      <c r="A109" s="109"/>
      <c r="B109" s="104"/>
      <c r="C109" s="104"/>
      <c r="D109" s="105"/>
      <c r="E109" s="106"/>
      <c r="F109" s="107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6"/>
    </row>
    <row r="110" ht="15.75" customHeight="1">
      <c r="A110" s="109"/>
      <c r="B110" s="104"/>
      <c r="C110" s="104"/>
      <c r="D110" s="105"/>
      <c r="E110" s="106"/>
      <c r="F110" s="107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6"/>
    </row>
    <row r="111" ht="15.75" customHeight="1">
      <c r="A111" s="109"/>
      <c r="B111" s="104"/>
      <c r="C111" s="104"/>
      <c r="D111" s="105"/>
      <c r="E111" s="106"/>
      <c r="F111" s="107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6"/>
    </row>
    <row r="112" ht="15.75" customHeight="1">
      <c r="A112" s="109"/>
      <c r="B112" s="104"/>
      <c r="C112" s="104"/>
      <c r="D112" s="105"/>
      <c r="E112" s="106"/>
      <c r="F112" s="107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6"/>
    </row>
    <row r="113" ht="15.75" customHeight="1">
      <c r="A113" s="109"/>
      <c r="B113" s="104"/>
      <c r="C113" s="104"/>
      <c r="D113" s="105"/>
      <c r="E113" s="106"/>
      <c r="F113" s="107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6"/>
    </row>
    <row r="114" ht="15.75" customHeight="1">
      <c r="A114" s="109"/>
      <c r="B114" s="104"/>
      <c r="C114" s="104"/>
      <c r="D114" s="105"/>
      <c r="E114" s="106"/>
      <c r="F114" s="107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6"/>
    </row>
    <row r="115" ht="15.75" customHeight="1">
      <c r="A115" s="109"/>
      <c r="B115" s="104"/>
      <c r="C115" s="104"/>
      <c r="D115" s="105"/>
      <c r="E115" s="106"/>
      <c r="F115" s="107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6"/>
    </row>
    <row r="116" ht="15.75" customHeight="1">
      <c r="A116" s="109"/>
      <c r="B116" s="104"/>
      <c r="C116" s="104"/>
      <c r="D116" s="105"/>
      <c r="E116" s="106"/>
      <c r="F116" s="107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6"/>
    </row>
    <row r="117" ht="15.75" customHeight="1">
      <c r="A117" s="109"/>
      <c r="B117" s="104"/>
      <c r="C117" s="104"/>
      <c r="D117" s="105"/>
      <c r="E117" s="106"/>
      <c r="F117" s="107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6"/>
    </row>
    <row r="118" ht="15.75" customHeight="1">
      <c r="A118" s="109"/>
      <c r="B118" s="104"/>
      <c r="C118" s="104"/>
      <c r="D118" s="105"/>
      <c r="E118" s="106"/>
      <c r="F118" s="107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6"/>
    </row>
    <row r="119" ht="15.75" customHeight="1">
      <c r="A119" s="109"/>
      <c r="B119" s="104"/>
      <c r="C119" s="104"/>
      <c r="D119" s="105"/>
      <c r="E119" s="106"/>
      <c r="F119" s="107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6"/>
    </row>
    <row r="120" ht="15.75" customHeight="1">
      <c r="A120" s="109"/>
      <c r="B120" s="104"/>
      <c r="C120" s="104"/>
      <c r="D120" s="105"/>
      <c r="E120" s="106"/>
      <c r="F120" s="107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6"/>
    </row>
    <row r="121" ht="15.75" customHeight="1">
      <c r="A121" s="109"/>
      <c r="B121" s="104"/>
      <c r="C121" s="104"/>
      <c r="D121" s="105"/>
      <c r="E121" s="106"/>
      <c r="F121" s="107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6"/>
    </row>
    <row r="122" ht="15.75" customHeight="1">
      <c r="A122" s="109"/>
      <c r="B122" s="104"/>
      <c r="C122" s="104"/>
      <c r="D122" s="105"/>
      <c r="E122" s="106"/>
      <c r="F122" s="107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6"/>
    </row>
    <row r="123" ht="15.75" customHeight="1">
      <c r="A123" s="109"/>
      <c r="B123" s="104"/>
      <c r="C123" s="104"/>
      <c r="D123" s="105"/>
      <c r="E123" s="106"/>
      <c r="F123" s="107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6"/>
    </row>
    <row r="124" ht="15.75" customHeight="1">
      <c r="A124" s="109"/>
      <c r="B124" s="104"/>
      <c r="C124" s="104"/>
      <c r="D124" s="105"/>
      <c r="E124" s="106"/>
      <c r="F124" s="107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6"/>
    </row>
    <row r="125" ht="15.75" customHeight="1">
      <c r="A125" s="109"/>
      <c r="B125" s="104"/>
      <c r="C125" s="104"/>
      <c r="D125" s="105"/>
      <c r="E125" s="106"/>
      <c r="F125" s="107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6"/>
    </row>
    <row r="126" ht="15.75" customHeight="1">
      <c r="A126" s="109"/>
      <c r="B126" s="104"/>
      <c r="C126" s="104"/>
      <c r="D126" s="105"/>
      <c r="E126" s="106"/>
      <c r="F126" s="107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6"/>
    </row>
    <row r="127" ht="15.75" customHeight="1">
      <c r="A127" s="109"/>
      <c r="B127" s="104"/>
      <c r="C127" s="104"/>
      <c r="D127" s="105"/>
      <c r="E127" s="106"/>
      <c r="F127" s="107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6"/>
    </row>
    <row r="128" ht="15.75" customHeight="1">
      <c r="A128" s="109"/>
      <c r="B128" s="104"/>
      <c r="C128" s="104"/>
      <c r="D128" s="105"/>
      <c r="E128" s="106"/>
      <c r="F128" s="107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6"/>
    </row>
    <row r="129" ht="15.75" customHeight="1">
      <c r="A129" s="109"/>
      <c r="B129" s="104"/>
      <c r="C129" s="104"/>
      <c r="D129" s="105"/>
      <c r="E129" s="106"/>
      <c r="F129" s="107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6"/>
    </row>
    <row r="130" ht="15.75" customHeight="1">
      <c r="A130" s="109"/>
      <c r="B130" s="104"/>
      <c r="C130" s="104"/>
      <c r="D130" s="105"/>
      <c r="E130" s="106"/>
      <c r="F130" s="107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6"/>
    </row>
    <row r="131" ht="15.75" customHeight="1">
      <c r="A131" s="109"/>
      <c r="B131" s="104"/>
      <c r="C131" s="104"/>
      <c r="D131" s="105"/>
      <c r="E131" s="106"/>
      <c r="F131" s="107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6"/>
    </row>
    <row r="132" ht="15.75" customHeight="1">
      <c r="A132" s="109"/>
      <c r="B132" s="104"/>
      <c r="C132" s="104"/>
      <c r="D132" s="105"/>
      <c r="E132" s="106"/>
      <c r="F132" s="107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6"/>
    </row>
    <row r="133" ht="15.75" customHeight="1">
      <c r="A133" s="109"/>
      <c r="B133" s="104"/>
      <c r="C133" s="104"/>
      <c r="D133" s="105"/>
      <c r="E133" s="106"/>
      <c r="F133" s="107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6"/>
    </row>
    <row r="134" ht="15.75" customHeight="1">
      <c r="A134" s="109"/>
      <c r="B134" s="104"/>
      <c r="C134" s="104"/>
      <c r="D134" s="105"/>
      <c r="E134" s="106"/>
      <c r="F134" s="107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6"/>
    </row>
    <row r="135" ht="15.75" customHeight="1">
      <c r="A135" s="109"/>
      <c r="B135" s="104"/>
      <c r="C135" s="104"/>
      <c r="D135" s="105"/>
      <c r="E135" s="106"/>
      <c r="F135" s="107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6"/>
    </row>
    <row r="136" ht="15.75" customHeight="1">
      <c r="A136" s="109"/>
      <c r="B136" s="104"/>
      <c r="C136" s="104"/>
      <c r="D136" s="105"/>
      <c r="E136" s="106"/>
      <c r="F136" s="107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6"/>
    </row>
    <row r="137" ht="15.75" customHeight="1">
      <c r="A137" s="109"/>
      <c r="B137" s="104"/>
      <c r="C137" s="104"/>
      <c r="D137" s="105"/>
      <c r="E137" s="106"/>
      <c r="F137" s="107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6"/>
    </row>
    <row r="138" ht="15.75" customHeight="1">
      <c r="A138" s="109"/>
      <c r="B138" s="104"/>
      <c r="C138" s="104"/>
      <c r="D138" s="105"/>
      <c r="E138" s="106"/>
      <c r="F138" s="107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6"/>
    </row>
    <row r="139" ht="15.75" customHeight="1">
      <c r="A139" s="109"/>
      <c r="B139" s="104"/>
      <c r="C139" s="104"/>
      <c r="D139" s="105"/>
      <c r="E139" s="106"/>
      <c r="F139" s="107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6"/>
    </row>
    <row r="140" ht="15.75" customHeight="1">
      <c r="A140" s="109"/>
      <c r="B140" s="104"/>
      <c r="C140" s="104"/>
      <c r="D140" s="105"/>
      <c r="E140" s="106"/>
      <c r="F140" s="107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6"/>
    </row>
    <row r="141" ht="15.75" customHeight="1">
      <c r="A141" s="109"/>
      <c r="B141" s="104"/>
      <c r="C141" s="104"/>
      <c r="D141" s="105"/>
      <c r="E141" s="106"/>
      <c r="F141" s="107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6"/>
    </row>
    <row r="142" ht="15.75" customHeight="1">
      <c r="A142" s="109"/>
      <c r="B142" s="104"/>
      <c r="C142" s="104"/>
      <c r="D142" s="105"/>
      <c r="E142" s="106"/>
      <c r="F142" s="107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6"/>
    </row>
    <row r="143" ht="15.75" customHeight="1">
      <c r="A143" s="109"/>
      <c r="B143" s="104"/>
      <c r="C143" s="104"/>
      <c r="D143" s="105"/>
      <c r="E143" s="106"/>
      <c r="F143" s="107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6"/>
    </row>
    <row r="144" ht="15.75" customHeight="1">
      <c r="A144" s="109"/>
      <c r="B144" s="104"/>
      <c r="C144" s="104"/>
      <c r="D144" s="105"/>
      <c r="E144" s="106"/>
      <c r="F144" s="107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6"/>
    </row>
    <row r="145" ht="15.75" customHeight="1">
      <c r="A145" s="109"/>
      <c r="B145" s="104"/>
      <c r="C145" s="104"/>
      <c r="D145" s="105"/>
      <c r="E145" s="106"/>
      <c r="F145" s="107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6"/>
    </row>
    <row r="146" ht="15.75" customHeight="1">
      <c r="A146" s="109"/>
      <c r="B146" s="104"/>
      <c r="C146" s="104"/>
      <c r="D146" s="105"/>
      <c r="E146" s="106"/>
      <c r="F146" s="107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6"/>
    </row>
    <row r="147" ht="15.75" customHeight="1">
      <c r="A147" s="109"/>
      <c r="B147" s="104"/>
      <c r="C147" s="104"/>
      <c r="D147" s="105"/>
      <c r="E147" s="106"/>
      <c r="F147" s="107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6"/>
    </row>
    <row r="148" ht="15.75" customHeight="1">
      <c r="A148" s="109"/>
      <c r="B148" s="104"/>
      <c r="C148" s="104"/>
      <c r="D148" s="105"/>
      <c r="E148" s="106"/>
      <c r="F148" s="107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6"/>
    </row>
    <row r="149" ht="15.75" customHeight="1">
      <c r="A149" s="109"/>
      <c r="B149" s="104"/>
      <c r="C149" s="104"/>
      <c r="D149" s="105"/>
      <c r="E149" s="106"/>
      <c r="F149" s="107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6"/>
    </row>
    <row r="150" ht="15.75" customHeight="1">
      <c r="A150" s="109"/>
      <c r="B150" s="104"/>
      <c r="C150" s="104"/>
      <c r="D150" s="105"/>
      <c r="E150" s="106"/>
      <c r="F150" s="107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6"/>
    </row>
    <row r="151" ht="15.75" customHeight="1">
      <c r="A151" s="109"/>
      <c r="B151" s="104"/>
      <c r="C151" s="104"/>
      <c r="D151" s="105"/>
      <c r="E151" s="106"/>
      <c r="F151" s="107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6"/>
    </row>
    <row r="152" ht="15.75" customHeight="1">
      <c r="A152" s="109"/>
      <c r="B152" s="104"/>
      <c r="C152" s="104"/>
      <c r="D152" s="105"/>
      <c r="E152" s="106"/>
      <c r="F152" s="107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6"/>
    </row>
    <row r="153" ht="15.75" customHeight="1">
      <c r="A153" s="109"/>
      <c r="B153" s="104"/>
      <c r="C153" s="104"/>
      <c r="D153" s="105"/>
      <c r="E153" s="106"/>
      <c r="F153" s="107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6"/>
    </row>
    <row r="154" ht="15.75" customHeight="1">
      <c r="A154" s="109"/>
      <c r="B154" s="104"/>
      <c r="C154" s="104"/>
      <c r="D154" s="105"/>
      <c r="E154" s="106"/>
      <c r="F154" s="107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6"/>
    </row>
    <row r="155" ht="15.75" customHeight="1">
      <c r="A155" s="109"/>
      <c r="B155" s="104"/>
      <c r="C155" s="104"/>
      <c r="D155" s="105"/>
      <c r="E155" s="106"/>
      <c r="F155" s="107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6"/>
    </row>
    <row r="156" ht="15.75" customHeight="1">
      <c r="A156" s="109"/>
      <c r="B156" s="104"/>
      <c r="C156" s="104"/>
      <c r="D156" s="105"/>
      <c r="E156" s="106"/>
      <c r="F156" s="107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6"/>
    </row>
    <row r="157" ht="15.75" customHeight="1">
      <c r="A157" s="109"/>
      <c r="B157" s="104"/>
      <c r="C157" s="104"/>
      <c r="D157" s="105"/>
      <c r="E157" s="106"/>
      <c r="F157" s="107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6"/>
    </row>
    <row r="158" ht="15.75" customHeight="1">
      <c r="A158" s="109"/>
      <c r="B158" s="104"/>
      <c r="C158" s="104"/>
      <c r="D158" s="105"/>
      <c r="E158" s="106"/>
      <c r="F158" s="107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6"/>
    </row>
    <row r="159" ht="15.75" customHeight="1">
      <c r="A159" s="109"/>
      <c r="B159" s="104"/>
      <c r="C159" s="104"/>
      <c r="D159" s="105"/>
      <c r="E159" s="106"/>
      <c r="F159" s="107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6"/>
    </row>
    <row r="160" ht="15.75" customHeight="1">
      <c r="A160" s="109"/>
      <c r="B160" s="104"/>
      <c r="C160" s="104"/>
      <c r="D160" s="105"/>
      <c r="E160" s="106"/>
      <c r="F160" s="107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6"/>
    </row>
    <row r="161" ht="15.75" customHeight="1">
      <c r="A161" s="109"/>
      <c r="B161" s="104"/>
      <c r="C161" s="104"/>
      <c r="D161" s="105"/>
      <c r="E161" s="106"/>
      <c r="F161" s="107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6"/>
    </row>
    <row r="162" ht="15.75" customHeight="1">
      <c r="A162" s="109"/>
      <c r="B162" s="104"/>
      <c r="C162" s="104"/>
      <c r="D162" s="105"/>
      <c r="E162" s="106"/>
      <c r="F162" s="107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6"/>
    </row>
    <row r="163" ht="15.75" customHeight="1">
      <c r="A163" s="109"/>
      <c r="B163" s="104"/>
      <c r="C163" s="104"/>
      <c r="D163" s="105"/>
      <c r="E163" s="106"/>
      <c r="F163" s="107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6"/>
    </row>
    <row r="164" ht="15.75" customHeight="1">
      <c r="A164" s="109"/>
      <c r="B164" s="104"/>
      <c r="C164" s="104"/>
      <c r="D164" s="105"/>
      <c r="E164" s="106"/>
      <c r="F164" s="107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6"/>
    </row>
    <row r="165" ht="15.75" customHeight="1">
      <c r="A165" s="109"/>
      <c r="B165" s="104"/>
      <c r="C165" s="104"/>
      <c r="D165" s="105"/>
      <c r="E165" s="106"/>
      <c r="F165" s="107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6"/>
    </row>
    <row r="166" ht="15.75" customHeight="1">
      <c r="A166" s="109"/>
      <c r="B166" s="104"/>
      <c r="C166" s="104"/>
      <c r="D166" s="105"/>
      <c r="E166" s="106"/>
      <c r="F166" s="107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6"/>
    </row>
    <row r="167" ht="15.75" customHeight="1">
      <c r="A167" s="109"/>
      <c r="B167" s="104"/>
      <c r="C167" s="104"/>
      <c r="D167" s="105"/>
      <c r="E167" s="106"/>
      <c r="F167" s="107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6"/>
    </row>
    <row r="168" ht="15.75" customHeight="1">
      <c r="A168" s="109"/>
      <c r="B168" s="104"/>
      <c r="C168" s="104"/>
      <c r="D168" s="105"/>
      <c r="E168" s="106"/>
      <c r="F168" s="107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6"/>
    </row>
    <row r="169" ht="15.75" customHeight="1">
      <c r="A169" s="109"/>
      <c r="B169" s="104"/>
      <c r="C169" s="104"/>
      <c r="D169" s="105"/>
      <c r="E169" s="106"/>
      <c r="F169" s="107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6"/>
    </row>
    <row r="170" ht="15.75" customHeight="1">
      <c r="A170" s="109"/>
      <c r="B170" s="104"/>
      <c r="C170" s="104"/>
      <c r="D170" s="105"/>
      <c r="E170" s="106"/>
      <c r="F170" s="107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6"/>
    </row>
    <row r="171" ht="15.75" customHeight="1">
      <c r="A171" s="109"/>
      <c r="B171" s="104"/>
      <c r="C171" s="104"/>
      <c r="D171" s="105"/>
      <c r="E171" s="106"/>
      <c r="F171" s="107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6"/>
    </row>
    <row r="172" ht="15.75" customHeight="1">
      <c r="A172" s="109"/>
      <c r="B172" s="104"/>
      <c r="C172" s="104"/>
      <c r="D172" s="105"/>
      <c r="E172" s="106"/>
      <c r="F172" s="107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6"/>
    </row>
    <row r="173" ht="15.75" customHeight="1">
      <c r="A173" s="109"/>
      <c r="B173" s="104"/>
      <c r="C173" s="104"/>
      <c r="D173" s="105"/>
      <c r="E173" s="106"/>
      <c r="F173" s="107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6"/>
    </row>
    <row r="174" ht="15.75" customHeight="1">
      <c r="A174" s="109"/>
      <c r="B174" s="104"/>
      <c r="C174" s="104"/>
      <c r="D174" s="105"/>
      <c r="E174" s="106"/>
      <c r="F174" s="107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6"/>
    </row>
    <row r="175" ht="15.75" customHeight="1">
      <c r="A175" s="109"/>
      <c r="B175" s="104"/>
      <c r="C175" s="104"/>
      <c r="D175" s="105"/>
      <c r="E175" s="106"/>
      <c r="F175" s="107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6"/>
    </row>
    <row r="176" ht="15.75" customHeight="1">
      <c r="A176" s="109"/>
      <c r="B176" s="104"/>
      <c r="C176" s="104"/>
      <c r="D176" s="105"/>
      <c r="E176" s="106"/>
      <c r="F176" s="107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6"/>
    </row>
    <row r="177" ht="15.75" customHeight="1">
      <c r="A177" s="109"/>
      <c r="B177" s="104"/>
      <c r="C177" s="104"/>
      <c r="D177" s="105"/>
      <c r="E177" s="106"/>
      <c r="F177" s="107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6"/>
    </row>
    <row r="178" ht="15.75" customHeight="1">
      <c r="A178" s="109"/>
      <c r="B178" s="104"/>
      <c r="C178" s="104"/>
      <c r="D178" s="105"/>
      <c r="E178" s="106"/>
      <c r="F178" s="107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6"/>
    </row>
    <row r="179" ht="15.75" customHeight="1">
      <c r="A179" s="109"/>
      <c r="B179" s="104"/>
      <c r="C179" s="104"/>
      <c r="D179" s="105"/>
      <c r="E179" s="106"/>
      <c r="F179" s="107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6"/>
    </row>
    <row r="180" ht="15.75" customHeight="1">
      <c r="A180" s="109"/>
      <c r="B180" s="104"/>
      <c r="C180" s="104"/>
      <c r="D180" s="105"/>
      <c r="E180" s="106"/>
      <c r="F180" s="107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6"/>
    </row>
    <row r="181" ht="15.75" customHeight="1">
      <c r="A181" s="109"/>
      <c r="B181" s="104"/>
      <c r="C181" s="104"/>
      <c r="D181" s="105"/>
      <c r="E181" s="106"/>
      <c r="F181" s="107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6"/>
    </row>
    <row r="182" ht="15.75" customHeight="1">
      <c r="A182" s="109"/>
      <c r="B182" s="104"/>
      <c r="C182" s="104"/>
      <c r="D182" s="105"/>
      <c r="E182" s="106"/>
      <c r="F182" s="107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6"/>
    </row>
    <row r="183" ht="15.75" customHeight="1">
      <c r="A183" s="109"/>
      <c r="B183" s="104"/>
      <c r="C183" s="104"/>
      <c r="D183" s="105"/>
      <c r="E183" s="106"/>
      <c r="F183" s="107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6"/>
    </row>
    <row r="184" ht="15.75" customHeight="1">
      <c r="A184" s="109"/>
      <c r="B184" s="104"/>
      <c r="C184" s="104"/>
      <c r="D184" s="105"/>
      <c r="E184" s="106"/>
      <c r="F184" s="107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6"/>
    </row>
    <row r="185" ht="15.75" customHeight="1">
      <c r="A185" s="109"/>
      <c r="B185" s="104"/>
      <c r="C185" s="104"/>
      <c r="D185" s="105"/>
      <c r="E185" s="106"/>
      <c r="F185" s="107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6"/>
    </row>
    <row r="186" ht="15.75" customHeight="1">
      <c r="A186" s="109"/>
      <c r="B186" s="104"/>
      <c r="C186" s="104"/>
      <c r="D186" s="105"/>
      <c r="E186" s="106"/>
      <c r="F186" s="107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6"/>
    </row>
    <row r="187" ht="15.75" customHeight="1">
      <c r="A187" s="109"/>
      <c r="B187" s="104"/>
      <c r="C187" s="104"/>
      <c r="D187" s="105"/>
      <c r="E187" s="106"/>
      <c r="F187" s="107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6"/>
    </row>
    <row r="188" ht="15.75" customHeight="1">
      <c r="A188" s="109"/>
      <c r="B188" s="104"/>
      <c r="C188" s="104"/>
      <c r="D188" s="105"/>
      <c r="E188" s="106"/>
      <c r="F188" s="107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6"/>
    </row>
    <row r="189" ht="15.75" customHeight="1">
      <c r="A189" s="109"/>
      <c r="B189" s="104"/>
      <c r="C189" s="104"/>
      <c r="D189" s="105"/>
      <c r="E189" s="106"/>
      <c r="F189" s="107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6"/>
    </row>
    <row r="190" ht="15.75" customHeight="1">
      <c r="A190" s="109"/>
      <c r="B190" s="104"/>
      <c r="C190" s="104"/>
      <c r="D190" s="105"/>
      <c r="E190" s="106"/>
      <c r="F190" s="107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6"/>
    </row>
    <row r="191" ht="15.75" customHeight="1">
      <c r="A191" s="109"/>
      <c r="B191" s="104"/>
      <c r="C191" s="104"/>
      <c r="D191" s="105"/>
      <c r="E191" s="106"/>
      <c r="F191" s="107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6"/>
    </row>
    <row r="192" ht="15.75" customHeight="1">
      <c r="A192" s="109"/>
      <c r="B192" s="104"/>
      <c r="C192" s="104"/>
      <c r="D192" s="105"/>
      <c r="E192" s="106"/>
      <c r="F192" s="107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6"/>
    </row>
    <row r="193" ht="15.75" customHeight="1">
      <c r="A193" s="109"/>
      <c r="B193" s="104"/>
      <c r="C193" s="104"/>
      <c r="D193" s="105"/>
      <c r="E193" s="106"/>
      <c r="F193" s="107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6"/>
    </row>
    <row r="194" ht="15.75" customHeight="1">
      <c r="A194" s="109"/>
      <c r="B194" s="104"/>
      <c r="C194" s="104"/>
      <c r="D194" s="105"/>
      <c r="E194" s="106"/>
      <c r="F194" s="107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6"/>
    </row>
    <row r="195" ht="15.75" customHeight="1">
      <c r="A195" s="109"/>
      <c r="B195" s="104"/>
      <c r="C195" s="104"/>
      <c r="D195" s="105"/>
      <c r="E195" s="106"/>
      <c r="F195" s="107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6"/>
    </row>
    <row r="196" ht="15.75" customHeight="1">
      <c r="A196" s="109"/>
      <c r="B196" s="104"/>
      <c r="C196" s="104"/>
      <c r="D196" s="105"/>
      <c r="E196" s="106"/>
      <c r="F196" s="107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6"/>
    </row>
    <row r="197" ht="15.75" customHeight="1">
      <c r="A197" s="109"/>
      <c r="B197" s="104"/>
      <c r="C197" s="104"/>
      <c r="D197" s="105"/>
      <c r="E197" s="106"/>
      <c r="F197" s="107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6"/>
    </row>
    <row r="198" ht="15.75" customHeight="1">
      <c r="A198" s="109"/>
      <c r="B198" s="104"/>
      <c r="C198" s="104"/>
      <c r="D198" s="105"/>
      <c r="E198" s="106"/>
      <c r="F198" s="107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6"/>
    </row>
    <row r="199" ht="15.75" customHeight="1">
      <c r="A199" s="109"/>
      <c r="B199" s="104"/>
      <c r="C199" s="104"/>
      <c r="D199" s="105"/>
      <c r="E199" s="106"/>
      <c r="F199" s="107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6"/>
    </row>
    <row r="200" ht="15.75" customHeight="1">
      <c r="A200" s="109"/>
      <c r="B200" s="104"/>
      <c r="C200" s="104"/>
      <c r="D200" s="105"/>
      <c r="E200" s="106"/>
      <c r="F200" s="107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6"/>
    </row>
    <row r="201" ht="15.75" customHeight="1">
      <c r="A201" s="109"/>
      <c r="B201" s="104"/>
      <c r="C201" s="104"/>
      <c r="D201" s="105"/>
      <c r="E201" s="106"/>
      <c r="F201" s="107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6"/>
    </row>
    <row r="202" ht="15.75" customHeight="1">
      <c r="A202" s="109"/>
      <c r="B202" s="104"/>
      <c r="C202" s="104"/>
      <c r="D202" s="105"/>
      <c r="E202" s="106"/>
      <c r="F202" s="107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6"/>
    </row>
    <row r="203" ht="15.75" customHeight="1">
      <c r="A203" s="109"/>
      <c r="B203" s="104"/>
      <c r="C203" s="104"/>
      <c r="D203" s="105"/>
      <c r="E203" s="106"/>
      <c r="F203" s="107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6"/>
    </row>
    <row r="204" ht="15.75" customHeight="1">
      <c r="A204" s="109"/>
      <c r="B204" s="104"/>
      <c r="C204" s="104"/>
      <c r="D204" s="105"/>
      <c r="E204" s="106"/>
      <c r="F204" s="107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6"/>
    </row>
    <row r="205" ht="15.75" customHeight="1">
      <c r="A205" s="109"/>
      <c r="B205" s="104"/>
      <c r="C205" s="104"/>
      <c r="D205" s="105"/>
      <c r="E205" s="106"/>
      <c r="F205" s="107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6"/>
    </row>
    <row r="206" ht="15.75" customHeight="1">
      <c r="A206" s="109"/>
      <c r="B206" s="104"/>
      <c r="C206" s="104"/>
      <c r="D206" s="105"/>
      <c r="E206" s="106"/>
      <c r="F206" s="107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6"/>
    </row>
    <row r="207" ht="15.75" customHeight="1">
      <c r="A207" s="109"/>
      <c r="B207" s="104"/>
      <c r="C207" s="104"/>
      <c r="D207" s="105"/>
      <c r="E207" s="106"/>
      <c r="F207" s="107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6"/>
    </row>
    <row r="208" ht="15.75" customHeight="1">
      <c r="A208" s="109"/>
      <c r="B208" s="104"/>
      <c r="C208" s="104"/>
      <c r="D208" s="105"/>
      <c r="E208" s="106"/>
      <c r="F208" s="107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6"/>
    </row>
    <row r="209" ht="15.75" customHeight="1">
      <c r="A209" s="109"/>
      <c r="B209" s="104"/>
      <c r="C209" s="104"/>
      <c r="D209" s="105"/>
      <c r="E209" s="106"/>
      <c r="F209" s="107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6"/>
    </row>
    <row r="210" ht="15.75" customHeight="1">
      <c r="A210" s="109"/>
      <c r="B210" s="104"/>
      <c r="C210" s="104"/>
      <c r="D210" s="105"/>
      <c r="E210" s="106"/>
      <c r="F210" s="107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6"/>
    </row>
    <row r="211" ht="15.75" customHeight="1">
      <c r="A211" s="109"/>
      <c r="B211" s="104"/>
      <c r="C211" s="104"/>
      <c r="D211" s="105"/>
      <c r="E211" s="106"/>
      <c r="F211" s="107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6"/>
    </row>
    <row r="212" ht="15.75" customHeight="1">
      <c r="A212" s="109"/>
      <c r="B212" s="104"/>
      <c r="C212" s="104"/>
      <c r="D212" s="105"/>
      <c r="E212" s="106"/>
      <c r="F212" s="107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6"/>
    </row>
    <row r="213" ht="15.75" customHeight="1">
      <c r="A213" s="109"/>
      <c r="B213" s="104"/>
      <c r="C213" s="104"/>
      <c r="D213" s="105"/>
      <c r="E213" s="106"/>
      <c r="F213" s="107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6"/>
    </row>
    <row r="214" ht="15.75" customHeight="1">
      <c r="A214" s="109"/>
      <c r="B214" s="104"/>
      <c r="C214" s="104"/>
      <c r="D214" s="105"/>
      <c r="E214" s="106"/>
      <c r="F214" s="107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6"/>
    </row>
    <row r="215" ht="15.75" customHeight="1">
      <c r="A215" s="109"/>
      <c r="B215" s="104"/>
      <c r="C215" s="104"/>
      <c r="D215" s="105"/>
      <c r="E215" s="106"/>
      <c r="F215" s="107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6"/>
    </row>
    <row r="216" ht="15.75" customHeight="1">
      <c r="A216" s="109"/>
      <c r="B216" s="104"/>
      <c r="C216" s="104"/>
      <c r="D216" s="105"/>
      <c r="E216" s="106"/>
      <c r="F216" s="107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6"/>
    </row>
    <row r="217" ht="15.75" customHeight="1">
      <c r="A217" s="109"/>
      <c r="B217" s="104"/>
      <c r="C217" s="104"/>
      <c r="D217" s="105"/>
      <c r="E217" s="106"/>
      <c r="F217" s="107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6"/>
    </row>
    <row r="218" ht="15.75" customHeight="1">
      <c r="A218" s="109"/>
      <c r="B218" s="104"/>
      <c r="C218" s="104"/>
      <c r="D218" s="105"/>
      <c r="E218" s="106"/>
      <c r="F218" s="107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6"/>
    </row>
    <row r="219" ht="15.75" customHeight="1">
      <c r="A219" s="109"/>
      <c r="B219" s="104"/>
      <c r="C219" s="104"/>
      <c r="D219" s="105"/>
      <c r="E219" s="106"/>
      <c r="F219" s="107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6"/>
    </row>
    <row r="220" ht="15.75" customHeight="1">
      <c r="A220" s="109"/>
      <c r="B220" s="104"/>
      <c r="C220" s="104"/>
      <c r="D220" s="105"/>
      <c r="E220" s="106"/>
      <c r="F220" s="107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6"/>
    </row>
    <row r="221" ht="15.75" customHeight="1">
      <c r="A221" s="109"/>
      <c r="B221" s="104"/>
      <c r="C221" s="104"/>
      <c r="D221" s="105"/>
      <c r="E221" s="106"/>
      <c r="F221" s="107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6"/>
    </row>
    <row r="222" ht="15.75" customHeight="1">
      <c r="A222" s="109"/>
      <c r="B222" s="104"/>
      <c r="C222" s="104"/>
      <c r="D222" s="105"/>
      <c r="E222" s="106"/>
      <c r="F222" s="107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6"/>
    </row>
    <row r="223" ht="15.75" customHeight="1">
      <c r="A223" s="109"/>
      <c r="B223" s="104"/>
      <c r="C223" s="104"/>
      <c r="D223" s="105"/>
      <c r="E223" s="106"/>
      <c r="F223" s="107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6"/>
    </row>
    <row r="224" ht="15.75" customHeight="1">
      <c r="A224" s="109"/>
      <c r="B224" s="104"/>
      <c r="C224" s="104"/>
      <c r="D224" s="105"/>
      <c r="E224" s="106"/>
      <c r="F224" s="107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6"/>
    </row>
    <row r="225" ht="15.75" customHeight="1">
      <c r="A225" s="109"/>
      <c r="B225" s="104"/>
      <c r="C225" s="104"/>
      <c r="D225" s="105"/>
      <c r="E225" s="106"/>
      <c r="F225" s="107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6"/>
    </row>
    <row r="226" ht="15.75" customHeight="1">
      <c r="A226" s="109"/>
      <c r="B226" s="104"/>
      <c r="C226" s="104"/>
      <c r="D226" s="105"/>
      <c r="E226" s="106"/>
      <c r="F226" s="107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6"/>
    </row>
    <row r="227" ht="15.75" customHeight="1">
      <c r="A227" s="109"/>
      <c r="B227" s="104"/>
      <c r="C227" s="104"/>
      <c r="D227" s="105"/>
      <c r="E227" s="106"/>
      <c r="F227" s="107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6"/>
    </row>
    <row r="228" ht="15.75" customHeight="1">
      <c r="A228" s="109"/>
      <c r="B228" s="104"/>
      <c r="C228" s="104"/>
      <c r="D228" s="105"/>
      <c r="E228" s="106"/>
      <c r="F228" s="107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6"/>
    </row>
    <row r="229" ht="15.75" customHeight="1">
      <c r="A229" s="109"/>
      <c r="B229" s="104"/>
      <c r="C229" s="104"/>
      <c r="D229" s="105"/>
      <c r="E229" s="106"/>
      <c r="F229" s="107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6"/>
    </row>
    <row r="230" ht="15.75" customHeight="1">
      <c r="A230" s="109"/>
      <c r="B230" s="104"/>
      <c r="C230" s="104"/>
      <c r="D230" s="105"/>
      <c r="E230" s="106"/>
      <c r="F230" s="107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6"/>
    </row>
    <row r="231" ht="15.75" customHeight="1">
      <c r="A231" s="109"/>
      <c r="B231" s="104"/>
      <c r="C231" s="104"/>
      <c r="D231" s="105"/>
      <c r="E231" s="106"/>
      <c r="F231" s="107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6"/>
    </row>
    <row r="232" ht="15.75" customHeight="1">
      <c r="A232" s="109"/>
      <c r="B232" s="104"/>
      <c r="C232" s="104"/>
      <c r="D232" s="105"/>
      <c r="E232" s="106"/>
      <c r="F232" s="107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6"/>
    </row>
    <row r="233" ht="15.75" customHeight="1">
      <c r="A233" s="109"/>
      <c r="B233" s="104"/>
      <c r="C233" s="104"/>
      <c r="D233" s="105"/>
      <c r="E233" s="106"/>
      <c r="F233" s="107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6"/>
    </row>
    <row r="234" ht="15.75" customHeight="1">
      <c r="A234" s="109"/>
      <c r="B234" s="104"/>
      <c r="C234" s="104"/>
      <c r="D234" s="105"/>
      <c r="E234" s="106"/>
      <c r="F234" s="107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6"/>
    </row>
    <row r="235" ht="15.75" customHeight="1">
      <c r="A235" s="109"/>
      <c r="B235" s="104"/>
      <c r="C235" s="104"/>
      <c r="D235" s="105"/>
      <c r="E235" s="106"/>
      <c r="F235" s="107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6"/>
    </row>
    <row r="236" ht="15.75" customHeight="1">
      <c r="A236" s="109"/>
      <c r="B236" s="104"/>
      <c r="C236" s="104"/>
      <c r="D236" s="105"/>
      <c r="E236" s="106"/>
      <c r="F236" s="107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6"/>
    </row>
    <row r="237" ht="15.75" customHeight="1">
      <c r="A237" s="109"/>
      <c r="B237" s="104"/>
      <c r="C237" s="104"/>
      <c r="D237" s="105"/>
      <c r="E237" s="106"/>
      <c r="F237" s="107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6"/>
    </row>
    <row r="238" ht="15.75" customHeight="1">
      <c r="A238" s="109"/>
      <c r="B238" s="104"/>
      <c r="C238" s="104"/>
      <c r="D238" s="105"/>
      <c r="E238" s="106"/>
      <c r="F238" s="107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6"/>
    </row>
    <row r="239" ht="15.75" customHeight="1">
      <c r="A239" s="109"/>
      <c r="B239" s="104"/>
      <c r="C239" s="104"/>
      <c r="D239" s="105"/>
      <c r="E239" s="106"/>
      <c r="F239" s="107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6"/>
    </row>
    <row r="240" ht="15.75" customHeight="1">
      <c r="A240" s="109"/>
      <c r="B240" s="104"/>
      <c r="C240" s="104"/>
      <c r="D240" s="105"/>
      <c r="E240" s="106"/>
      <c r="F240" s="107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6"/>
    </row>
    <row r="241" ht="15.75" customHeight="1">
      <c r="A241" s="109"/>
      <c r="B241" s="104"/>
      <c r="C241" s="104"/>
      <c r="D241" s="105"/>
      <c r="E241" s="106"/>
      <c r="F241" s="107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6"/>
    </row>
    <row r="242" ht="15.75" customHeight="1">
      <c r="A242" s="109"/>
      <c r="B242" s="104"/>
      <c r="C242" s="104"/>
      <c r="D242" s="105"/>
      <c r="E242" s="106"/>
      <c r="F242" s="107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6"/>
    </row>
    <row r="243" ht="15.75" customHeight="1">
      <c r="A243" s="109"/>
      <c r="B243" s="104"/>
      <c r="C243" s="104"/>
      <c r="D243" s="105"/>
      <c r="E243" s="106"/>
      <c r="F243" s="107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6"/>
    </row>
    <row r="244" ht="15.75" customHeight="1">
      <c r="A244" s="109"/>
      <c r="B244" s="104"/>
      <c r="C244" s="104"/>
      <c r="D244" s="105"/>
      <c r="E244" s="106"/>
      <c r="F244" s="107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6"/>
    </row>
    <row r="245" ht="15.75" customHeight="1">
      <c r="A245" s="109"/>
      <c r="B245" s="104"/>
      <c r="C245" s="104"/>
      <c r="D245" s="105"/>
      <c r="E245" s="106"/>
      <c r="F245" s="107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6"/>
    </row>
    <row r="246" ht="15.75" customHeight="1">
      <c r="A246" s="109"/>
      <c r="B246" s="104"/>
      <c r="C246" s="104"/>
      <c r="D246" s="105"/>
      <c r="E246" s="106"/>
      <c r="F246" s="107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6"/>
    </row>
    <row r="247" ht="15.75" customHeight="1">
      <c r="A247" s="109"/>
      <c r="B247" s="104"/>
      <c r="C247" s="104"/>
      <c r="D247" s="105"/>
      <c r="E247" s="106"/>
      <c r="F247" s="107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6"/>
    </row>
    <row r="248" ht="15.75" customHeight="1">
      <c r="A248" s="109"/>
      <c r="B248" s="104"/>
      <c r="C248" s="104"/>
      <c r="D248" s="105"/>
      <c r="E248" s="106"/>
      <c r="F248" s="107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6"/>
    </row>
    <row r="249" ht="15.75" customHeight="1">
      <c r="A249" s="109"/>
      <c r="B249" s="104"/>
      <c r="C249" s="104"/>
      <c r="D249" s="105"/>
      <c r="E249" s="106"/>
      <c r="F249" s="107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6"/>
    </row>
    <row r="250" ht="15.75" customHeight="1">
      <c r="A250" s="109"/>
      <c r="B250" s="104"/>
      <c r="C250" s="104"/>
      <c r="D250" s="105"/>
      <c r="E250" s="106"/>
      <c r="F250" s="107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6"/>
    </row>
    <row r="251" ht="15.75" customHeight="1">
      <c r="A251" s="109"/>
      <c r="B251" s="104"/>
      <c r="C251" s="104"/>
      <c r="D251" s="105"/>
      <c r="E251" s="106"/>
      <c r="F251" s="107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6"/>
    </row>
    <row r="252" ht="15.75" customHeight="1">
      <c r="A252" s="109"/>
      <c r="B252" s="104"/>
      <c r="C252" s="104"/>
      <c r="D252" s="105"/>
      <c r="E252" s="106"/>
      <c r="F252" s="107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6"/>
    </row>
    <row r="253" ht="15.75" customHeight="1">
      <c r="A253" s="109"/>
      <c r="B253" s="104"/>
      <c r="C253" s="104"/>
      <c r="D253" s="105"/>
      <c r="E253" s="106"/>
      <c r="F253" s="107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6"/>
    </row>
    <row r="254" ht="15.75" customHeight="1">
      <c r="A254" s="109"/>
      <c r="B254" s="104"/>
      <c r="C254" s="104"/>
      <c r="D254" s="105"/>
      <c r="E254" s="106"/>
      <c r="F254" s="107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6"/>
    </row>
    <row r="255" ht="15.75" customHeight="1">
      <c r="A255" s="109"/>
      <c r="B255" s="104"/>
      <c r="C255" s="104"/>
      <c r="D255" s="105"/>
      <c r="E255" s="106"/>
      <c r="F255" s="107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6"/>
    </row>
    <row r="256" ht="15.75" customHeight="1">
      <c r="A256" s="109"/>
      <c r="B256" s="104"/>
      <c r="C256" s="104"/>
      <c r="D256" s="105"/>
      <c r="E256" s="106"/>
      <c r="F256" s="107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6"/>
    </row>
    <row r="257" ht="15.75" customHeight="1">
      <c r="A257" s="109"/>
      <c r="B257" s="104"/>
      <c r="C257" s="104"/>
      <c r="D257" s="105"/>
      <c r="E257" s="106"/>
      <c r="F257" s="107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6"/>
    </row>
    <row r="258" ht="15.75" customHeight="1">
      <c r="A258" s="109"/>
      <c r="B258" s="104"/>
      <c r="C258" s="104"/>
      <c r="D258" s="105"/>
      <c r="E258" s="106"/>
      <c r="F258" s="107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6"/>
    </row>
    <row r="259" ht="15.75" customHeight="1">
      <c r="A259" s="109"/>
      <c r="B259" s="104"/>
      <c r="C259" s="104"/>
      <c r="D259" s="105"/>
      <c r="E259" s="106"/>
      <c r="F259" s="107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6"/>
    </row>
    <row r="260" ht="15.75" customHeight="1">
      <c r="A260" s="109"/>
      <c r="B260" s="104"/>
      <c r="C260" s="104"/>
      <c r="D260" s="105"/>
      <c r="E260" s="106"/>
      <c r="F260" s="107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6"/>
    </row>
    <row r="261" ht="15.75" customHeight="1">
      <c r="A261" s="109"/>
      <c r="B261" s="104"/>
      <c r="C261" s="104"/>
      <c r="D261" s="105"/>
      <c r="E261" s="106"/>
      <c r="F261" s="107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6"/>
    </row>
    <row r="262" ht="15.75" customHeight="1">
      <c r="A262" s="109"/>
      <c r="B262" s="104"/>
      <c r="C262" s="104"/>
      <c r="D262" s="105"/>
      <c r="E262" s="106"/>
      <c r="F262" s="107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6"/>
    </row>
    <row r="263" ht="15.75" customHeight="1">
      <c r="A263" s="109"/>
      <c r="B263" s="104"/>
      <c r="C263" s="104"/>
      <c r="D263" s="105"/>
      <c r="E263" s="106"/>
      <c r="F263" s="107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6"/>
    </row>
    <row r="264" ht="15.75" customHeight="1">
      <c r="A264" s="109"/>
      <c r="B264" s="104"/>
      <c r="C264" s="104"/>
      <c r="D264" s="105"/>
      <c r="E264" s="106"/>
      <c r="F264" s="107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6"/>
    </row>
    <row r="265" ht="15.75" customHeight="1">
      <c r="A265" s="109"/>
      <c r="B265" s="104"/>
      <c r="C265" s="104"/>
      <c r="D265" s="105"/>
      <c r="E265" s="106"/>
      <c r="F265" s="107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6"/>
    </row>
    <row r="266" ht="15.75" customHeight="1">
      <c r="A266" s="109"/>
      <c r="B266" s="104"/>
      <c r="C266" s="104"/>
      <c r="D266" s="105"/>
      <c r="E266" s="106"/>
      <c r="F266" s="107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6"/>
    </row>
    <row r="267" ht="15.75" customHeight="1">
      <c r="A267" s="109"/>
      <c r="B267" s="104"/>
      <c r="C267" s="104"/>
      <c r="D267" s="105"/>
      <c r="E267" s="106"/>
      <c r="F267" s="107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6"/>
    </row>
    <row r="268" ht="15.75" customHeight="1">
      <c r="A268" s="109"/>
      <c r="B268" s="104"/>
      <c r="C268" s="104"/>
      <c r="D268" s="105"/>
      <c r="E268" s="106"/>
      <c r="F268" s="107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6"/>
    </row>
    <row r="269" ht="15.75" customHeight="1">
      <c r="A269" s="109"/>
      <c r="B269" s="104"/>
      <c r="C269" s="104"/>
      <c r="D269" s="105"/>
      <c r="E269" s="106"/>
      <c r="F269" s="107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6"/>
    </row>
    <row r="270" ht="15.75" customHeight="1">
      <c r="A270" s="109"/>
      <c r="B270" s="104"/>
      <c r="C270" s="104"/>
      <c r="D270" s="105"/>
      <c r="E270" s="106"/>
      <c r="F270" s="107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6"/>
    </row>
    <row r="271" ht="15.75" customHeight="1">
      <c r="A271" s="109"/>
      <c r="B271" s="104"/>
      <c r="C271" s="104"/>
      <c r="D271" s="105"/>
      <c r="E271" s="106"/>
      <c r="F271" s="107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6"/>
    </row>
    <row r="272" ht="15.75" customHeight="1">
      <c r="A272" s="109"/>
      <c r="B272" s="104"/>
      <c r="C272" s="104"/>
      <c r="D272" s="105"/>
      <c r="E272" s="106"/>
      <c r="F272" s="107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6"/>
    </row>
    <row r="273" ht="15.75" customHeight="1">
      <c r="A273" s="109"/>
      <c r="B273" s="104"/>
      <c r="C273" s="104"/>
      <c r="D273" s="105"/>
      <c r="E273" s="106"/>
      <c r="F273" s="107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6"/>
    </row>
    <row r="274" ht="15.75" customHeight="1">
      <c r="A274" s="109"/>
      <c r="B274" s="104"/>
      <c r="C274" s="104"/>
      <c r="D274" s="105"/>
      <c r="E274" s="106"/>
      <c r="F274" s="107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6"/>
    </row>
    <row r="275" ht="15.75" customHeight="1">
      <c r="A275" s="109"/>
      <c r="B275" s="104"/>
      <c r="C275" s="104"/>
      <c r="D275" s="105"/>
      <c r="E275" s="106"/>
      <c r="F275" s="107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6"/>
    </row>
    <row r="276" ht="15.75" customHeight="1">
      <c r="A276" s="109"/>
      <c r="B276" s="104"/>
      <c r="C276" s="104"/>
      <c r="D276" s="105"/>
      <c r="E276" s="106"/>
      <c r="F276" s="107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6"/>
    </row>
    <row r="277" ht="15.75" customHeight="1">
      <c r="A277" s="109"/>
      <c r="B277" s="104"/>
      <c r="C277" s="104"/>
      <c r="D277" s="105"/>
      <c r="E277" s="106"/>
      <c r="F277" s="107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6"/>
    </row>
    <row r="278" ht="15.75" customHeight="1">
      <c r="A278" s="109"/>
      <c r="B278" s="104"/>
      <c r="C278" s="104"/>
      <c r="D278" s="105"/>
      <c r="E278" s="106"/>
      <c r="F278" s="107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6"/>
    </row>
    <row r="279" ht="15.75" customHeight="1">
      <c r="A279" s="109"/>
      <c r="B279" s="104"/>
      <c r="C279" s="104"/>
      <c r="D279" s="105"/>
      <c r="E279" s="106"/>
      <c r="F279" s="107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6"/>
    </row>
    <row r="280" ht="15.75" customHeight="1">
      <c r="A280" s="109"/>
      <c r="B280" s="104"/>
      <c r="C280" s="104"/>
      <c r="D280" s="105"/>
      <c r="E280" s="106"/>
      <c r="F280" s="107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6"/>
    </row>
    <row r="281" ht="15.75" customHeight="1">
      <c r="A281" s="109"/>
      <c r="B281" s="104"/>
      <c r="C281" s="104"/>
      <c r="D281" s="105"/>
      <c r="E281" s="106"/>
      <c r="F281" s="107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6"/>
    </row>
    <row r="282" ht="15.75" customHeight="1">
      <c r="A282" s="109"/>
      <c r="B282" s="104"/>
      <c r="C282" s="104"/>
      <c r="D282" s="105"/>
      <c r="E282" s="106"/>
      <c r="F282" s="107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6"/>
    </row>
    <row r="283" ht="15.75" customHeight="1">
      <c r="A283" s="109"/>
      <c r="B283" s="104"/>
      <c r="C283" s="104"/>
      <c r="D283" s="105"/>
      <c r="E283" s="106"/>
      <c r="F283" s="107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6"/>
    </row>
    <row r="284" ht="15.75" customHeight="1">
      <c r="A284" s="109"/>
      <c r="B284" s="104"/>
      <c r="C284" s="104"/>
      <c r="D284" s="105"/>
      <c r="E284" s="106"/>
      <c r="F284" s="107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6"/>
    </row>
    <row r="285" ht="15.75" customHeight="1">
      <c r="A285" s="109"/>
      <c r="B285" s="104"/>
      <c r="C285" s="104"/>
      <c r="D285" s="105"/>
      <c r="E285" s="106"/>
      <c r="F285" s="107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6"/>
    </row>
    <row r="286" ht="15.75" customHeight="1">
      <c r="A286" s="109"/>
      <c r="B286" s="104"/>
      <c r="C286" s="104"/>
      <c r="D286" s="105"/>
      <c r="E286" s="106"/>
      <c r="F286" s="107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6"/>
    </row>
    <row r="287" ht="15.75" customHeight="1">
      <c r="A287" s="109"/>
      <c r="B287" s="104"/>
      <c r="C287" s="104"/>
      <c r="D287" s="105"/>
      <c r="E287" s="106"/>
      <c r="F287" s="107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6"/>
    </row>
    <row r="288" ht="15.75" customHeight="1">
      <c r="A288" s="109"/>
      <c r="B288" s="104"/>
      <c r="C288" s="104"/>
      <c r="D288" s="105"/>
      <c r="E288" s="106"/>
      <c r="F288" s="107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6"/>
    </row>
    <row r="289" ht="15.75" customHeight="1">
      <c r="A289" s="109"/>
      <c r="B289" s="104"/>
      <c r="C289" s="104"/>
      <c r="D289" s="105"/>
      <c r="E289" s="106"/>
      <c r="F289" s="107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6"/>
    </row>
    <row r="290" ht="15.75" customHeight="1">
      <c r="A290" s="109"/>
      <c r="B290" s="104"/>
      <c r="C290" s="104"/>
      <c r="D290" s="105"/>
      <c r="E290" s="106"/>
      <c r="F290" s="107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6"/>
    </row>
    <row r="291" ht="15.75" customHeight="1">
      <c r="A291" s="109"/>
      <c r="B291" s="104"/>
      <c r="C291" s="104"/>
      <c r="D291" s="105"/>
      <c r="E291" s="106"/>
      <c r="F291" s="107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6"/>
    </row>
    <row r="292" ht="15.75" customHeight="1">
      <c r="A292" s="109"/>
      <c r="B292" s="104"/>
      <c r="C292" s="104"/>
      <c r="D292" s="105"/>
      <c r="E292" s="106"/>
      <c r="F292" s="107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6"/>
    </row>
    <row r="293" ht="15.75" customHeight="1">
      <c r="A293" s="109"/>
      <c r="B293" s="104"/>
      <c r="C293" s="104"/>
      <c r="D293" s="105"/>
      <c r="E293" s="106"/>
      <c r="F293" s="107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6"/>
    </row>
    <row r="294" ht="15.75" customHeight="1">
      <c r="A294" s="109"/>
      <c r="B294" s="104"/>
      <c r="C294" s="104"/>
      <c r="D294" s="105"/>
      <c r="E294" s="106"/>
      <c r="F294" s="107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6"/>
    </row>
    <row r="295" ht="15.75" customHeight="1">
      <c r="A295" s="109"/>
      <c r="B295" s="104"/>
      <c r="C295" s="104"/>
      <c r="D295" s="105"/>
      <c r="E295" s="106"/>
      <c r="F295" s="107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6"/>
    </row>
    <row r="296" ht="15.75" customHeight="1">
      <c r="A296" s="109"/>
      <c r="B296" s="104"/>
      <c r="C296" s="104"/>
      <c r="D296" s="105"/>
      <c r="E296" s="106"/>
      <c r="F296" s="107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6"/>
    </row>
    <row r="297" ht="15.75" customHeight="1">
      <c r="A297" s="109"/>
      <c r="B297" s="104"/>
      <c r="C297" s="104"/>
      <c r="D297" s="105"/>
      <c r="E297" s="106"/>
      <c r="F297" s="107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6"/>
    </row>
    <row r="298" ht="15.75" customHeight="1">
      <c r="A298" s="109"/>
      <c r="B298" s="104"/>
      <c r="C298" s="104"/>
      <c r="D298" s="105"/>
      <c r="E298" s="106"/>
      <c r="F298" s="107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6"/>
    </row>
    <row r="299" ht="15.75" customHeight="1">
      <c r="A299" s="109"/>
      <c r="B299" s="104"/>
      <c r="C299" s="104"/>
      <c r="D299" s="105"/>
      <c r="E299" s="106"/>
      <c r="F299" s="107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6"/>
    </row>
    <row r="300" ht="15.75" customHeight="1">
      <c r="A300" s="109"/>
      <c r="B300" s="104"/>
      <c r="C300" s="104"/>
      <c r="D300" s="105"/>
      <c r="E300" s="106"/>
      <c r="F300" s="107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6"/>
    </row>
    <row r="301" ht="15.75" customHeight="1">
      <c r="A301" s="109"/>
      <c r="B301" s="104"/>
      <c r="C301" s="104"/>
      <c r="D301" s="105"/>
      <c r="E301" s="106"/>
      <c r="F301" s="107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6"/>
    </row>
    <row r="302" ht="15.75" customHeight="1">
      <c r="A302" s="109"/>
      <c r="B302" s="104"/>
      <c r="C302" s="104"/>
      <c r="D302" s="105"/>
      <c r="E302" s="106"/>
      <c r="F302" s="107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6"/>
    </row>
    <row r="303" ht="15.75" customHeight="1">
      <c r="A303" s="109"/>
      <c r="B303" s="104"/>
      <c r="C303" s="104"/>
      <c r="D303" s="105"/>
      <c r="E303" s="106"/>
      <c r="F303" s="107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6"/>
    </row>
    <row r="304" ht="15.75" customHeight="1">
      <c r="A304" s="109"/>
      <c r="B304" s="104"/>
      <c r="C304" s="104"/>
      <c r="D304" s="105"/>
      <c r="E304" s="106"/>
      <c r="F304" s="107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6"/>
    </row>
    <row r="305" ht="15.75" customHeight="1">
      <c r="A305" s="109"/>
      <c r="B305" s="104"/>
      <c r="C305" s="104"/>
      <c r="D305" s="105"/>
      <c r="E305" s="106"/>
      <c r="F305" s="107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6"/>
    </row>
    <row r="306" ht="15.75" customHeight="1">
      <c r="A306" s="109"/>
      <c r="B306" s="104"/>
      <c r="C306" s="104"/>
      <c r="D306" s="105"/>
      <c r="E306" s="106"/>
      <c r="F306" s="107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6"/>
    </row>
    <row r="307" ht="15.75" customHeight="1">
      <c r="A307" s="109"/>
      <c r="B307" s="104"/>
      <c r="C307" s="104"/>
      <c r="D307" s="105"/>
      <c r="E307" s="106"/>
      <c r="F307" s="107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6"/>
    </row>
    <row r="308" ht="15.75" customHeight="1">
      <c r="A308" s="109"/>
      <c r="B308" s="104"/>
      <c r="C308" s="104"/>
      <c r="D308" s="105"/>
      <c r="E308" s="106"/>
      <c r="F308" s="107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6"/>
    </row>
    <row r="309" ht="15.75" customHeight="1">
      <c r="A309" s="109"/>
      <c r="B309" s="104"/>
      <c r="C309" s="104"/>
      <c r="D309" s="105"/>
      <c r="E309" s="106"/>
      <c r="F309" s="107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6"/>
    </row>
    <row r="310" ht="15.75" customHeight="1">
      <c r="A310" s="109"/>
      <c r="B310" s="104"/>
      <c r="C310" s="104"/>
      <c r="D310" s="105"/>
      <c r="E310" s="106"/>
      <c r="F310" s="107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6"/>
    </row>
    <row r="311" ht="15.75" customHeight="1">
      <c r="A311" s="109"/>
      <c r="B311" s="104"/>
      <c r="C311" s="104"/>
      <c r="D311" s="105"/>
      <c r="E311" s="106"/>
      <c r="F311" s="107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6"/>
    </row>
    <row r="312" ht="15.75" customHeight="1">
      <c r="A312" s="109"/>
      <c r="B312" s="104"/>
      <c r="C312" s="104"/>
      <c r="D312" s="105"/>
      <c r="E312" s="106"/>
      <c r="F312" s="107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6"/>
    </row>
    <row r="313" ht="15.75" customHeight="1">
      <c r="A313" s="109"/>
      <c r="B313" s="104"/>
      <c r="C313" s="104"/>
      <c r="D313" s="105"/>
      <c r="E313" s="106"/>
      <c r="F313" s="107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6"/>
    </row>
    <row r="314" ht="15.75" customHeight="1">
      <c r="A314" s="109"/>
      <c r="B314" s="104"/>
      <c r="C314" s="104"/>
      <c r="D314" s="105"/>
      <c r="E314" s="106"/>
      <c r="F314" s="107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6"/>
    </row>
    <row r="315" ht="15.75" customHeight="1">
      <c r="A315" s="109"/>
      <c r="B315" s="104"/>
      <c r="C315" s="104"/>
      <c r="D315" s="105"/>
      <c r="E315" s="106"/>
      <c r="F315" s="107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6"/>
    </row>
    <row r="316" ht="15.75" customHeight="1">
      <c r="A316" s="109"/>
      <c r="B316" s="104"/>
      <c r="C316" s="104"/>
      <c r="D316" s="105"/>
      <c r="E316" s="106"/>
      <c r="F316" s="107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6"/>
    </row>
    <row r="317" ht="15.75" customHeight="1">
      <c r="A317" s="109"/>
      <c r="B317" s="104"/>
      <c r="C317" s="104"/>
      <c r="D317" s="105"/>
      <c r="E317" s="106"/>
      <c r="F317" s="107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6"/>
    </row>
    <row r="318" ht="15.75" customHeight="1">
      <c r="A318" s="109"/>
      <c r="B318" s="104"/>
      <c r="C318" s="104"/>
      <c r="D318" s="105"/>
      <c r="E318" s="106"/>
      <c r="F318" s="107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6"/>
    </row>
    <row r="319" ht="15.75" customHeight="1">
      <c r="A319" s="109"/>
      <c r="B319" s="104"/>
      <c r="C319" s="104"/>
      <c r="D319" s="105"/>
      <c r="E319" s="106"/>
      <c r="F319" s="107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6"/>
    </row>
    <row r="320" ht="15.75" customHeight="1">
      <c r="A320" s="109"/>
      <c r="B320" s="104"/>
      <c r="C320" s="104"/>
      <c r="D320" s="105"/>
      <c r="E320" s="106"/>
      <c r="F320" s="107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6"/>
    </row>
    <row r="321" ht="15.75" customHeight="1">
      <c r="A321" s="109"/>
      <c r="B321" s="104"/>
      <c r="C321" s="104"/>
      <c r="D321" s="105"/>
      <c r="E321" s="106"/>
      <c r="F321" s="107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6"/>
    </row>
    <row r="322" ht="15.75" customHeight="1">
      <c r="A322" s="109"/>
      <c r="B322" s="104"/>
      <c r="C322" s="104"/>
      <c r="D322" s="105"/>
      <c r="E322" s="106"/>
      <c r="F322" s="107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6"/>
    </row>
    <row r="323" ht="15.75" customHeight="1">
      <c r="A323" s="109"/>
      <c r="B323" s="104"/>
      <c r="C323" s="104"/>
      <c r="D323" s="105"/>
      <c r="E323" s="106"/>
      <c r="F323" s="107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6"/>
    </row>
    <row r="324" ht="15.75" customHeight="1">
      <c r="A324" s="109"/>
      <c r="B324" s="104"/>
      <c r="C324" s="104"/>
      <c r="D324" s="105"/>
      <c r="E324" s="106"/>
      <c r="F324" s="107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6"/>
    </row>
    <row r="325" ht="15.75" customHeight="1">
      <c r="A325" s="109"/>
      <c r="B325" s="104"/>
      <c r="C325" s="104"/>
      <c r="D325" s="105"/>
      <c r="E325" s="106"/>
      <c r="F325" s="107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6"/>
    </row>
    <row r="326" ht="15.75" customHeight="1">
      <c r="A326" s="109"/>
      <c r="B326" s="104"/>
      <c r="C326" s="104"/>
      <c r="D326" s="105"/>
      <c r="E326" s="106"/>
      <c r="F326" s="107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6"/>
    </row>
    <row r="327" ht="15.75" customHeight="1">
      <c r="A327" s="109"/>
      <c r="B327" s="104"/>
      <c r="C327" s="104"/>
      <c r="D327" s="105"/>
      <c r="E327" s="106"/>
      <c r="F327" s="107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6"/>
    </row>
    <row r="328" ht="15.75" customHeight="1">
      <c r="A328" s="109"/>
      <c r="B328" s="104"/>
      <c r="C328" s="104"/>
      <c r="D328" s="105"/>
      <c r="E328" s="106"/>
      <c r="F328" s="107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6"/>
    </row>
    <row r="329" ht="15.75" customHeight="1">
      <c r="A329" s="109"/>
      <c r="B329" s="104"/>
      <c r="C329" s="104"/>
      <c r="D329" s="105"/>
      <c r="E329" s="106"/>
      <c r="F329" s="107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6"/>
    </row>
    <row r="330" ht="15.75" customHeight="1">
      <c r="A330" s="109"/>
      <c r="B330" s="104"/>
      <c r="C330" s="104"/>
      <c r="D330" s="105"/>
      <c r="E330" s="106"/>
      <c r="F330" s="107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6"/>
    </row>
    <row r="331" ht="15.75" customHeight="1">
      <c r="A331" s="109"/>
      <c r="B331" s="104"/>
      <c r="C331" s="104"/>
      <c r="D331" s="105"/>
      <c r="E331" s="106"/>
      <c r="F331" s="107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6"/>
    </row>
    <row r="332" ht="15.75" customHeight="1">
      <c r="A332" s="109"/>
      <c r="B332" s="104"/>
      <c r="C332" s="104"/>
      <c r="D332" s="105"/>
      <c r="E332" s="106"/>
      <c r="F332" s="107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6"/>
    </row>
    <row r="333" ht="15.75" customHeight="1">
      <c r="A333" s="109"/>
      <c r="B333" s="104"/>
      <c r="C333" s="104"/>
      <c r="D333" s="105"/>
      <c r="E333" s="106"/>
      <c r="F333" s="107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6"/>
    </row>
    <row r="334" ht="15.75" customHeight="1">
      <c r="A334" s="109"/>
      <c r="B334" s="104"/>
      <c r="C334" s="104"/>
      <c r="D334" s="105"/>
      <c r="E334" s="106"/>
      <c r="F334" s="107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6"/>
    </row>
    <row r="335" ht="15.75" customHeight="1">
      <c r="A335" s="109"/>
      <c r="B335" s="104"/>
      <c r="C335" s="104"/>
      <c r="D335" s="105"/>
      <c r="E335" s="106"/>
      <c r="F335" s="107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6"/>
    </row>
    <row r="336" ht="15.75" customHeight="1">
      <c r="A336" s="109"/>
      <c r="B336" s="104"/>
      <c r="C336" s="104"/>
      <c r="D336" s="105"/>
      <c r="E336" s="106"/>
      <c r="F336" s="107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6"/>
    </row>
    <row r="337" ht="15.75" customHeight="1">
      <c r="A337" s="109"/>
      <c r="B337" s="104"/>
      <c r="C337" s="104"/>
      <c r="D337" s="105"/>
      <c r="E337" s="106"/>
      <c r="F337" s="107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6"/>
    </row>
    <row r="338" ht="15.75" customHeight="1">
      <c r="A338" s="109"/>
      <c r="B338" s="104"/>
      <c r="C338" s="104"/>
      <c r="D338" s="105"/>
      <c r="E338" s="106"/>
      <c r="F338" s="107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6"/>
    </row>
    <row r="339" ht="15.75" customHeight="1">
      <c r="A339" s="109"/>
      <c r="B339" s="104"/>
      <c r="C339" s="104"/>
      <c r="D339" s="105"/>
      <c r="E339" s="106"/>
      <c r="F339" s="107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6"/>
    </row>
    <row r="340" ht="15.75" customHeight="1">
      <c r="A340" s="109"/>
      <c r="B340" s="104"/>
      <c r="C340" s="104"/>
      <c r="D340" s="105"/>
      <c r="E340" s="106"/>
      <c r="F340" s="107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6"/>
    </row>
    <row r="341" ht="15.75" customHeight="1">
      <c r="A341" s="109"/>
      <c r="B341" s="104"/>
      <c r="C341" s="104"/>
      <c r="D341" s="105"/>
      <c r="E341" s="106"/>
      <c r="F341" s="107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6"/>
    </row>
    <row r="342" ht="15.75" customHeight="1">
      <c r="A342" s="109"/>
      <c r="B342" s="104"/>
      <c r="C342" s="104"/>
      <c r="D342" s="105"/>
      <c r="E342" s="106"/>
      <c r="F342" s="107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6"/>
    </row>
    <row r="343" ht="15.75" customHeight="1">
      <c r="A343" s="109"/>
      <c r="B343" s="104"/>
      <c r="C343" s="104"/>
      <c r="D343" s="105"/>
      <c r="E343" s="106"/>
      <c r="F343" s="107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6"/>
    </row>
    <row r="344" ht="15.75" customHeight="1">
      <c r="A344" s="109"/>
      <c r="B344" s="104"/>
      <c r="C344" s="104"/>
      <c r="D344" s="105"/>
      <c r="E344" s="106"/>
      <c r="F344" s="107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6"/>
    </row>
    <row r="345" ht="15.75" customHeight="1">
      <c r="A345" s="109"/>
      <c r="B345" s="104"/>
      <c r="C345" s="104"/>
      <c r="D345" s="105"/>
      <c r="E345" s="106"/>
      <c r="F345" s="107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6"/>
    </row>
    <row r="346" ht="15.75" customHeight="1">
      <c r="A346" s="109"/>
      <c r="B346" s="104"/>
      <c r="C346" s="104"/>
      <c r="D346" s="105"/>
      <c r="E346" s="106"/>
      <c r="F346" s="107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6"/>
    </row>
    <row r="347" ht="15.75" customHeight="1">
      <c r="A347" s="109"/>
      <c r="B347" s="104"/>
      <c r="C347" s="104"/>
      <c r="D347" s="105"/>
      <c r="E347" s="106"/>
      <c r="F347" s="107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6"/>
    </row>
    <row r="348" ht="15.75" customHeight="1">
      <c r="A348" s="109"/>
      <c r="B348" s="104"/>
      <c r="C348" s="104"/>
      <c r="D348" s="105"/>
      <c r="E348" s="106"/>
      <c r="F348" s="107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6"/>
    </row>
    <row r="349" ht="15.75" customHeight="1">
      <c r="A349" s="109"/>
      <c r="B349" s="104"/>
      <c r="C349" s="104"/>
      <c r="D349" s="105"/>
      <c r="E349" s="106"/>
      <c r="F349" s="107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6"/>
    </row>
    <row r="350" ht="15.75" customHeight="1">
      <c r="A350" s="109"/>
      <c r="B350" s="104"/>
      <c r="C350" s="104"/>
      <c r="D350" s="105"/>
      <c r="E350" s="106"/>
      <c r="F350" s="107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6"/>
    </row>
    <row r="351" ht="15.75" customHeight="1">
      <c r="A351" s="109"/>
      <c r="B351" s="104"/>
      <c r="C351" s="104"/>
      <c r="D351" s="105"/>
      <c r="E351" s="106"/>
      <c r="F351" s="107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6"/>
    </row>
    <row r="352" ht="15.75" customHeight="1">
      <c r="A352" s="109"/>
      <c r="B352" s="104"/>
      <c r="C352" s="104"/>
      <c r="D352" s="105"/>
      <c r="E352" s="106"/>
      <c r="F352" s="107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6"/>
    </row>
    <row r="353" ht="15.75" customHeight="1">
      <c r="A353" s="109"/>
      <c r="B353" s="104"/>
      <c r="C353" s="104"/>
      <c r="D353" s="105"/>
      <c r="E353" s="106"/>
      <c r="F353" s="107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6"/>
    </row>
    <row r="354" ht="15.75" customHeight="1">
      <c r="A354" s="109"/>
      <c r="B354" s="104"/>
      <c r="C354" s="104"/>
      <c r="D354" s="105"/>
      <c r="E354" s="106"/>
      <c r="F354" s="107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6"/>
    </row>
    <row r="355" ht="15.75" customHeight="1">
      <c r="A355" s="109"/>
      <c r="B355" s="104"/>
      <c r="C355" s="104"/>
      <c r="D355" s="105"/>
      <c r="E355" s="106"/>
      <c r="F355" s="107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6"/>
    </row>
    <row r="356" ht="15.75" customHeight="1">
      <c r="A356" s="109"/>
      <c r="B356" s="104"/>
      <c r="C356" s="104"/>
      <c r="D356" s="105"/>
      <c r="E356" s="106"/>
      <c r="F356" s="107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6"/>
    </row>
    <row r="357" ht="15.75" customHeight="1">
      <c r="A357" s="109"/>
      <c r="B357" s="104"/>
      <c r="C357" s="104"/>
      <c r="D357" s="105"/>
      <c r="E357" s="106"/>
      <c r="F357" s="107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6"/>
    </row>
    <row r="358" ht="15.75" customHeight="1">
      <c r="A358" s="109"/>
      <c r="B358" s="104"/>
      <c r="C358" s="104"/>
      <c r="D358" s="105"/>
      <c r="E358" s="106"/>
      <c r="F358" s="107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6"/>
    </row>
    <row r="359" ht="15.75" customHeight="1">
      <c r="A359" s="109"/>
      <c r="B359" s="104"/>
      <c r="C359" s="104"/>
      <c r="D359" s="105"/>
      <c r="E359" s="106"/>
      <c r="F359" s="107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6"/>
    </row>
    <row r="360" ht="15.75" customHeight="1">
      <c r="A360" s="109"/>
      <c r="B360" s="104"/>
      <c r="C360" s="104"/>
      <c r="D360" s="105"/>
      <c r="E360" s="106"/>
      <c r="F360" s="107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6"/>
    </row>
    <row r="361" ht="15.75" customHeight="1">
      <c r="A361" s="109"/>
      <c r="B361" s="104"/>
      <c r="C361" s="104"/>
      <c r="D361" s="105"/>
      <c r="E361" s="106"/>
      <c r="F361" s="107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6"/>
    </row>
    <row r="362" ht="15.75" customHeight="1">
      <c r="A362" s="109"/>
      <c r="B362" s="104"/>
      <c r="C362" s="104"/>
      <c r="D362" s="105"/>
      <c r="E362" s="106"/>
      <c r="F362" s="107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6"/>
    </row>
    <row r="363" ht="15.75" customHeight="1">
      <c r="A363" s="109"/>
      <c r="B363" s="104"/>
      <c r="C363" s="104"/>
      <c r="D363" s="105"/>
      <c r="E363" s="106"/>
      <c r="F363" s="107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6"/>
    </row>
    <row r="364" ht="15.75" customHeight="1">
      <c r="A364" s="109"/>
      <c r="B364" s="104"/>
      <c r="C364" s="104"/>
      <c r="D364" s="105"/>
      <c r="E364" s="106"/>
      <c r="F364" s="107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6"/>
    </row>
    <row r="365" ht="15.75" customHeight="1">
      <c r="A365" s="109"/>
      <c r="B365" s="104"/>
      <c r="C365" s="104"/>
      <c r="D365" s="105"/>
      <c r="E365" s="106"/>
      <c r="F365" s="107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6"/>
    </row>
    <row r="366" ht="15.75" customHeight="1">
      <c r="A366" s="109"/>
      <c r="B366" s="104"/>
      <c r="C366" s="104"/>
      <c r="D366" s="105"/>
      <c r="E366" s="106"/>
      <c r="F366" s="107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6"/>
    </row>
    <row r="367" ht="15.75" customHeight="1">
      <c r="A367" s="109"/>
      <c r="B367" s="104"/>
      <c r="C367" s="104"/>
      <c r="D367" s="105"/>
      <c r="E367" s="106"/>
      <c r="F367" s="107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6"/>
    </row>
    <row r="368" ht="15.75" customHeight="1">
      <c r="A368" s="109"/>
      <c r="B368" s="104"/>
      <c r="C368" s="104"/>
      <c r="D368" s="105"/>
      <c r="E368" s="106"/>
      <c r="F368" s="107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6"/>
    </row>
    <row r="369" ht="15.75" customHeight="1">
      <c r="A369" s="109"/>
      <c r="B369" s="104"/>
      <c r="C369" s="104"/>
      <c r="D369" s="105"/>
      <c r="E369" s="106"/>
      <c r="F369" s="107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6"/>
    </row>
    <row r="370" ht="15.75" customHeight="1">
      <c r="A370" s="109"/>
      <c r="B370" s="104"/>
      <c r="C370" s="104"/>
      <c r="D370" s="105"/>
      <c r="E370" s="106"/>
      <c r="F370" s="107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6"/>
    </row>
    <row r="371" ht="15.75" customHeight="1">
      <c r="A371" s="109"/>
      <c r="B371" s="104"/>
      <c r="C371" s="104"/>
      <c r="D371" s="105"/>
      <c r="E371" s="106"/>
      <c r="F371" s="107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6"/>
    </row>
    <row r="372" ht="15.75" customHeight="1">
      <c r="A372" s="109"/>
      <c r="B372" s="104"/>
      <c r="C372" s="104"/>
      <c r="D372" s="105"/>
      <c r="E372" s="106"/>
      <c r="F372" s="107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6"/>
    </row>
    <row r="373" ht="15.75" customHeight="1">
      <c r="A373" s="109"/>
      <c r="B373" s="104"/>
      <c r="C373" s="104"/>
      <c r="D373" s="105"/>
      <c r="E373" s="106"/>
      <c r="F373" s="107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6"/>
    </row>
    <row r="374" ht="15.75" customHeight="1">
      <c r="A374" s="109"/>
      <c r="B374" s="104"/>
      <c r="C374" s="104"/>
      <c r="D374" s="105"/>
      <c r="E374" s="106"/>
      <c r="F374" s="107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6"/>
    </row>
    <row r="375" ht="15.75" customHeight="1">
      <c r="A375" s="109"/>
      <c r="B375" s="104"/>
      <c r="C375" s="104"/>
      <c r="D375" s="105"/>
      <c r="E375" s="106"/>
      <c r="F375" s="107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6"/>
    </row>
    <row r="376" ht="15.75" customHeight="1">
      <c r="A376" s="109"/>
      <c r="B376" s="104"/>
      <c r="C376" s="104"/>
      <c r="D376" s="105"/>
      <c r="E376" s="106"/>
      <c r="F376" s="107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6"/>
    </row>
    <row r="377" ht="15.75" customHeight="1">
      <c r="A377" s="109"/>
      <c r="B377" s="104"/>
      <c r="C377" s="104"/>
      <c r="D377" s="105"/>
      <c r="E377" s="106"/>
      <c r="F377" s="107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6"/>
    </row>
    <row r="378" ht="15.75" customHeight="1">
      <c r="A378" s="109"/>
      <c r="B378" s="104"/>
      <c r="C378" s="104"/>
      <c r="D378" s="105"/>
      <c r="E378" s="106"/>
      <c r="F378" s="107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6"/>
    </row>
    <row r="379" ht="15.75" customHeight="1">
      <c r="A379" s="109"/>
      <c r="B379" s="104"/>
      <c r="C379" s="104"/>
      <c r="D379" s="105"/>
      <c r="E379" s="106"/>
      <c r="F379" s="107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6"/>
    </row>
    <row r="380" ht="15.75" customHeight="1">
      <c r="A380" s="109"/>
      <c r="B380" s="104"/>
      <c r="C380" s="104"/>
      <c r="D380" s="105"/>
      <c r="E380" s="106"/>
      <c r="F380" s="107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6"/>
    </row>
    <row r="381" ht="15.75" customHeight="1">
      <c r="A381" s="109"/>
      <c r="B381" s="104"/>
      <c r="C381" s="104"/>
      <c r="D381" s="105"/>
      <c r="E381" s="106"/>
      <c r="F381" s="107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6"/>
    </row>
    <row r="382" ht="15.75" customHeight="1">
      <c r="A382" s="109"/>
      <c r="B382" s="104"/>
      <c r="C382" s="104"/>
      <c r="D382" s="105"/>
      <c r="E382" s="106"/>
      <c r="F382" s="107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6"/>
    </row>
    <row r="383" ht="15.75" customHeight="1">
      <c r="A383" s="109"/>
      <c r="B383" s="104"/>
      <c r="C383" s="104"/>
      <c r="D383" s="105"/>
      <c r="E383" s="106"/>
      <c r="F383" s="107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6"/>
    </row>
    <row r="384" ht="15.75" customHeight="1">
      <c r="A384" s="109"/>
      <c r="B384" s="104"/>
      <c r="C384" s="104"/>
      <c r="D384" s="105"/>
      <c r="E384" s="106"/>
      <c r="F384" s="107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6"/>
    </row>
    <row r="385" ht="15.75" customHeight="1">
      <c r="A385" s="109"/>
      <c r="B385" s="104"/>
      <c r="C385" s="104"/>
      <c r="D385" s="105"/>
      <c r="E385" s="106"/>
      <c r="F385" s="107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6"/>
    </row>
    <row r="386" ht="15.75" customHeight="1">
      <c r="A386" s="109"/>
      <c r="B386" s="104"/>
      <c r="C386" s="104"/>
      <c r="D386" s="105"/>
      <c r="E386" s="106"/>
      <c r="F386" s="107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6"/>
    </row>
    <row r="387" ht="15.75" customHeight="1">
      <c r="A387" s="109"/>
      <c r="B387" s="104"/>
      <c r="C387" s="104"/>
      <c r="D387" s="105"/>
      <c r="E387" s="106"/>
      <c r="F387" s="107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6"/>
    </row>
    <row r="388" ht="15.75" customHeight="1">
      <c r="A388" s="109"/>
      <c r="B388" s="104"/>
      <c r="C388" s="104"/>
      <c r="D388" s="105"/>
      <c r="E388" s="106"/>
      <c r="F388" s="107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6"/>
    </row>
    <row r="389" ht="15.75" customHeight="1">
      <c r="A389" s="109"/>
      <c r="B389" s="104"/>
      <c r="C389" s="104"/>
      <c r="D389" s="105"/>
      <c r="E389" s="106"/>
      <c r="F389" s="107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6"/>
    </row>
    <row r="390" ht="15.75" customHeight="1">
      <c r="A390" s="109"/>
      <c r="B390" s="104"/>
      <c r="C390" s="104"/>
      <c r="D390" s="105"/>
      <c r="E390" s="106"/>
      <c r="F390" s="107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6"/>
    </row>
    <row r="391" ht="15.75" customHeight="1">
      <c r="A391" s="109"/>
      <c r="B391" s="104"/>
      <c r="C391" s="104"/>
      <c r="D391" s="105"/>
      <c r="E391" s="106"/>
      <c r="F391" s="107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6"/>
    </row>
    <row r="392" ht="15.75" customHeight="1">
      <c r="A392" s="109"/>
      <c r="B392" s="104"/>
      <c r="C392" s="104"/>
      <c r="D392" s="105"/>
      <c r="E392" s="106"/>
      <c r="F392" s="107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6"/>
    </row>
    <row r="393" ht="15.75" customHeight="1">
      <c r="A393" s="109"/>
      <c r="B393" s="104"/>
      <c r="C393" s="104"/>
      <c r="D393" s="105"/>
      <c r="E393" s="106"/>
      <c r="F393" s="107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6"/>
    </row>
    <row r="394" ht="15.75" customHeight="1">
      <c r="A394" s="109"/>
      <c r="B394" s="104"/>
      <c r="C394" s="104"/>
      <c r="D394" s="105"/>
      <c r="E394" s="106"/>
      <c r="F394" s="107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6"/>
    </row>
    <row r="395" ht="15.75" customHeight="1">
      <c r="A395" s="109"/>
      <c r="B395" s="104"/>
      <c r="C395" s="104"/>
      <c r="D395" s="105"/>
      <c r="E395" s="106"/>
      <c r="F395" s="107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6"/>
    </row>
    <row r="396" ht="15.75" customHeight="1">
      <c r="A396" s="109"/>
      <c r="B396" s="104"/>
      <c r="C396" s="104"/>
      <c r="D396" s="105"/>
      <c r="E396" s="106"/>
      <c r="F396" s="107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6"/>
    </row>
    <row r="397" ht="15.75" customHeight="1">
      <c r="A397" s="109"/>
      <c r="B397" s="104"/>
      <c r="C397" s="104"/>
      <c r="D397" s="105"/>
      <c r="E397" s="106"/>
      <c r="F397" s="107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6"/>
    </row>
    <row r="398" ht="15.75" customHeight="1">
      <c r="A398" s="109"/>
      <c r="B398" s="104"/>
      <c r="C398" s="104"/>
      <c r="D398" s="105"/>
      <c r="E398" s="106"/>
      <c r="F398" s="107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6"/>
    </row>
    <row r="399" ht="15.75" customHeight="1">
      <c r="A399" s="109"/>
      <c r="B399" s="104"/>
      <c r="C399" s="104"/>
      <c r="D399" s="105"/>
      <c r="E399" s="106"/>
      <c r="F399" s="107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6"/>
    </row>
    <row r="400" ht="15.75" customHeight="1">
      <c r="A400" s="109"/>
      <c r="B400" s="104"/>
      <c r="C400" s="104"/>
      <c r="D400" s="105"/>
      <c r="E400" s="106"/>
      <c r="F400" s="107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6"/>
    </row>
    <row r="401" ht="15.75" customHeight="1">
      <c r="A401" s="109"/>
      <c r="B401" s="104"/>
      <c r="C401" s="104"/>
      <c r="D401" s="105"/>
      <c r="E401" s="106"/>
      <c r="F401" s="107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6"/>
    </row>
    <row r="402" ht="15.75" customHeight="1">
      <c r="A402" s="109"/>
      <c r="B402" s="104"/>
      <c r="C402" s="104"/>
      <c r="D402" s="105"/>
      <c r="E402" s="106"/>
      <c r="F402" s="107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6"/>
    </row>
    <row r="403" ht="15.75" customHeight="1">
      <c r="A403" s="109"/>
      <c r="B403" s="104"/>
      <c r="C403" s="104"/>
      <c r="D403" s="105"/>
      <c r="E403" s="106"/>
      <c r="F403" s="107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6"/>
    </row>
    <row r="404" ht="15.75" customHeight="1">
      <c r="A404" s="109"/>
      <c r="B404" s="104"/>
      <c r="C404" s="104"/>
      <c r="D404" s="105"/>
      <c r="E404" s="106"/>
      <c r="F404" s="107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6"/>
    </row>
    <row r="405" ht="15.75" customHeight="1">
      <c r="A405" s="109"/>
      <c r="B405" s="104"/>
      <c r="C405" s="104"/>
      <c r="D405" s="105"/>
      <c r="E405" s="106"/>
      <c r="F405" s="107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6"/>
    </row>
    <row r="406" ht="15.75" customHeight="1">
      <c r="A406" s="109"/>
      <c r="B406" s="104"/>
      <c r="C406" s="104"/>
      <c r="D406" s="105"/>
      <c r="E406" s="106"/>
      <c r="F406" s="107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6"/>
    </row>
    <row r="407" ht="15.75" customHeight="1">
      <c r="A407" s="109"/>
      <c r="B407" s="104"/>
      <c r="C407" s="104"/>
      <c r="D407" s="105"/>
      <c r="E407" s="106"/>
      <c r="F407" s="107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6"/>
    </row>
    <row r="408" ht="15.75" customHeight="1">
      <c r="A408" s="109"/>
      <c r="B408" s="104"/>
      <c r="C408" s="104"/>
      <c r="D408" s="105"/>
      <c r="E408" s="106"/>
      <c r="F408" s="107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6"/>
    </row>
    <row r="409" ht="15.75" customHeight="1">
      <c r="A409" s="109"/>
      <c r="B409" s="104"/>
      <c r="C409" s="104"/>
      <c r="D409" s="105"/>
      <c r="E409" s="106"/>
      <c r="F409" s="107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6"/>
    </row>
    <row r="410" ht="15.75" customHeight="1">
      <c r="A410" s="109"/>
      <c r="B410" s="104"/>
      <c r="C410" s="104"/>
      <c r="D410" s="105"/>
      <c r="E410" s="106"/>
      <c r="F410" s="107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6"/>
    </row>
    <row r="411" ht="15.75" customHeight="1">
      <c r="A411" s="109"/>
      <c r="B411" s="104"/>
      <c r="C411" s="104"/>
      <c r="D411" s="105"/>
      <c r="E411" s="106"/>
      <c r="F411" s="107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6"/>
    </row>
    <row r="412" ht="15.75" customHeight="1">
      <c r="A412" s="109"/>
      <c r="B412" s="104"/>
      <c r="C412" s="104"/>
      <c r="D412" s="105"/>
      <c r="E412" s="106"/>
      <c r="F412" s="107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6"/>
    </row>
    <row r="413" ht="15.75" customHeight="1">
      <c r="A413" s="109"/>
      <c r="B413" s="104"/>
      <c r="C413" s="104"/>
      <c r="D413" s="105"/>
      <c r="E413" s="106"/>
      <c r="F413" s="107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6"/>
    </row>
    <row r="414" ht="15.75" customHeight="1">
      <c r="A414" s="109"/>
      <c r="B414" s="104"/>
      <c r="C414" s="104"/>
      <c r="D414" s="105"/>
      <c r="E414" s="106"/>
      <c r="F414" s="107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6"/>
    </row>
    <row r="415" ht="15.75" customHeight="1">
      <c r="A415" s="109"/>
      <c r="B415" s="104"/>
      <c r="C415" s="104"/>
      <c r="D415" s="105"/>
      <c r="E415" s="106"/>
      <c r="F415" s="107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6"/>
    </row>
    <row r="416" ht="15.75" customHeight="1">
      <c r="A416" s="109"/>
      <c r="B416" s="104"/>
      <c r="C416" s="104"/>
      <c r="D416" s="105"/>
      <c r="E416" s="106"/>
      <c r="F416" s="107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6"/>
    </row>
    <row r="417" ht="15.75" customHeight="1">
      <c r="A417" s="109"/>
      <c r="B417" s="104"/>
      <c r="C417" s="104"/>
      <c r="D417" s="105"/>
      <c r="E417" s="106"/>
      <c r="F417" s="107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6"/>
    </row>
    <row r="418" ht="15.75" customHeight="1">
      <c r="A418" s="109"/>
      <c r="B418" s="104"/>
      <c r="C418" s="104"/>
      <c r="D418" s="105"/>
      <c r="E418" s="106"/>
      <c r="F418" s="107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6"/>
    </row>
    <row r="419" ht="15.75" customHeight="1">
      <c r="A419" s="109"/>
      <c r="B419" s="104"/>
      <c r="C419" s="104"/>
      <c r="D419" s="105"/>
      <c r="E419" s="106"/>
      <c r="F419" s="107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6"/>
    </row>
    <row r="420" ht="15.75" customHeight="1">
      <c r="A420" s="109"/>
      <c r="B420" s="104"/>
      <c r="C420" s="104"/>
      <c r="D420" s="105"/>
      <c r="E420" s="106"/>
      <c r="F420" s="107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6"/>
    </row>
    <row r="421" ht="15.75" customHeight="1">
      <c r="A421" s="109"/>
      <c r="B421" s="104"/>
      <c r="C421" s="104"/>
      <c r="D421" s="105"/>
      <c r="E421" s="106"/>
      <c r="F421" s="107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6"/>
    </row>
    <row r="422" ht="15.75" customHeight="1">
      <c r="A422" s="109"/>
      <c r="B422" s="104"/>
      <c r="C422" s="104"/>
      <c r="D422" s="105"/>
      <c r="E422" s="106"/>
      <c r="F422" s="107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6"/>
    </row>
    <row r="423" ht="15.75" customHeight="1">
      <c r="A423" s="109"/>
      <c r="B423" s="104"/>
      <c r="C423" s="104"/>
      <c r="D423" s="105"/>
      <c r="E423" s="106"/>
      <c r="F423" s="107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6"/>
    </row>
    <row r="424" ht="15.75" customHeight="1">
      <c r="A424" s="109"/>
      <c r="B424" s="104"/>
      <c r="C424" s="104"/>
      <c r="D424" s="105"/>
      <c r="E424" s="106"/>
      <c r="F424" s="107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6"/>
    </row>
    <row r="425" ht="15.75" customHeight="1">
      <c r="A425" s="109"/>
      <c r="B425" s="104"/>
      <c r="C425" s="104"/>
      <c r="D425" s="105"/>
      <c r="E425" s="106"/>
      <c r="F425" s="107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6"/>
    </row>
    <row r="426" ht="15.75" customHeight="1">
      <c r="A426" s="109"/>
      <c r="B426" s="104"/>
      <c r="C426" s="104"/>
      <c r="D426" s="105"/>
      <c r="E426" s="106"/>
      <c r="F426" s="107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6"/>
    </row>
    <row r="427" ht="15.75" customHeight="1">
      <c r="A427" s="109"/>
      <c r="B427" s="104"/>
      <c r="C427" s="104"/>
      <c r="D427" s="105"/>
      <c r="E427" s="106"/>
      <c r="F427" s="107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6"/>
    </row>
    <row r="428" ht="15.75" customHeight="1">
      <c r="A428" s="109"/>
      <c r="B428" s="104"/>
      <c r="C428" s="104"/>
      <c r="D428" s="105"/>
      <c r="E428" s="106"/>
      <c r="F428" s="107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6"/>
    </row>
    <row r="429" ht="15.75" customHeight="1">
      <c r="A429" s="109"/>
      <c r="B429" s="104"/>
      <c r="C429" s="104"/>
      <c r="D429" s="105"/>
      <c r="E429" s="106"/>
      <c r="F429" s="107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6"/>
    </row>
    <row r="430" ht="15.75" customHeight="1">
      <c r="A430" s="109"/>
      <c r="B430" s="104"/>
      <c r="C430" s="104"/>
      <c r="D430" s="105"/>
      <c r="E430" s="106"/>
      <c r="F430" s="107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6"/>
    </row>
    <row r="431" ht="15.75" customHeight="1">
      <c r="A431" s="109"/>
      <c r="B431" s="104"/>
      <c r="C431" s="104"/>
      <c r="D431" s="105"/>
      <c r="E431" s="106"/>
      <c r="F431" s="107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6"/>
    </row>
    <row r="432" ht="15.75" customHeight="1">
      <c r="A432" s="109"/>
      <c r="B432" s="104"/>
      <c r="C432" s="104"/>
      <c r="D432" s="105"/>
      <c r="E432" s="106"/>
      <c r="F432" s="107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6"/>
    </row>
    <row r="433" ht="15.75" customHeight="1">
      <c r="A433" s="109"/>
      <c r="B433" s="104"/>
      <c r="C433" s="104"/>
      <c r="D433" s="105"/>
      <c r="E433" s="106"/>
      <c r="F433" s="107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6"/>
    </row>
    <row r="434" ht="15.75" customHeight="1">
      <c r="A434" s="109"/>
      <c r="B434" s="104"/>
      <c r="C434" s="104"/>
      <c r="D434" s="105"/>
      <c r="E434" s="106"/>
      <c r="F434" s="107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6"/>
    </row>
    <row r="435" ht="15.75" customHeight="1">
      <c r="A435" s="109"/>
      <c r="B435" s="104"/>
      <c r="C435" s="104"/>
      <c r="D435" s="105"/>
      <c r="E435" s="106"/>
      <c r="F435" s="107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6"/>
    </row>
    <row r="436" ht="15.75" customHeight="1">
      <c r="A436" s="109"/>
      <c r="B436" s="104"/>
      <c r="C436" s="104"/>
      <c r="D436" s="105"/>
      <c r="E436" s="106"/>
      <c r="F436" s="107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6"/>
    </row>
    <row r="437" ht="15.75" customHeight="1">
      <c r="A437" s="109"/>
      <c r="B437" s="104"/>
      <c r="C437" s="104"/>
      <c r="D437" s="105"/>
      <c r="E437" s="106"/>
      <c r="F437" s="107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6"/>
    </row>
    <row r="438" ht="15.75" customHeight="1">
      <c r="A438" s="109"/>
      <c r="B438" s="104"/>
      <c r="C438" s="104"/>
      <c r="D438" s="105"/>
      <c r="E438" s="106"/>
      <c r="F438" s="107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6"/>
    </row>
    <row r="439" ht="15.75" customHeight="1">
      <c r="A439" s="109"/>
      <c r="B439" s="104"/>
      <c r="C439" s="104"/>
      <c r="D439" s="105"/>
      <c r="E439" s="106"/>
      <c r="F439" s="107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6"/>
    </row>
    <row r="440" ht="15.75" customHeight="1">
      <c r="A440" s="109"/>
      <c r="B440" s="104"/>
      <c r="C440" s="104"/>
      <c r="D440" s="105"/>
      <c r="E440" s="106"/>
      <c r="F440" s="107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6"/>
    </row>
    <row r="441" ht="15.75" customHeight="1">
      <c r="A441" s="109"/>
      <c r="B441" s="104"/>
      <c r="C441" s="104"/>
      <c r="D441" s="105"/>
      <c r="E441" s="106"/>
      <c r="F441" s="107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6"/>
    </row>
    <row r="442" ht="15.75" customHeight="1">
      <c r="A442" s="109"/>
      <c r="B442" s="104"/>
      <c r="C442" s="104"/>
      <c r="D442" s="105"/>
      <c r="E442" s="106"/>
      <c r="F442" s="107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6"/>
    </row>
    <row r="443" ht="15.75" customHeight="1">
      <c r="A443" s="109"/>
      <c r="B443" s="104"/>
      <c r="C443" s="104"/>
      <c r="D443" s="105"/>
      <c r="E443" s="106"/>
      <c r="F443" s="107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6"/>
    </row>
    <row r="444" ht="15.75" customHeight="1">
      <c r="A444" s="109"/>
      <c r="B444" s="104"/>
      <c r="C444" s="104"/>
      <c r="D444" s="105"/>
      <c r="E444" s="106"/>
      <c r="F444" s="107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6"/>
    </row>
    <row r="445" ht="15.75" customHeight="1">
      <c r="A445" s="109"/>
      <c r="B445" s="104"/>
      <c r="C445" s="104"/>
      <c r="D445" s="105"/>
      <c r="E445" s="106"/>
      <c r="F445" s="107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6"/>
    </row>
    <row r="446" ht="15.75" customHeight="1">
      <c r="A446" s="109"/>
      <c r="B446" s="104"/>
      <c r="C446" s="104"/>
      <c r="D446" s="105"/>
      <c r="E446" s="106"/>
      <c r="F446" s="107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6"/>
    </row>
    <row r="447" ht="15.75" customHeight="1">
      <c r="A447" s="109"/>
      <c r="B447" s="104"/>
      <c r="C447" s="104"/>
      <c r="D447" s="105"/>
      <c r="E447" s="106"/>
      <c r="F447" s="107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6"/>
    </row>
    <row r="448" ht="15.75" customHeight="1">
      <c r="A448" s="109"/>
      <c r="B448" s="104"/>
      <c r="C448" s="104"/>
      <c r="D448" s="105"/>
      <c r="E448" s="106"/>
      <c r="F448" s="107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6"/>
    </row>
    <row r="449" ht="15.75" customHeight="1">
      <c r="A449" s="109"/>
      <c r="B449" s="104"/>
      <c r="C449" s="104"/>
      <c r="D449" s="105"/>
      <c r="E449" s="106"/>
      <c r="F449" s="107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6"/>
    </row>
    <row r="450" ht="15.75" customHeight="1">
      <c r="A450" s="109"/>
      <c r="B450" s="104"/>
      <c r="C450" s="104"/>
      <c r="D450" s="105"/>
      <c r="E450" s="106"/>
      <c r="F450" s="107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6"/>
    </row>
    <row r="451" ht="15.75" customHeight="1">
      <c r="A451" s="109"/>
      <c r="B451" s="104"/>
      <c r="C451" s="104"/>
      <c r="D451" s="105"/>
      <c r="E451" s="106"/>
      <c r="F451" s="107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6"/>
    </row>
    <row r="452" ht="15.75" customHeight="1">
      <c r="A452" s="109"/>
      <c r="B452" s="104"/>
      <c r="C452" s="104"/>
      <c r="D452" s="105"/>
      <c r="E452" s="106"/>
      <c r="F452" s="107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6"/>
    </row>
    <row r="453" ht="15.75" customHeight="1">
      <c r="A453" s="109"/>
      <c r="B453" s="104"/>
      <c r="C453" s="104"/>
      <c r="D453" s="105"/>
      <c r="E453" s="106"/>
      <c r="F453" s="107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6"/>
    </row>
    <row r="454" ht="15.75" customHeight="1">
      <c r="A454" s="109"/>
      <c r="B454" s="104"/>
      <c r="C454" s="104"/>
      <c r="D454" s="105"/>
      <c r="E454" s="106"/>
      <c r="F454" s="107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6"/>
    </row>
    <row r="455" ht="15.75" customHeight="1">
      <c r="A455" s="109"/>
      <c r="B455" s="104"/>
      <c r="C455" s="104"/>
      <c r="D455" s="105"/>
      <c r="E455" s="106"/>
      <c r="F455" s="107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6"/>
    </row>
    <row r="456" ht="15.75" customHeight="1">
      <c r="A456" s="109"/>
      <c r="B456" s="104"/>
      <c r="C456" s="104"/>
      <c r="D456" s="105"/>
      <c r="E456" s="106"/>
      <c r="F456" s="107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6"/>
    </row>
    <row r="457" ht="15.75" customHeight="1">
      <c r="A457" s="109"/>
      <c r="B457" s="104"/>
      <c r="C457" s="104"/>
      <c r="D457" s="105"/>
      <c r="E457" s="106"/>
      <c r="F457" s="107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6"/>
    </row>
    <row r="458" ht="15.75" customHeight="1">
      <c r="A458" s="109"/>
      <c r="B458" s="104"/>
      <c r="C458" s="104"/>
      <c r="D458" s="105"/>
      <c r="E458" s="106"/>
      <c r="F458" s="107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6"/>
    </row>
    <row r="459" ht="15.75" customHeight="1">
      <c r="A459" s="109"/>
      <c r="B459" s="104"/>
      <c r="C459" s="104"/>
      <c r="D459" s="105"/>
      <c r="E459" s="106"/>
      <c r="F459" s="107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6"/>
    </row>
    <row r="460" ht="15.75" customHeight="1">
      <c r="A460" s="109"/>
      <c r="B460" s="104"/>
      <c r="C460" s="104"/>
      <c r="D460" s="105"/>
      <c r="E460" s="106"/>
      <c r="F460" s="107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6"/>
    </row>
    <row r="461" ht="15.75" customHeight="1">
      <c r="A461" s="109"/>
      <c r="B461" s="104"/>
      <c r="C461" s="104"/>
      <c r="D461" s="105"/>
      <c r="E461" s="106"/>
      <c r="F461" s="107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6"/>
    </row>
    <row r="462" ht="15.75" customHeight="1">
      <c r="A462" s="109"/>
      <c r="B462" s="104"/>
      <c r="C462" s="104"/>
      <c r="D462" s="105"/>
      <c r="E462" s="106"/>
      <c r="F462" s="107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6"/>
    </row>
    <row r="463" ht="15.75" customHeight="1">
      <c r="A463" s="109"/>
      <c r="B463" s="104"/>
      <c r="C463" s="104"/>
      <c r="D463" s="105"/>
      <c r="E463" s="106"/>
      <c r="F463" s="107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6"/>
    </row>
    <row r="464" ht="15.75" customHeight="1">
      <c r="A464" s="109"/>
      <c r="B464" s="104"/>
      <c r="C464" s="104"/>
      <c r="D464" s="105"/>
      <c r="E464" s="106"/>
      <c r="F464" s="107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6"/>
    </row>
    <row r="465" ht="15.75" customHeight="1">
      <c r="A465" s="109"/>
      <c r="B465" s="104"/>
      <c r="C465" s="104"/>
      <c r="D465" s="105"/>
      <c r="E465" s="106"/>
      <c r="F465" s="107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6"/>
    </row>
    <row r="466" ht="15.75" customHeight="1">
      <c r="A466" s="109"/>
      <c r="B466" s="104"/>
      <c r="C466" s="104"/>
      <c r="D466" s="105"/>
      <c r="E466" s="106"/>
      <c r="F466" s="107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6"/>
    </row>
    <row r="467" ht="15.75" customHeight="1">
      <c r="A467" s="109"/>
      <c r="B467" s="104"/>
      <c r="C467" s="104"/>
      <c r="D467" s="105"/>
      <c r="E467" s="106"/>
      <c r="F467" s="107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6"/>
    </row>
    <row r="468" ht="15.75" customHeight="1">
      <c r="A468" s="109"/>
      <c r="B468" s="104"/>
      <c r="C468" s="104"/>
      <c r="D468" s="105"/>
      <c r="E468" s="106"/>
      <c r="F468" s="107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6"/>
    </row>
    <row r="469" ht="15.75" customHeight="1">
      <c r="A469" s="109"/>
      <c r="B469" s="104"/>
      <c r="C469" s="104"/>
      <c r="D469" s="105"/>
      <c r="E469" s="106"/>
      <c r="F469" s="107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6"/>
    </row>
    <row r="470" ht="15.75" customHeight="1">
      <c r="A470" s="109"/>
      <c r="B470" s="104"/>
      <c r="C470" s="104"/>
      <c r="D470" s="105"/>
      <c r="E470" s="106"/>
      <c r="F470" s="107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6"/>
    </row>
    <row r="471" ht="15.75" customHeight="1">
      <c r="A471" s="109"/>
      <c r="B471" s="104"/>
      <c r="C471" s="104"/>
      <c r="D471" s="105"/>
      <c r="E471" s="106"/>
      <c r="F471" s="107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6"/>
    </row>
    <row r="472" ht="15.75" customHeight="1">
      <c r="A472" s="109"/>
      <c r="B472" s="104"/>
      <c r="C472" s="104"/>
      <c r="D472" s="105"/>
      <c r="E472" s="106"/>
      <c r="F472" s="107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6"/>
    </row>
    <row r="473" ht="15.75" customHeight="1">
      <c r="A473" s="109"/>
      <c r="B473" s="104"/>
      <c r="C473" s="104"/>
      <c r="D473" s="105"/>
      <c r="E473" s="106"/>
      <c r="F473" s="107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6"/>
    </row>
    <row r="474" ht="15.75" customHeight="1">
      <c r="A474" s="109"/>
      <c r="B474" s="104"/>
      <c r="C474" s="104"/>
      <c r="D474" s="105"/>
      <c r="E474" s="106"/>
      <c r="F474" s="107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6"/>
    </row>
    <row r="475" ht="15.75" customHeight="1">
      <c r="A475" s="109"/>
      <c r="B475" s="104"/>
      <c r="C475" s="104"/>
      <c r="D475" s="105"/>
      <c r="E475" s="106"/>
      <c r="F475" s="107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6"/>
    </row>
    <row r="476" ht="15.75" customHeight="1">
      <c r="A476" s="109"/>
      <c r="B476" s="104"/>
      <c r="C476" s="104"/>
      <c r="D476" s="105"/>
      <c r="E476" s="106"/>
      <c r="F476" s="107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6"/>
    </row>
    <row r="477" ht="15.75" customHeight="1">
      <c r="A477" s="109"/>
      <c r="B477" s="104"/>
      <c r="C477" s="104"/>
      <c r="D477" s="105"/>
      <c r="E477" s="106"/>
      <c r="F477" s="107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6"/>
    </row>
    <row r="478" ht="15.75" customHeight="1">
      <c r="A478" s="109"/>
      <c r="B478" s="104"/>
      <c r="C478" s="104"/>
      <c r="D478" s="105"/>
      <c r="E478" s="106"/>
      <c r="F478" s="107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6"/>
    </row>
    <row r="479" ht="15.75" customHeight="1">
      <c r="A479" s="109"/>
      <c r="B479" s="104"/>
      <c r="C479" s="104"/>
      <c r="D479" s="105"/>
      <c r="E479" s="106"/>
      <c r="F479" s="107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6"/>
    </row>
    <row r="480" ht="15.75" customHeight="1">
      <c r="A480" s="109"/>
      <c r="B480" s="104"/>
      <c r="C480" s="104"/>
      <c r="D480" s="105"/>
      <c r="E480" s="106"/>
      <c r="F480" s="107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6"/>
    </row>
    <row r="481" ht="15.75" customHeight="1">
      <c r="A481" s="109"/>
      <c r="B481" s="104"/>
      <c r="C481" s="104"/>
      <c r="D481" s="105"/>
      <c r="E481" s="106"/>
      <c r="F481" s="107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6"/>
    </row>
    <row r="482" ht="15.75" customHeight="1">
      <c r="A482" s="109"/>
      <c r="B482" s="104"/>
      <c r="C482" s="104"/>
      <c r="D482" s="105"/>
      <c r="E482" s="106"/>
      <c r="F482" s="107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6"/>
    </row>
    <row r="483" ht="15.75" customHeight="1">
      <c r="A483" s="109"/>
      <c r="B483" s="104"/>
      <c r="C483" s="104"/>
      <c r="D483" s="105"/>
      <c r="E483" s="106"/>
      <c r="F483" s="107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6"/>
    </row>
    <row r="484" ht="15.75" customHeight="1">
      <c r="A484" s="109"/>
      <c r="B484" s="104"/>
      <c r="C484" s="104"/>
      <c r="D484" s="105"/>
      <c r="E484" s="106"/>
      <c r="F484" s="107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6"/>
    </row>
    <row r="485" ht="15.75" customHeight="1">
      <c r="A485" s="109"/>
      <c r="B485" s="104"/>
      <c r="C485" s="104"/>
      <c r="D485" s="105"/>
      <c r="E485" s="106"/>
      <c r="F485" s="107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6"/>
    </row>
    <row r="486" ht="15.75" customHeight="1">
      <c r="A486" s="109"/>
      <c r="B486" s="104"/>
      <c r="C486" s="104"/>
      <c r="D486" s="105"/>
      <c r="E486" s="106"/>
      <c r="F486" s="107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6"/>
    </row>
    <row r="487" ht="15.75" customHeight="1">
      <c r="A487" s="109"/>
      <c r="B487" s="104"/>
      <c r="C487" s="104"/>
      <c r="D487" s="105"/>
      <c r="E487" s="106"/>
      <c r="F487" s="107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6"/>
    </row>
    <row r="488" ht="15.75" customHeight="1">
      <c r="A488" s="109"/>
      <c r="B488" s="104"/>
      <c r="C488" s="104"/>
      <c r="D488" s="105"/>
      <c r="E488" s="106"/>
      <c r="F488" s="107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6"/>
    </row>
    <row r="489" ht="15.75" customHeight="1">
      <c r="A489" s="109"/>
      <c r="B489" s="104"/>
      <c r="C489" s="104"/>
      <c r="D489" s="105"/>
      <c r="E489" s="106"/>
      <c r="F489" s="107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6"/>
    </row>
    <row r="490" ht="15.75" customHeight="1">
      <c r="A490" s="109"/>
      <c r="B490" s="104"/>
      <c r="C490" s="104"/>
      <c r="D490" s="105"/>
      <c r="E490" s="106"/>
      <c r="F490" s="107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6"/>
    </row>
    <row r="491" ht="15.75" customHeight="1">
      <c r="A491" s="109"/>
      <c r="B491" s="104"/>
      <c r="C491" s="104"/>
      <c r="D491" s="105"/>
      <c r="E491" s="106"/>
      <c r="F491" s="107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6"/>
    </row>
    <row r="492" ht="15.75" customHeight="1">
      <c r="A492" s="109"/>
      <c r="B492" s="104"/>
      <c r="C492" s="104"/>
      <c r="D492" s="105"/>
      <c r="E492" s="106"/>
      <c r="F492" s="107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6"/>
    </row>
    <row r="493" ht="15.75" customHeight="1">
      <c r="A493" s="109"/>
      <c r="B493" s="104"/>
      <c r="C493" s="104"/>
      <c r="D493" s="105"/>
      <c r="E493" s="106"/>
      <c r="F493" s="107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6"/>
    </row>
    <row r="494" ht="15.75" customHeight="1">
      <c r="A494" s="109"/>
      <c r="B494" s="104"/>
      <c r="C494" s="104"/>
      <c r="D494" s="105"/>
      <c r="E494" s="106"/>
      <c r="F494" s="107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6"/>
    </row>
    <row r="495" ht="15.75" customHeight="1">
      <c r="A495" s="109"/>
      <c r="B495" s="104"/>
      <c r="C495" s="104"/>
      <c r="D495" s="105"/>
      <c r="E495" s="106"/>
      <c r="F495" s="107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6"/>
    </row>
    <row r="496" ht="15.75" customHeight="1">
      <c r="A496" s="109"/>
      <c r="B496" s="104"/>
      <c r="C496" s="104"/>
      <c r="D496" s="105"/>
      <c r="E496" s="106"/>
      <c r="F496" s="107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6"/>
    </row>
    <row r="497" ht="15.75" customHeight="1">
      <c r="A497" s="109"/>
      <c r="B497" s="104"/>
      <c r="C497" s="104"/>
      <c r="D497" s="105"/>
      <c r="E497" s="106"/>
      <c r="F497" s="107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6"/>
    </row>
    <row r="498" ht="15.75" customHeight="1">
      <c r="A498" s="109"/>
      <c r="B498" s="104"/>
      <c r="C498" s="104"/>
      <c r="D498" s="105"/>
      <c r="E498" s="106"/>
      <c r="F498" s="107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6"/>
    </row>
    <row r="499" ht="15.75" customHeight="1">
      <c r="A499" s="109"/>
      <c r="B499" s="104"/>
      <c r="C499" s="104"/>
      <c r="D499" s="105"/>
      <c r="E499" s="106"/>
      <c r="F499" s="107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6"/>
    </row>
    <row r="500" ht="15.75" customHeight="1">
      <c r="A500" s="109"/>
      <c r="B500" s="104"/>
      <c r="C500" s="104"/>
      <c r="D500" s="105"/>
      <c r="E500" s="106"/>
      <c r="F500" s="107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6"/>
    </row>
    <row r="501" ht="15.75" customHeight="1">
      <c r="A501" s="109"/>
      <c r="B501" s="104"/>
      <c r="C501" s="104"/>
      <c r="D501" s="105"/>
      <c r="E501" s="106"/>
      <c r="F501" s="107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6"/>
    </row>
    <row r="502" ht="15.75" customHeight="1">
      <c r="A502" s="109"/>
      <c r="B502" s="104"/>
      <c r="C502" s="104"/>
      <c r="D502" s="105"/>
      <c r="E502" s="106"/>
      <c r="F502" s="107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6"/>
    </row>
    <row r="503" ht="15.75" customHeight="1">
      <c r="A503" s="109"/>
      <c r="B503" s="104"/>
      <c r="C503" s="104"/>
      <c r="D503" s="105"/>
      <c r="E503" s="106"/>
      <c r="F503" s="107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6"/>
    </row>
    <row r="504" ht="15.75" customHeight="1">
      <c r="A504" s="109"/>
      <c r="B504" s="104"/>
      <c r="C504" s="104"/>
      <c r="D504" s="105"/>
      <c r="E504" s="106"/>
      <c r="F504" s="107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6"/>
    </row>
    <row r="505" ht="15.75" customHeight="1">
      <c r="A505" s="109"/>
      <c r="B505" s="104"/>
      <c r="C505" s="104"/>
      <c r="D505" s="105"/>
      <c r="E505" s="106"/>
      <c r="F505" s="107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6"/>
    </row>
    <row r="506" ht="15.75" customHeight="1">
      <c r="A506" s="109"/>
      <c r="B506" s="104"/>
      <c r="C506" s="104"/>
      <c r="D506" s="105"/>
      <c r="E506" s="106"/>
      <c r="F506" s="107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6"/>
    </row>
    <row r="507" ht="15.75" customHeight="1">
      <c r="A507" s="109"/>
      <c r="B507" s="104"/>
      <c r="C507" s="104"/>
      <c r="D507" s="105"/>
      <c r="E507" s="106"/>
      <c r="F507" s="107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6"/>
    </row>
    <row r="508" ht="15.75" customHeight="1">
      <c r="A508" s="109"/>
      <c r="B508" s="104"/>
      <c r="C508" s="104"/>
      <c r="D508" s="105"/>
      <c r="E508" s="106"/>
      <c r="F508" s="107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6"/>
    </row>
    <row r="509" ht="15.75" customHeight="1">
      <c r="A509" s="109"/>
      <c r="B509" s="104"/>
      <c r="C509" s="104"/>
      <c r="D509" s="105"/>
      <c r="E509" s="106"/>
      <c r="F509" s="107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6"/>
    </row>
    <row r="510" ht="15.75" customHeight="1">
      <c r="A510" s="109"/>
      <c r="B510" s="104"/>
      <c r="C510" s="104"/>
      <c r="D510" s="105"/>
      <c r="E510" s="106"/>
      <c r="F510" s="107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6"/>
    </row>
    <row r="511" ht="15.75" customHeight="1">
      <c r="A511" s="109"/>
      <c r="B511" s="104"/>
      <c r="C511" s="104"/>
      <c r="D511" s="105"/>
      <c r="E511" s="106"/>
      <c r="F511" s="107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6"/>
    </row>
    <row r="512" ht="15.75" customHeight="1">
      <c r="A512" s="109"/>
      <c r="B512" s="104"/>
      <c r="C512" s="104"/>
      <c r="D512" s="105"/>
      <c r="E512" s="106"/>
      <c r="F512" s="107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6"/>
    </row>
    <row r="513" ht="15.75" customHeight="1">
      <c r="A513" s="109"/>
      <c r="B513" s="104"/>
      <c r="C513" s="104"/>
      <c r="D513" s="105"/>
      <c r="E513" s="106"/>
      <c r="F513" s="107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6"/>
    </row>
    <row r="514" ht="15.75" customHeight="1">
      <c r="A514" s="109"/>
      <c r="B514" s="104"/>
      <c r="C514" s="104"/>
      <c r="D514" s="105"/>
      <c r="E514" s="106"/>
      <c r="F514" s="107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6"/>
    </row>
    <row r="515" ht="15.75" customHeight="1">
      <c r="A515" s="109"/>
      <c r="B515" s="104"/>
      <c r="C515" s="104"/>
      <c r="D515" s="105"/>
      <c r="E515" s="106"/>
      <c r="F515" s="107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6"/>
    </row>
    <row r="516" ht="15.75" customHeight="1">
      <c r="A516" s="109"/>
      <c r="B516" s="104"/>
      <c r="C516" s="104"/>
      <c r="D516" s="105"/>
      <c r="E516" s="106"/>
      <c r="F516" s="107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6"/>
    </row>
    <row r="517" ht="15.75" customHeight="1">
      <c r="A517" s="109"/>
      <c r="B517" s="104"/>
      <c r="C517" s="104"/>
      <c r="D517" s="105"/>
      <c r="E517" s="106"/>
      <c r="F517" s="107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6"/>
    </row>
    <row r="518" ht="15.75" customHeight="1">
      <c r="A518" s="109"/>
      <c r="B518" s="104"/>
      <c r="C518" s="104"/>
      <c r="D518" s="105"/>
      <c r="E518" s="106"/>
      <c r="F518" s="107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6"/>
    </row>
    <row r="519" ht="15.75" customHeight="1">
      <c r="A519" s="109"/>
      <c r="B519" s="104"/>
      <c r="C519" s="104"/>
      <c r="D519" s="105"/>
      <c r="E519" s="106"/>
      <c r="F519" s="107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6"/>
    </row>
    <row r="520" ht="15.75" customHeight="1">
      <c r="A520" s="109"/>
      <c r="B520" s="104"/>
      <c r="C520" s="104"/>
      <c r="D520" s="105"/>
      <c r="E520" s="106"/>
      <c r="F520" s="107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6"/>
    </row>
    <row r="521" ht="15.75" customHeight="1">
      <c r="A521" s="109"/>
      <c r="B521" s="104"/>
      <c r="C521" s="104"/>
      <c r="D521" s="105"/>
      <c r="E521" s="106"/>
      <c r="F521" s="107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6"/>
    </row>
    <row r="522" ht="15.75" customHeight="1">
      <c r="A522" s="109"/>
      <c r="B522" s="104"/>
      <c r="C522" s="104"/>
      <c r="D522" s="105"/>
      <c r="E522" s="106"/>
      <c r="F522" s="107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6"/>
    </row>
    <row r="523" ht="15.75" customHeight="1">
      <c r="A523" s="109"/>
      <c r="B523" s="104"/>
      <c r="C523" s="104"/>
      <c r="D523" s="105"/>
      <c r="E523" s="106"/>
      <c r="F523" s="107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6"/>
    </row>
    <row r="524" ht="15.75" customHeight="1">
      <c r="A524" s="109"/>
      <c r="B524" s="104"/>
      <c r="C524" s="104"/>
      <c r="D524" s="105"/>
      <c r="E524" s="106"/>
      <c r="F524" s="107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6"/>
    </row>
    <row r="525" ht="15.75" customHeight="1">
      <c r="A525" s="109"/>
      <c r="B525" s="104"/>
      <c r="C525" s="104"/>
      <c r="D525" s="105"/>
      <c r="E525" s="106"/>
      <c r="F525" s="107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6"/>
    </row>
    <row r="526" ht="15.75" customHeight="1">
      <c r="A526" s="109"/>
      <c r="B526" s="104"/>
      <c r="C526" s="104"/>
      <c r="D526" s="105"/>
      <c r="E526" s="106"/>
      <c r="F526" s="107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6"/>
    </row>
    <row r="527" ht="15.75" customHeight="1">
      <c r="A527" s="109"/>
      <c r="B527" s="104"/>
      <c r="C527" s="104"/>
      <c r="D527" s="105"/>
      <c r="E527" s="106"/>
      <c r="F527" s="107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6"/>
    </row>
    <row r="528" ht="15.75" customHeight="1">
      <c r="A528" s="109"/>
      <c r="B528" s="104"/>
      <c r="C528" s="104"/>
      <c r="D528" s="105"/>
      <c r="E528" s="106"/>
      <c r="F528" s="107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6"/>
    </row>
    <row r="529" ht="15.75" customHeight="1">
      <c r="A529" s="109"/>
      <c r="B529" s="104"/>
      <c r="C529" s="104"/>
      <c r="D529" s="105"/>
      <c r="E529" s="106"/>
      <c r="F529" s="107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6"/>
    </row>
    <row r="530" ht="15.75" customHeight="1">
      <c r="A530" s="109"/>
      <c r="B530" s="104"/>
      <c r="C530" s="104"/>
      <c r="D530" s="105"/>
      <c r="E530" s="106"/>
      <c r="F530" s="107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6"/>
    </row>
    <row r="531" ht="15.75" customHeight="1">
      <c r="A531" s="109"/>
      <c r="B531" s="104"/>
      <c r="C531" s="104"/>
      <c r="D531" s="105"/>
      <c r="E531" s="106"/>
      <c r="F531" s="107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6"/>
    </row>
    <row r="532" ht="15.75" customHeight="1">
      <c r="A532" s="109"/>
      <c r="B532" s="104"/>
      <c r="C532" s="104"/>
      <c r="D532" s="105"/>
      <c r="E532" s="106"/>
      <c r="F532" s="107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6"/>
    </row>
    <row r="533" ht="15.75" customHeight="1">
      <c r="A533" s="109"/>
      <c r="B533" s="104"/>
      <c r="C533" s="104"/>
      <c r="D533" s="105"/>
      <c r="E533" s="106"/>
      <c r="F533" s="107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6"/>
    </row>
    <row r="534" ht="15.75" customHeight="1">
      <c r="A534" s="109"/>
      <c r="B534" s="104"/>
      <c r="C534" s="104"/>
      <c r="D534" s="105"/>
      <c r="E534" s="106"/>
      <c r="F534" s="107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6"/>
    </row>
    <row r="535" ht="15.75" customHeight="1">
      <c r="A535" s="109"/>
      <c r="B535" s="104"/>
      <c r="C535" s="104"/>
      <c r="D535" s="105"/>
      <c r="E535" s="106"/>
      <c r="F535" s="107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6"/>
    </row>
    <row r="536" ht="15.75" customHeight="1">
      <c r="A536" s="109"/>
      <c r="B536" s="104"/>
      <c r="C536" s="104"/>
      <c r="D536" s="105"/>
      <c r="E536" s="106"/>
      <c r="F536" s="107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6"/>
    </row>
    <row r="537" ht="15.75" customHeight="1">
      <c r="A537" s="109"/>
      <c r="B537" s="104"/>
      <c r="C537" s="104"/>
      <c r="D537" s="105"/>
      <c r="E537" s="106"/>
      <c r="F537" s="107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6"/>
    </row>
    <row r="538" ht="15.75" customHeight="1">
      <c r="A538" s="109"/>
      <c r="B538" s="104"/>
      <c r="C538" s="104"/>
      <c r="D538" s="105"/>
      <c r="E538" s="106"/>
      <c r="F538" s="107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6"/>
    </row>
    <row r="539" ht="15.75" customHeight="1">
      <c r="A539" s="109"/>
      <c r="B539" s="104"/>
      <c r="C539" s="104"/>
      <c r="D539" s="105"/>
      <c r="E539" s="106"/>
      <c r="F539" s="107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6"/>
    </row>
    <row r="540" ht="15.75" customHeight="1">
      <c r="A540" s="109"/>
      <c r="B540" s="104"/>
      <c r="C540" s="104"/>
      <c r="D540" s="105"/>
      <c r="E540" s="106"/>
      <c r="F540" s="107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6"/>
    </row>
    <row r="541" ht="15.75" customHeight="1">
      <c r="A541" s="109"/>
      <c r="B541" s="104"/>
      <c r="C541" s="104"/>
      <c r="D541" s="105"/>
      <c r="E541" s="106"/>
      <c r="F541" s="107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6"/>
    </row>
    <row r="542" ht="15.75" customHeight="1">
      <c r="A542" s="109"/>
      <c r="B542" s="104"/>
      <c r="C542" s="104"/>
      <c r="D542" s="105"/>
      <c r="E542" s="106"/>
      <c r="F542" s="107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6"/>
    </row>
    <row r="543" ht="15.75" customHeight="1">
      <c r="A543" s="109"/>
      <c r="B543" s="104"/>
      <c r="C543" s="104"/>
      <c r="D543" s="105"/>
      <c r="E543" s="106"/>
      <c r="F543" s="107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6"/>
    </row>
    <row r="544" ht="15.75" customHeight="1">
      <c r="A544" s="109"/>
      <c r="B544" s="104"/>
      <c r="C544" s="104"/>
      <c r="D544" s="105"/>
      <c r="E544" s="106"/>
      <c r="F544" s="107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6"/>
    </row>
    <row r="545" ht="15.75" customHeight="1">
      <c r="A545" s="109"/>
      <c r="B545" s="104"/>
      <c r="C545" s="104"/>
      <c r="D545" s="105"/>
      <c r="E545" s="106"/>
      <c r="F545" s="107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6"/>
    </row>
    <row r="546" ht="15.75" customHeight="1">
      <c r="A546" s="109"/>
      <c r="B546" s="104"/>
      <c r="C546" s="104"/>
      <c r="D546" s="105"/>
      <c r="E546" s="106"/>
      <c r="F546" s="107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6"/>
    </row>
    <row r="547" ht="15.75" customHeight="1">
      <c r="A547" s="109"/>
      <c r="B547" s="104"/>
      <c r="C547" s="104"/>
      <c r="D547" s="105"/>
      <c r="E547" s="106"/>
      <c r="F547" s="107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6"/>
    </row>
    <row r="548" ht="15.75" customHeight="1">
      <c r="A548" s="109"/>
      <c r="B548" s="104"/>
      <c r="C548" s="104"/>
      <c r="D548" s="105"/>
      <c r="E548" s="106"/>
      <c r="F548" s="107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6"/>
    </row>
    <row r="549" ht="15.75" customHeight="1">
      <c r="A549" s="109"/>
      <c r="B549" s="104"/>
      <c r="C549" s="104"/>
      <c r="D549" s="105"/>
      <c r="E549" s="106"/>
      <c r="F549" s="107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6"/>
    </row>
    <row r="550" ht="15.75" customHeight="1">
      <c r="A550" s="109"/>
      <c r="B550" s="104"/>
      <c r="C550" s="104"/>
      <c r="D550" s="105"/>
      <c r="E550" s="106"/>
      <c r="F550" s="107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6"/>
    </row>
    <row r="551" ht="15.75" customHeight="1">
      <c r="A551" s="109"/>
      <c r="B551" s="104"/>
      <c r="C551" s="104"/>
      <c r="D551" s="105"/>
      <c r="E551" s="106"/>
      <c r="F551" s="107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6"/>
    </row>
    <row r="552" ht="15.75" customHeight="1">
      <c r="A552" s="109"/>
      <c r="B552" s="104"/>
      <c r="C552" s="104"/>
      <c r="D552" s="105"/>
      <c r="E552" s="106"/>
      <c r="F552" s="107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6"/>
    </row>
    <row r="553" ht="15.75" customHeight="1">
      <c r="A553" s="109"/>
      <c r="B553" s="104"/>
      <c r="C553" s="104"/>
      <c r="D553" s="105"/>
      <c r="E553" s="106"/>
      <c r="F553" s="107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6"/>
    </row>
    <row r="554" ht="15.75" customHeight="1">
      <c r="A554" s="109"/>
      <c r="B554" s="104"/>
      <c r="C554" s="104"/>
      <c r="D554" s="105"/>
      <c r="E554" s="106"/>
      <c r="F554" s="107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6"/>
    </row>
    <row r="555" ht="15.75" customHeight="1">
      <c r="A555" s="109"/>
      <c r="B555" s="104"/>
      <c r="C555" s="104"/>
      <c r="D555" s="105"/>
      <c r="E555" s="106"/>
      <c r="F555" s="107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6"/>
    </row>
    <row r="556" ht="15.75" customHeight="1">
      <c r="A556" s="109"/>
      <c r="B556" s="104"/>
      <c r="C556" s="104"/>
      <c r="D556" s="105"/>
      <c r="E556" s="106"/>
      <c r="F556" s="107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6"/>
    </row>
    <row r="557" ht="15.75" customHeight="1">
      <c r="A557" s="109"/>
      <c r="B557" s="104"/>
      <c r="C557" s="104"/>
      <c r="D557" s="105"/>
      <c r="E557" s="106"/>
      <c r="F557" s="107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6"/>
    </row>
    <row r="558" ht="15.75" customHeight="1">
      <c r="A558" s="109"/>
      <c r="B558" s="104"/>
      <c r="C558" s="104"/>
      <c r="D558" s="105"/>
      <c r="E558" s="106"/>
      <c r="F558" s="107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6"/>
    </row>
    <row r="559" ht="15.75" customHeight="1">
      <c r="A559" s="109"/>
      <c r="B559" s="104"/>
      <c r="C559" s="104"/>
      <c r="D559" s="105"/>
      <c r="E559" s="106"/>
      <c r="F559" s="107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6"/>
    </row>
    <row r="560" ht="15.75" customHeight="1">
      <c r="A560" s="109"/>
      <c r="B560" s="104"/>
      <c r="C560" s="104"/>
      <c r="D560" s="105"/>
      <c r="E560" s="106"/>
      <c r="F560" s="107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6"/>
    </row>
    <row r="561" ht="15.75" customHeight="1">
      <c r="A561" s="109"/>
      <c r="B561" s="104"/>
      <c r="C561" s="104"/>
      <c r="D561" s="105"/>
      <c r="E561" s="106"/>
      <c r="F561" s="107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6"/>
    </row>
    <row r="562" ht="15.75" customHeight="1">
      <c r="A562" s="109"/>
      <c r="B562" s="104"/>
      <c r="C562" s="104"/>
      <c r="D562" s="105"/>
      <c r="E562" s="106"/>
      <c r="F562" s="107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6"/>
    </row>
    <row r="563" ht="15.75" customHeight="1">
      <c r="A563" s="109"/>
      <c r="B563" s="104"/>
      <c r="C563" s="104"/>
      <c r="D563" s="105"/>
      <c r="E563" s="106"/>
      <c r="F563" s="107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6"/>
    </row>
    <row r="564" ht="15.75" customHeight="1">
      <c r="A564" s="109"/>
      <c r="B564" s="104"/>
      <c r="C564" s="104"/>
      <c r="D564" s="105"/>
      <c r="E564" s="106"/>
      <c r="F564" s="107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6"/>
    </row>
    <row r="565" ht="15.75" customHeight="1">
      <c r="A565" s="109"/>
      <c r="B565" s="104"/>
      <c r="C565" s="104"/>
      <c r="D565" s="105"/>
      <c r="E565" s="106"/>
      <c r="F565" s="107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6"/>
    </row>
    <row r="566" ht="15.75" customHeight="1">
      <c r="A566" s="109"/>
      <c r="B566" s="104"/>
      <c r="C566" s="104"/>
      <c r="D566" s="105"/>
      <c r="E566" s="106"/>
      <c r="F566" s="107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6"/>
    </row>
    <row r="567" ht="15.75" customHeight="1">
      <c r="A567" s="109"/>
      <c r="B567" s="104"/>
      <c r="C567" s="104"/>
      <c r="D567" s="105"/>
      <c r="E567" s="106"/>
      <c r="F567" s="107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6"/>
    </row>
    <row r="568" ht="15.75" customHeight="1">
      <c r="A568" s="109"/>
      <c r="B568" s="104"/>
      <c r="C568" s="104"/>
      <c r="D568" s="105"/>
      <c r="E568" s="106"/>
      <c r="F568" s="107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6"/>
    </row>
    <row r="569" ht="15.75" customHeight="1">
      <c r="A569" s="109"/>
      <c r="B569" s="104"/>
      <c r="C569" s="104"/>
      <c r="D569" s="105"/>
      <c r="E569" s="106"/>
      <c r="F569" s="107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6"/>
    </row>
    <row r="570" ht="15.75" customHeight="1">
      <c r="A570" s="109"/>
      <c r="B570" s="104"/>
      <c r="C570" s="104"/>
      <c r="D570" s="105"/>
      <c r="E570" s="106"/>
      <c r="F570" s="107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6"/>
    </row>
    <row r="571" ht="15.75" customHeight="1">
      <c r="A571" s="109"/>
      <c r="B571" s="104"/>
      <c r="C571" s="104"/>
      <c r="D571" s="105"/>
      <c r="E571" s="106"/>
      <c r="F571" s="107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6"/>
    </row>
    <row r="572" ht="15.75" customHeight="1">
      <c r="A572" s="109"/>
      <c r="B572" s="104"/>
      <c r="C572" s="104"/>
      <c r="D572" s="105"/>
      <c r="E572" s="106"/>
      <c r="F572" s="107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6"/>
    </row>
    <row r="573" ht="15.75" customHeight="1">
      <c r="A573" s="109"/>
      <c r="B573" s="104"/>
      <c r="C573" s="104"/>
      <c r="D573" s="105"/>
      <c r="E573" s="106"/>
      <c r="F573" s="107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6"/>
    </row>
    <row r="574" ht="15.75" customHeight="1">
      <c r="A574" s="109"/>
      <c r="B574" s="104"/>
      <c r="C574" s="104"/>
      <c r="D574" s="105"/>
      <c r="E574" s="106"/>
      <c r="F574" s="107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6"/>
    </row>
    <row r="575" ht="15.75" customHeight="1">
      <c r="A575" s="109"/>
      <c r="B575" s="104"/>
      <c r="C575" s="104"/>
      <c r="D575" s="105"/>
      <c r="E575" s="106"/>
      <c r="F575" s="107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6"/>
    </row>
    <row r="576" ht="15.75" customHeight="1">
      <c r="A576" s="109"/>
      <c r="B576" s="104"/>
      <c r="C576" s="104"/>
      <c r="D576" s="105"/>
      <c r="E576" s="106"/>
      <c r="F576" s="107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6"/>
    </row>
    <row r="577" ht="15.75" customHeight="1">
      <c r="A577" s="109"/>
      <c r="B577" s="104"/>
      <c r="C577" s="104"/>
      <c r="D577" s="105"/>
      <c r="E577" s="106"/>
      <c r="F577" s="107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6"/>
    </row>
    <row r="578" ht="15.75" customHeight="1">
      <c r="A578" s="109"/>
      <c r="B578" s="104"/>
      <c r="C578" s="104"/>
      <c r="D578" s="105"/>
      <c r="E578" s="106"/>
      <c r="F578" s="107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6"/>
    </row>
    <row r="579" ht="15.75" customHeight="1">
      <c r="A579" s="109"/>
      <c r="B579" s="104"/>
      <c r="C579" s="104"/>
      <c r="D579" s="105"/>
      <c r="E579" s="106"/>
      <c r="F579" s="107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6"/>
    </row>
    <row r="580" ht="15.75" customHeight="1">
      <c r="A580" s="109"/>
      <c r="B580" s="104"/>
      <c r="C580" s="104"/>
      <c r="D580" s="105"/>
      <c r="E580" s="106"/>
      <c r="F580" s="107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6"/>
    </row>
    <row r="581" ht="15.75" customHeight="1">
      <c r="A581" s="109"/>
      <c r="B581" s="104"/>
      <c r="C581" s="104"/>
      <c r="D581" s="105"/>
      <c r="E581" s="106"/>
      <c r="F581" s="107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6"/>
    </row>
    <row r="582" ht="15.75" customHeight="1">
      <c r="A582" s="109"/>
      <c r="B582" s="104"/>
      <c r="C582" s="104"/>
      <c r="D582" s="105"/>
      <c r="E582" s="106"/>
      <c r="F582" s="107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6"/>
    </row>
    <row r="583" ht="15.75" customHeight="1">
      <c r="A583" s="109"/>
      <c r="B583" s="104"/>
      <c r="C583" s="104"/>
      <c r="D583" s="105"/>
      <c r="E583" s="106"/>
      <c r="F583" s="107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6"/>
    </row>
    <row r="584" ht="15.75" customHeight="1">
      <c r="A584" s="109"/>
      <c r="B584" s="104"/>
      <c r="C584" s="104"/>
      <c r="D584" s="105"/>
      <c r="E584" s="106"/>
      <c r="F584" s="107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6"/>
    </row>
    <row r="585" ht="15.75" customHeight="1">
      <c r="A585" s="109"/>
      <c r="B585" s="104"/>
      <c r="C585" s="104"/>
      <c r="D585" s="105"/>
      <c r="E585" s="106"/>
      <c r="F585" s="107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6"/>
    </row>
    <row r="586" ht="15.75" customHeight="1">
      <c r="A586" s="109"/>
      <c r="B586" s="104"/>
      <c r="C586" s="104"/>
      <c r="D586" s="105"/>
      <c r="E586" s="106"/>
      <c r="F586" s="107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6"/>
    </row>
    <row r="587" ht="15.75" customHeight="1">
      <c r="A587" s="109"/>
      <c r="B587" s="104"/>
      <c r="C587" s="104"/>
      <c r="D587" s="105"/>
      <c r="E587" s="106"/>
      <c r="F587" s="107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6"/>
    </row>
    <row r="588" ht="15.75" customHeight="1">
      <c r="A588" s="109"/>
      <c r="B588" s="104"/>
      <c r="C588" s="104"/>
      <c r="D588" s="105"/>
      <c r="E588" s="106"/>
      <c r="F588" s="107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6"/>
    </row>
    <row r="589" ht="15.75" customHeight="1">
      <c r="A589" s="109"/>
      <c r="B589" s="104"/>
      <c r="C589" s="104"/>
      <c r="D589" s="105"/>
      <c r="E589" s="106"/>
      <c r="F589" s="107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6"/>
    </row>
    <row r="590" ht="15.75" customHeight="1">
      <c r="A590" s="109"/>
      <c r="B590" s="104"/>
      <c r="C590" s="104"/>
      <c r="D590" s="105"/>
      <c r="E590" s="106"/>
      <c r="F590" s="107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6"/>
    </row>
    <row r="591" ht="15.75" customHeight="1">
      <c r="A591" s="109"/>
      <c r="B591" s="104"/>
      <c r="C591" s="104"/>
      <c r="D591" s="105"/>
      <c r="E591" s="106"/>
      <c r="F591" s="107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6"/>
    </row>
    <row r="592" ht="15.75" customHeight="1">
      <c r="A592" s="109"/>
      <c r="B592" s="104"/>
      <c r="C592" s="104"/>
      <c r="D592" s="105"/>
      <c r="E592" s="106"/>
      <c r="F592" s="107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6"/>
    </row>
    <row r="593" ht="15.75" customHeight="1">
      <c r="A593" s="109"/>
      <c r="B593" s="104"/>
      <c r="C593" s="104"/>
      <c r="D593" s="105"/>
      <c r="E593" s="106"/>
      <c r="F593" s="107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6"/>
    </row>
    <row r="594" ht="15.75" customHeight="1">
      <c r="A594" s="109"/>
      <c r="B594" s="104"/>
      <c r="C594" s="104"/>
      <c r="D594" s="105"/>
      <c r="E594" s="106"/>
      <c r="F594" s="107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6"/>
    </row>
    <row r="595" ht="15.75" customHeight="1">
      <c r="A595" s="109"/>
      <c r="B595" s="104"/>
      <c r="C595" s="104"/>
      <c r="D595" s="105"/>
      <c r="E595" s="106"/>
      <c r="F595" s="107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6"/>
    </row>
    <row r="596" ht="15.75" customHeight="1">
      <c r="A596" s="109"/>
      <c r="B596" s="104"/>
      <c r="C596" s="104"/>
      <c r="D596" s="105"/>
      <c r="E596" s="106"/>
      <c r="F596" s="107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6"/>
    </row>
    <row r="597" ht="15.75" customHeight="1">
      <c r="A597" s="109"/>
      <c r="B597" s="104"/>
      <c r="C597" s="104"/>
      <c r="D597" s="105"/>
      <c r="E597" s="106"/>
      <c r="F597" s="107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6"/>
    </row>
    <row r="598" ht="15.75" customHeight="1">
      <c r="A598" s="109"/>
      <c r="B598" s="104"/>
      <c r="C598" s="104"/>
      <c r="D598" s="105"/>
      <c r="E598" s="106"/>
      <c r="F598" s="107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6"/>
    </row>
    <row r="599" ht="15.75" customHeight="1">
      <c r="A599" s="109"/>
      <c r="B599" s="104"/>
      <c r="C599" s="104"/>
      <c r="D599" s="105"/>
      <c r="E599" s="106"/>
      <c r="F599" s="107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6"/>
    </row>
    <row r="600" ht="15.75" customHeight="1">
      <c r="A600" s="109"/>
      <c r="B600" s="104"/>
      <c r="C600" s="104"/>
      <c r="D600" s="105"/>
      <c r="E600" s="106"/>
      <c r="F600" s="107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6"/>
    </row>
    <row r="601" ht="15.75" customHeight="1">
      <c r="A601" s="109"/>
      <c r="B601" s="104"/>
      <c r="C601" s="104"/>
      <c r="D601" s="105"/>
      <c r="E601" s="106"/>
      <c r="F601" s="107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6"/>
    </row>
    <row r="602" ht="15.75" customHeight="1">
      <c r="A602" s="109"/>
      <c r="B602" s="104"/>
      <c r="C602" s="104"/>
      <c r="D602" s="105"/>
      <c r="E602" s="106"/>
      <c r="F602" s="107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6"/>
    </row>
    <row r="603" ht="15.75" customHeight="1">
      <c r="A603" s="109"/>
      <c r="B603" s="104"/>
      <c r="C603" s="104"/>
      <c r="D603" s="105"/>
      <c r="E603" s="106"/>
      <c r="F603" s="107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6"/>
    </row>
    <row r="604" ht="15.75" customHeight="1">
      <c r="A604" s="109"/>
      <c r="B604" s="104"/>
      <c r="C604" s="104"/>
      <c r="D604" s="105"/>
      <c r="E604" s="106"/>
      <c r="F604" s="107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6"/>
    </row>
    <row r="605" ht="15.75" customHeight="1">
      <c r="A605" s="109"/>
      <c r="B605" s="104"/>
      <c r="C605" s="104"/>
      <c r="D605" s="105"/>
      <c r="E605" s="106"/>
      <c r="F605" s="107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6"/>
    </row>
    <row r="606" ht="15.75" customHeight="1">
      <c r="A606" s="109"/>
      <c r="B606" s="104"/>
      <c r="C606" s="104"/>
      <c r="D606" s="105"/>
      <c r="E606" s="106"/>
      <c r="F606" s="107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6"/>
    </row>
    <row r="607" ht="15.75" customHeight="1">
      <c r="A607" s="109"/>
      <c r="B607" s="104"/>
      <c r="C607" s="104"/>
      <c r="D607" s="105"/>
      <c r="E607" s="106"/>
      <c r="F607" s="107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6"/>
    </row>
    <row r="608" ht="15.75" customHeight="1">
      <c r="A608" s="109"/>
      <c r="B608" s="104"/>
      <c r="C608" s="104"/>
      <c r="D608" s="105"/>
      <c r="E608" s="106"/>
      <c r="F608" s="107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6"/>
    </row>
    <row r="609" ht="15.75" customHeight="1">
      <c r="A609" s="109"/>
      <c r="B609" s="104"/>
      <c r="C609" s="104"/>
      <c r="D609" s="105"/>
      <c r="E609" s="106"/>
      <c r="F609" s="107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6"/>
    </row>
    <row r="610" ht="15.75" customHeight="1">
      <c r="A610" s="109"/>
      <c r="B610" s="104"/>
      <c r="C610" s="104"/>
      <c r="D610" s="105"/>
      <c r="E610" s="106"/>
      <c r="F610" s="107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6"/>
    </row>
    <row r="611" ht="15.75" customHeight="1">
      <c r="A611" s="109"/>
      <c r="B611" s="104"/>
      <c r="C611" s="104"/>
      <c r="D611" s="105"/>
      <c r="E611" s="106"/>
      <c r="F611" s="107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6"/>
    </row>
    <row r="612" ht="15.75" customHeight="1">
      <c r="A612" s="109"/>
      <c r="B612" s="104"/>
      <c r="C612" s="104"/>
      <c r="D612" s="105"/>
      <c r="E612" s="106"/>
      <c r="F612" s="107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6"/>
    </row>
    <row r="613" ht="15.75" customHeight="1">
      <c r="A613" s="109"/>
      <c r="B613" s="104"/>
      <c r="C613" s="104"/>
      <c r="D613" s="105"/>
      <c r="E613" s="106"/>
      <c r="F613" s="107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6"/>
    </row>
    <row r="614" ht="15.75" customHeight="1">
      <c r="A614" s="109"/>
      <c r="B614" s="104"/>
      <c r="C614" s="104"/>
      <c r="D614" s="105"/>
      <c r="E614" s="106"/>
      <c r="F614" s="107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6"/>
    </row>
    <row r="615" ht="15.75" customHeight="1">
      <c r="A615" s="109"/>
      <c r="B615" s="104"/>
      <c r="C615" s="104"/>
      <c r="D615" s="105"/>
      <c r="E615" s="106"/>
      <c r="F615" s="107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6"/>
    </row>
    <row r="616" ht="15.75" customHeight="1">
      <c r="A616" s="109"/>
      <c r="B616" s="104"/>
      <c r="C616" s="104"/>
      <c r="D616" s="105"/>
      <c r="E616" s="106"/>
      <c r="F616" s="107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6"/>
    </row>
    <row r="617" ht="15.75" customHeight="1">
      <c r="A617" s="109"/>
      <c r="B617" s="104"/>
      <c r="C617" s="104"/>
      <c r="D617" s="105"/>
      <c r="E617" s="106"/>
      <c r="F617" s="107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6"/>
    </row>
    <row r="618" ht="15.75" customHeight="1">
      <c r="A618" s="109"/>
      <c r="B618" s="104"/>
      <c r="C618" s="104"/>
      <c r="D618" s="105"/>
      <c r="E618" s="106"/>
      <c r="F618" s="107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6"/>
    </row>
    <row r="619" ht="15.75" customHeight="1">
      <c r="A619" s="109"/>
      <c r="B619" s="104"/>
      <c r="C619" s="104"/>
      <c r="D619" s="105"/>
      <c r="E619" s="106"/>
      <c r="F619" s="107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6"/>
    </row>
    <row r="620" ht="15.75" customHeight="1">
      <c r="A620" s="109"/>
      <c r="B620" s="104"/>
      <c r="C620" s="104"/>
      <c r="D620" s="105"/>
      <c r="E620" s="106"/>
      <c r="F620" s="107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6"/>
    </row>
    <row r="621" ht="15.75" customHeight="1">
      <c r="A621" s="109"/>
      <c r="B621" s="104"/>
      <c r="C621" s="104"/>
      <c r="D621" s="105"/>
      <c r="E621" s="106"/>
      <c r="F621" s="107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6"/>
    </row>
    <row r="622" ht="15.75" customHeight="1">
      <c r="A622" s="109"/>
      <c r="B622" s="104"/>
      <c r="C622" s="104"/>
      <c r="D622" s="105"/>
      <c r="E622" s="106"/>
      <c r="F622" s="107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6"/>
    </row>
    <row r="623" ht="15.75" customHeight="1">
      <c r="A623" s="109"/>
      <c r="B623" s="104"/>
      <c r="C623" s="104"/>
      <c r="D623" s="105"/>
      <c r="E623" s="106"/>
      <c r="F623" s="107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6"/>
    </row>
    <row r="624" ht="15.75" customHeight="1">
      <c r="A624" s="109"/>
      <c r="B624" s="104"/>
      <c r="C624" s="104"/>
      <c r="D624" s="105"/>
      <c r="E624" s="106"/>
      <c r="F624" s="107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6"/>
    </row>
    <row r="625" ht="15.75" customHeight="1">
      <c r="A625" s="109"/>
      <c r="B625" s="104"/>
      <c r="C625" s="104"/>
      <c r="D625" s="105"/>
      <c r="E625" s="106"/>
      <c r="F625" s="107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6"/>
    </row>
    <row r="626" ht="15.75" customHeight="1">
      <c r="A626" s="109"/>
      <c r="B626" s="104"/>
      <c r="C626" s="104"/>
      <c r="D626" s="105"/>
      <c r="E626" s="106"/>
      <c r="F626" s="107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6"/>
    </row>
    <row r="627" ht="15.75" customHeight="1">
      <c r="A627" s="109"/>
      <c r="B627" s="104"/>
      <c r="C627" s="104"/>
      <c r="D627" s="105"/>
      <c r="E627" s="106"/>
      <c r="F627" s="107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6"/>
    </row>
    <row r="628" ht="15.75" customHeight="1">
      <c r="A628" s="109"/>
      <c r="B628" s="104"/>
      <c r="C628" s="104"/>
      <c r="D628" s="105"/>
      <c r="E628" s="106"/>
      <c r="F628" s="107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6"/>
    </row>
    <row r="629" ht="15.75" customHeight="1">
      <c r="A629" s="109"/>
      <c r="B629" s="104"/>
      <c r="C629" s="104"/>
      <c r="D629" s="105"/>
      <c r="E629" s="106"/>
      <c r="F629" s="107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6"/>
    </row>
    <row r="630" ht="15.75" customHeight="1">
      <c r="A630" s="109"/>
      <c r="B630" s="104"/>
      <c r="C630" s="104"/>
      <c r="D630" s="105"/>
      <c r="E630" s="106"/>
      <c r="F630" s="107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6"/>
    </row>
    <row r="631" ht="15.75" customHeight="1">
      <c r="A631" s="109"/>
      <c r="B631" s="104"/>
      <c r="C631" s="104"/>
      <c r="D631" s="105"/>
      <c r="E631" s="106"/>
      <c r="F631" s="107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6"/>
    </row>
    <row r="632" ht="15.75" customHeight="1">
      <c r="A632" s="109"/>
      <c r="B632" s="104"/>
      <c r="C632" s="104"/>
      <c r="D632" s="105"/>
      <c r="E632" s="106"/>
      <c r="F632" s="107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6"/>
    </row>
    <row r="633" ht="15.75" customHeight="1">
      <c r="A633" s="109"/>
      <c r="B633" s="104"/>
      <c r="C633" s="104"/>
      <c r="D633" s="105"/>
      <c r="E633" s="106"/>
      <c r="F633" s="107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6"/>
    </row>
    <row r="634" ht="15.75" customHeight="1">
      <c r="A634" s="109"/>
      <c r="B634" s="104"/>
      <c r="C634" s="104"/>
      <c r="D634" s="105"/>
      <c r="E634" s="106"/>
      <c r="F634" s="107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6"/>
    </row>
    <row r="635" ht="15.75" customHeight="1">
      <c r="A635" s="109"/>
      <c r="B635" s="104"/>
      <c r="C635" s="104"/>
      <c r="D635" s="105"/>
      <c r="E635" s="106"/>
      <c r="F635" s="107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6"/>
    </row>
    <row r="636" ht="15.75" customHeight="1">
      <c r="A636" s="109"/>
      <c r="B636" s="104"/>
      <c r="C636" s="104"/>
      <c r="D636" s="105"/>
      <c r="E636" s="106"/>
      <c r="F636" s="107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6"/>
    </row>
    <row r="637" ht="15.75" customHeight="1">
      <c r="A637" s="109"/>
      <c r="B637" s="104"/>
      <c r="C637" s="104"/>
      <c r="D637" s="105"/>
      <c r="E637" s="106"/>
      <c r="F637" s="107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6"/>
    </row>
    <row r="638" ht="15.75" customHeight="1">
      <c r="A638" s="109"/>
      <c r="B638" s="104"/>
      <c r="C638" s="104"/>
      <c r="D638" s="105"/>
      <c r="E638" s="106"/>
      <c r="F638" s="107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6"/>
    </row>
    <row r="639" ht="15.75" customHeight="1">
      <c r="A639" s="109"/>
      <c r="B639" s="104"/>
      <c r="C639" s="104"/>
      <c r="D639" s="105"/>
      <c r="E639" s="106"/>
      <c r="F639" s="107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6"/>
    </row>
    <row r="640" ht="15.75" customHeight="1">
      <c r="A640" s="109"/>
      <c r="B640" s="104"/>
      <c r="C640" s="104"/>
      <c r="D640" s="105"/>
      <c r="E640" s="106"/>
      <c r="F640" s="107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6"/>
    </row>
    <row r="641" ht="15.75" customHeight="1">
      <c r="A641" s="109"/>
      <c r="B641" s="104"/>
      <c r="C641" s="104"/>
      <c r="D641" s="105"/>
      <c r="E641" s="106"/>
      <c r="F641" s="107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6"/>
    </row>
    <row r="642" ht="15.75" customHeight="1">
      <c r="A642" s="109"/>
      <c r="B642" s="104"/>
      <c r="C642" s="104"/>
      <c r="D642" s="105"/>
      <c r="E642" s="106"/>
      <c r="F642" s="107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6"/>
    </row>
    <row r="643" ht="15.75" customHeight="1">
      <c r="A643" s="109"/>
      <c r="B643" s="104"/>
      <c r="C643" s="104"/>
      <c r="D643" s="105"/>
      <c r="E643" s="106"/>
      <c r="F643" s="107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6"/>
    </row>
    <row r="644" ht="15.75" customHeight="1">
      <c r="A644" s="109"/>
      <c r="B644" s="104"/>
      <c r="C644" s="104"/>
      <c r="D644" s="105"/>
      <c r="E644" s="106"/>
      <c r="F644" s="107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6"/>
    </row>
    <row r="645" ht="15.75" customHeight="1">
      <c r="A645" s="109"/>
      <c r="B645" s="104"/>
      <c r="C645" s="104"/>
      <c r="D645" s="105"/>
      <c r="E645" s="106"/>
      <c r="F645" s="107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6"/>
    </row>
    <row r="646" ht="15.75" customHeight="1">
      <c r="A646" s="109"/>
      <c r="B646" s="104"/>
      <c r="C646" s="104"/>
      <c r="D646" s="105"/>
      <c r="E646" s="106"/>
      <c r="F646" s="107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6"/>
    </row>
    <row r="647" ht="15.75" customHeight="1">
      <c r="A647" s="109"/>
      <c r="B647" s="104"/>
      <c r="C647" s="104"/>
      <c r="D647" s="105"/>
      <c r="E647" s="106"/>
      <c r="F647" s="107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6"/>
    </row>
    <row r="648" ht="15.75" customHeight="1">
      <c r="A648" s="109"/>
      <c r="B648" s="104"/>
      <c r="C648" s="104"/>
      <c r="D648" s="105"/>
      <c r="E648" s="106"/>
      <c r="F648" s="107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6"/>
    </row>
    <row r="649" ht="15.75" customHeight="1">
      <c r="A649" s="109"/>
      <c r="B649" s="104"/>
      <c r="C649" s="104"/>
      <c r="D649" s="105"/>
      <c r="E649" s="106"/>
      <c r="F649" s="107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6"/>
    </row>
    <row r="650" ht="15.75" customHeight="1">
      <c r="A650" s="109"/>
      <c r="B650" s="104"/>
      <c r="C650" s="104"/>
      <c r="D650" s="105"/>
      <c r="E650" s="106"/>
      <c r="F650" s="107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6"/>
    </row>
    <row r="651" ht="15.75" customHeight="1">
      <c r="A651" s="109"/>
      <c r="B651" s="104"/>
      <c r="C651" s="104"/>
      <c r="D651" s="105"/>
      <c r="E651" s="106"/>
      <c r="F651" s="107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6"/>
    </row>
    <row r="652" ht="15.75" customHeight="1">
      <c r="A652" s="109"/>
      <c r="B652" s="104"/>
      <c r="C652" s="104"/>
      <c r="D652" s="105"/>
      <c r="E652" s="106"/>
      <c r="F652" s="107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6"/>
    </row>
    <row r="653" ht="15.75" customHeight="1">
      <c r="A653" s="109"/>
      <c r="B653" s="104"/>
      <c r="C653" s="104"/>
      <c r="D653" s="105"/>
      <c r="E653" s="106"/>
      <c r="F653" s="107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6"/>
    </row>
    <row r="654" ht="15.75" customHeight="1">
      <c r="A654" s="109"/>
      <c r="B654" s="104"/>
      <c r="C654" s="104"/>
      <c r="D654" s="105"/>
      <c r="E654" s="106"/>
      <c r="F654" s="107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6"/>
    </row>
    <row r="655" ht="15.75" customHeight="1">
      <c r="A655" s="109"/>
      <c r="B655" s="104"/>
      <c r="C655" s="104"/>
      <c r="D655" s="105"/>
      <c r="E655" s="106"/>
      <c r="F655" s="107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6"/>
    </row>
    <row r="656" ht="15.75" customHeight="1">
      <c r="A656" s="109"/>
      <c r="B656" s="104"/>
      <c r="C656" s="104"/>
      <c r="D656" s="105"/>
      <c r="E656" s="106"/>
      <c r="F656" s="107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6"/>
    </row>
    <row r="657" ht="15.75" customHeight="1">
      <c r="A657" s="109"/>
      <c r="B657" s="104"/>
      <c r="C657" s="104"/>
      <c r="D657" s="105"/>
      <c r="E657" s="106"/>
      <c r="F657" s="107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6"/>
    </row>
    <row r="658" ht="15.75" customHeight="1">
      <c r="A658" s="109"/>
      <c r="B658" s="104"/>
      <c r="C658" s="104"/>
      <c r="D658" s="105"/>
      <c r="E658" s="106"/>
      <c r="F658" s="107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6"/>
    </row>
    <row r="659" ht="15.75" customHeight="1">
      <c r="A659" s="109"/>
      <c r="B659" s="104"/>
      <c r="C659" s="104"/>
      <c r="D659" s="105"/>
      <c r="E659" s="106"/>
      <c r="F659" s="107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6"/>
    </row>
    <row r="660" ht="15.75" customHeight="1">
      <c r="A660" s="109"/>
      <c r="B660" s="104"/>
      <c r="C660" s="104"/>
      <c r="D660" s="105"/>
      <c r="E660" s="106"/>
      <c r="F660" s="107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6"/>
    </row>
    <row r="661" ht="15.75" customHeight="1">
      <c r="A661" s="109"/>
      <c r="B661" s="104"/>
      <c r="C661" s="104"/>
      <c r="D661" s="105"/>
      <c r="E661" s="106"/>
      <c r="F661" s="107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6"/>
    </row>
    <row r="662" ht="15.75" customHeight="1">
      <c r="A662" s="109"/>
      <c r="B662" s="104"/>
      <c r="C662" s="104"/>
      <c r="D662" s="105"/>
      <c r="E662" s="106"/>
      <c r="F662" s="107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6"/>
    </row>
    <row r="663" ht="15.75" customHeight="1">
      <c r="A663" s="109"/>
      <c r="B663" s="104"/>
      <c r="C663" s="104"/>
      <c r="D663" s="105"/>
      <c r="E663" s="106"/>
      <c r="F663" s="107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6"/>
    </row>
    <row r="664" ht="15.75" customHeight="1">
      <c r="A664" s="109"/>
      <c r="B664" s="104"/>
      <c r="C664" s="104"/>
      <c r="D664" s="105"/>
      <c r="E664" s="106"/>
      <c r="F664" s="107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6"/>
    </row>
    <row r="665" ht="15.75" customHeight="1">
      <c r="A665" s="109"/>
      <c r="B665" s="104"/>
      <c r="C665" s="104"/>
      <c r="D665" s="105"/>
      <c r="E665" s="106"/>
      <c r="F665" s="107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6"/>
    </row>
    <row r="666" ht="15.75" customHeight="1">
      <c r="A666" s="109"/>
      <c r="B666" s="104"/>
      <c r="C666" s="104"/>
      <c r="D666" s="105"/>
      <c r="E666" s="106"/>
      <c r="F666" s="107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6"/>
    </row>
    <row r="667" ht="15.75" customHeight="1">
      <c r="A667" s="109"/>
      <c r="B667" s="104"/>
      <c r="C667" s="104"/>
      <c r="D667" s="105"/>
      <c r="E667" s="106"/>
      <c r="F667" s="107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6"/>
    </row>
    <row r="668" ht="15.75" customHeight="1">
      <c r="A668" s="109"/>
      <c r="B668" s="104"/>
      <c r="C668" s="104"/>
      <c r="D668" s="105"/>
      <c r="E668" s="106"/>
      <c r="F668" s="107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6"/>
    </row>
    <row r="669" ht="15.75" customHeight="1">
      <c r="A669" s="109"/>
      <c r="B669" s="104"/>
      <c r="C669" s="104"/>
      <c r="D669" s="105"/>
      <c r="E669" s="106"/>
      <c r="F669" s="107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6"/>
    </row>
    <row r="670" ht="15.75" customHeight="1">
      <c r="A670" s="109"/>
      <c r="B670" s="104"/>
      <c r="C670" s="104"/>
      <c r="D670" s="105"/>
      <c r="E670" s="106"/>
      <c r="F670" s="107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6"/>
    </row>
    <row r="671" ht="15.75" customHeight="1">
      <c r="A671" s="109"/>
      <c r="B671" s="104"/>
      <c r="C671" s="104"/>
      <c r="D671" s="105"/>
      <c r="E671" s="106"/>
      <c r="F671" s="107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6"/>
    </row>
    <row r="672" ht="15.75" customHeight="1">
      <c r="A672" s="109"/>
      <c r="B672" s="104"/>
      <c r="C672" s="104"/>
      <c r="D672" s="105"/>
      <c r="E672" s="106"/>
      <c r="F672" s="107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6"/>
    </row>
    <row r="673" ht="15.75" customHeight="1">
      <c r="A673" s="109"/>
      <c r="B673" s="104"/>
      <c r="C673" s="104"/>
      <c r="D673" s="105"/>
      <c r="E673" s="106"/>
      <c r="F673" s="107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6"/>
    </row>
    <row r="674" ht="15.75" customHeight="1">
      <c r="A674" s="109"/>
      <c r="B674" s="104"/>
      <c r="C674" s="104"/>
      <c r="D674" s="105"/>
      <c r="E674" s="106"/>
      <c r="F674" s="107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6"/>
    </row>
    <row r="675" ht="15.75" customHeight="1">
      <c r="A675" s="109"/>
      <c r="B675" s="104"/>
      <c r="C675" s="104"/>
      <c r="D675" s="105"/>
      <c r="E675" s="106"/>
      <c r="F675" s="107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6"/>
    </row>
    <row r="676" ht="15.75" customHeight="1">
      <c r="A676" s="109"/>
      <c r="B676" s="104"/>
      <c r="C676" s="104"/>
      <c r="D676" s="105"/>
      <c r="E676" s="106"/>
      <c r="F676" s="107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6"/>
    </row>
    <row r="677" ht="15.75" customHeight="1">
      <c r="A677" s="109"/>
      <c r="B677" s="104"/>
      <c r="C677" s="104"/>
      <c r="D677" s="105"/>
      <c r="E677" s="106"/>
      <c r="F677" s="107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6"/>
    </row>
    <row r="678" ht="15.75" customHeight="1">
      <c r="A678" s="109"/>
      <c r="B678" s="104"/>
      <c r="C678" s="104"/>
      <c r="D678" s="105"/>
      <c r="E678" s="106"/>
      <c r="F678" s="107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6"/>
    </row>
    <row r="679" ht="15.75" customHeight="1">
      <c r="A679" s="109"/>
      <c r="B679" s="104"/>
      <c r="C679" s="104"/>
      <c r="D679" s="105"/>
      <c r="E679" s="106"/>
      <c r="F679" s="107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6"/>
    </row>
    <row r="680" ht="15.75" customHeight="1">
      <c r="A680" s="109"/>
      <c r="B680" s="104"/>
      <c r="C680" s="104"/>
      <c r="D680" s="105"/>
      <c r="E680" s="106"/>
      <c r="F680" s="107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6"/>
    </row>
    <row r="681" ht="15.75" customHeight="1">
      <c r="A681" s="109"/>
      <c r="B681" s="104"/>
      <c r="C681" s="104"/>
      <c r="D681" s="105"/>
      <c r="E681" s="106"/>
      <c r="F681" s="107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6"/>
    </row>
    <row r="682" ht="15.75" customHeight="1">
      <c r="A682" s="109"/>
      <c r="B682" s="104"/>
      <c r="C682" s="104"/>
      <c r="D682" s="105"/>
      <c r="E682" s="106"/>
      <c r="F682" s="107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6"/>
    </row>
    <row r="683" ht="15.75" customHeight="1">
      <c r="A683" s="109"/>
      <c r="B683" s="104"/>
      <c r="C683" s="104"/>
      <c r="D683" s="105"/>
      <c r="E683" s="106"/>
      <c r="F683" s="107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6"/>
    </row>
    <row r="684" ht="15.75" customHeight="1">
      <c r="A684" s="109"/>
      <c r="B684" s="104"/>
      <c r="C684" s="104"/>
      <c r="D684" s="105"/>
      <c r="E684" s="106"/>
      <c r="F684" s="107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6"/>
    </row>
    <row r="685" ht="15.75" customHeight="1">
      <c r="A685" s="109"/>
      <c r="B685" s="104"/>
      <c r="C685" s="104"/>
      <c r="D685" s="105"/>
      <c r="E685" s="106"/>
      <c r="F685" s="107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6"/>
    </row>
    <row r="686" ht="15.75" customHeight="1">
      <c r="A686" s="109"/>
      <c r="B686" s="104"/>
      <c r="C686" s="104"/>
      <c r="D686" s="105"/>
      <c r="E686" s="106"/>
      <c r="F686" s="107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6"/>
    </row>
    <row r="687" ht="15.75" customHeight="1">
      <c r="A687" s="109"/>
      <c r="B687" s="104"/>
      <c r="C687" s="104"/>
      <c r="D687" s="105"/>
      <c r="E687" s="106"/>
      <c r="F687" s="107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6"/>
    </row>
    <row r="688" ht="15.75" customHeight="1">
      <c r="A688" s="109"/>
      <c r="B688" s="104"/>
      <c r="C688" s="104"/>
      <c r="D688" s="105"/>
      <c r="E688" s="106"/>
      <c r="F688" s="107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6"/>
    </row>
    <row r="689" ht="15.75" customHeight="1">
      <c r="A689" s="109"/>
      <c r="B689" s="104"/>
      <c r="C689" s="104"/>
      <c r="D689" s="105"/>
      <c r="E689" s="106"/>
      <c r="F689" s="107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6"/>
    </row>
    <row r="690" ht="15.75" customHeight="1">
      <c r="A690" s="109"/>
      <c r="B690" s="104"/>
      <c r="C690" s="104"/>
      <c r="D690" s="105"/>
      <c r="E690" s="106"/>
      <c r="F690" s="107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6"/>
    </row>
    <row r="691" ht="15.75" customHeight="1">
      <c r="A691" s="109"/>
      <c r="B691" s="104"/>
      <c r="C691" s="104"/>
      <c r="D691" s="105"/>
      <c r="E691" s="106"/>
      <c r="F691" s="107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6"/>
    </row>
    <row r="692" ht="15.75" customHeight="1">
      <c r="A692" s="109"/>
      <c r="B692" s="104"/>
      <c r="C692" s="104"/>
      <c r="D692" s="105"/>
      <c r="E692" s="106"/>
      <c r="F692" s="107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6"/>
    </row>
    <row r="693" ht="15.75" customHeight="1">
      <c r="A693" s="109"/>
      <c r="B693" s="104"/>
      <c r="C693" s="104"/>
      <c r="D693" s="105"/>
      <c r="E693" s="106"/>
      <c r="F693" s="107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6"/>
    </row>
    <row r="694" ht="15.75" customHeight="1">
      <c r="A694" s="109"/>
      <c r="B694" s="104"/>
      <c r="C694" s="104"/>
      <c r="D694" s="105"/>
      <c r="E694" s="106"/>
      <c r="F694" s="107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6"/>
    </row>
    <row r="695" ht="15.75" customHeight="1">
      <c r="A695" s="109"/>
      <c r="B695" s="104"/>
      <c r="C695" s="104"/>
      <c r="D695" s="105"/>
      <c r="E695" s="106"/>
      <c r="F695" s="107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6"/>
    </row>
    <row r="696" ht="15.75" customHeight="1">
      <c r="A696" s="109"/>
      <c r="B696" s="104"/>
      <c r="C696" s="104"/>
      <c r="D696" s="105"/>
      <c r="E696" s="106"/>
      <c r="F696" s="107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6"/>
    </row>
    <row r="697" ht="15.75" customHeight="1">
      <c r="A697" s="109"/>
      <c r="B697" s="104"/>
      <c r="C697" s="104"/>
      <c r="D697" s="105"/>
      <c r="E697" s="106"/>
      <c r="F697" s="107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6"/>
    </row>
    <row r="698" ht="15.75" customHeight="1">
      <c r="A698" s="109"/>
      <c r="B698" s="104"/>
      <c r="C698" s="104"/>
      <c r="D698" s="105"/>
      <c r="E698" s="106"/>
      <c r="F698" s="107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6"/>
    </row>
    <row r="699" ht="15.75" customHeight="1">
      <c r="A699" s="109"/>
      <c r="B699" s="104"/>
      <c r="C699" s="104"/>
      <c r="D699" s="105"/>
      <c r="E699" s="106"/>
      <c r="F699" s="107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6"/>
    </row>
    <row r="700" ht="15.75" customHeight="1">
      <c r="A700" s="109"/>
      <c r="B700" s="104"/>
      <c r="C700" s="104"/>
      <c r="D700" s="105"/>
      <c r="E700" s="106"/>
      <c r="F700" s="107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6"/>
    </row>
    <row r="701" ht="15.75" customHeight="1">
      <c r="A701" s="109"/>
      <c r="B701" s="104"/>
      <c r="C701" s="104"/>
      <c r="D701" s="105"/>
      <c r="E701" s="106"/>
      <c r="F701" s="107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6"/>
    </row>
    <row r="702" ht="15.75" customHeight="1">
      <c r="A702" s="109"/>
      <c r="B702" s="104"/>
      <c r="C702" s="104"/>
      <c r="D702" s="105"/>
      <c r="E702" s="106"/>
      <c r="F702" s="107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6"/>
    </row>
    <row r="703" ht="15.75" customHeight="1">
      <c r="A703" s="109"/>
      <c r="B703" s="104"/>
      <c r="C703" s="104"/>
      <c r="D703" s="105"/>
      <c r="E703" s="106"/>
      <c r="F703" s="107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6"/>
    </row>
    <row r="704" ht="15.75" customHeight="1">
      <c r="A704" s="109"/>
      <c r="B704" s="104"/>
      <c r="C704" s="104"/>
      <c r="D704" s="105"/>
      <c r="E704" s="106"/>
      <c r="F704" s="107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6"/>
    </row>
    <row r="705" ht="15.75" customHeight="1">
      <c r="A705" s="109"/>
      <c r="B705" s="104"/>
      <c r="C705" s="104"/>
      <c r="D705" s="105"/>
      <c r="E705" s="106"/>
      <c r="F705" s="107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6"/>
    </row>
    <row r="706" ht="15.75" customHeight="1">
      <c r="A706" s="109"/>
      <c r="B706" s="104"/>
      <c r="C706" s="104"/>
      <c r="D706" s="105"/>
      <c r="E706" s="106"/>
      <c r="F706" s="107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6"/>
    </row>
    <row r="707" ht="15.75" customHeight="1">
      <c r="A707" s="109"/>
      <c r="B707" s="104"/>
      <c r="C707" s="104"/>
      <c r="D707" s="105"/>
      <c r="E707" s="106"/>
      <c r="F707" s="107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6"/>
    </row>
    <row r="708" ht="15.75" customHeight="1">
      <c r="A708" s="109"/>
      <c r="B708" s="104"/>
      <c r="C708" s="104"/>
      <c r="D708" s="105"/>
      <c r="E708" s="106"/>
      <c r="F708" s="107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6"/>
    </row>
    <row r="709" ht="15.75" customHeight="1">
      <c r="A709" s="109"/>
      <c r="B709" s="104"/>
      <c r="C709" s="104"/>
      <c r="D709" s="105"/>
      <c r="E709" s="106"/>
      <c r="F709" s="107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6"/>
    </row>
    <row r="710" ht="15.75" customHeight="1">
      <c r="A710" s="109"/>
      <c r="B710" s="104"/>
      <c r="C710" s="104"/>
      <c r="D710" s="105"/>
      <c r="E710" s="106"/>
      <c r="F710" s="107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6"/>
    </row>
    <row r="711" ht="15.75" customHeight="1">
      <c r="A711" s="109"/>
      <c r="B711" s="104"/>
      <c r="C711" s="104"/>
      <c r="D711" s="105"/>
      <c r="E711" s="106"/>
      <c r="F711" s="107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6"/>
    </row>
    <row r="712" ht="15.75" customHeight="1">
      <c r="A712" s="109"/>
      <c r="B712" s="104"/>
      <c r="C712" s="104"/>
      <c r="D712" s="105"/>
      <c r="E712" s="106"/>
      <c r="F712" s="107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6"/>
    </row>
    <row r="713" ht="15.75" customHeight="1">
      <c r="A713" s="109"/>
      <c r="B713" s="104"/>
      <c r="C713" s="104"/>
      <c r="D713" s="105"/>
      <c r="E713" s="106"/>
      <c r="F713" s="107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6"/>
    </row>
    <row r="714" ht="15.75" customHeight="1">
      <c r="A714" s="109"/>
      <c r="B714" s="104"/>
      <c r="C714" s="104"/>
      <c r="D714" s="105"/>
      <c r="E714" s="106"/>
      <c r="F714" s="107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6"/>
    </row>
    <row r="715" ht="15.75" customHeight="1">
      <c r="A715" s="109"/>
      <c r="B715" s="104"/>
      <c r="C715" s="104"/>
      <c r="D715" s="105"/>
      <c r="E715" s="106"/>
      <c r="F715" s="107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6"/>
    </row>
    <row r="716" ht="15.75" customHeight="1">
      <c r="A716" s="109"/>
      <c r="B716" s="104"/>
      <c r="C716" s="104"/>
      <c r="D716" s="105"/>
      <c r="E716" s="106"/>
      <c r="F716" s="107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6"/>
    </row>
    <row r="717" ht="15.75" customHeight="1">
      <c r="A717" s="109"/>
      <c r="B717" s="104"/>
      <c r="C717" s="104"/>
      <c r="D717" s="105"/>
      <c r="E717" s="106"/>
      <c r="F717" s="107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6"/>
    </row>
    <row r="718" ht="15.75" customHeight="1">
      <c r="A718" s="109"/>
      <c r="B718" s="104"/>
      <c r="C718" s="104"/>
      <c r="D718" s="105"/>
      <c r="E718" s="106"/>
      <c r="F718" s="107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6"/>
    </row>
    <row r="719" ht="15.75" customHeight="1">
      <c r="A719" s="109"/>
      <c r="B719" s="104"/>
      <c r="C719" s="104"/>
      <c r="D719" s="105"/>
      <c r="E719" s="106"/>
      <c r="F719" s="107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6"/>
    </row>
    <row r="720" ht="15.75" customHeight="1">
      <c r="A720" s="109"/>
      <c r="B720" s="104"/>
      <c r="C720" s="104"/>
      <c r="D720" s="105"/>
      <c r="E720" s="106"/>
      <c r="F720" s="107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6"/>
    </row>
    <row r="721" ht="15.75" customHeight="1">
      <c r="A721" s="109"/>
      <c r="B721" s="104"/>
      <c r="C721" s="104"/>
      <c r="D721" s="105"/>
      <c r="E721" s="106"/>
      <c r="F721" s="107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6"/>
    </row>
    <row r="722" ht="15.75" customHeight="1">
      <c r="A722" s="109"/>
      <c r="B722" s="104"/>
      <c r="C722" s="104"/>
      <c r="D722" s="105"/>
      <c r="E722" s="106"/>
      <c r="F722" s="107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6"/>
    </row>
    <row r="723" ht="15.75" customHeight="1">
      <c r="A723" s="109"/>
      <c r="B723" s="104"/>
      <c r="C723" s="104"/>
      <c r="D723" s="105"/>
      <c r="E723" s="106"/>
      <c r="F723" s="107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6"/>
    </row>
    <row r="724" ht="15.75" customHeight="1">
      <c r="A724" s="109"/>
      <c r="B724" s="104"/>
      <c r="C724" s="104"/>
      <c r="D724" s="105"/>
      <c r="E724" s="106"/>
      <c r="F724" s="107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6"/>
    </row>
    <row r="725" ht="15.75" customHeight="1">
      <c r="A725" s="109"/>
      <c r="B725" s="104"/>
      <c r="C725" s="104"/>
      <c r="D725" s="105"/>
      <c r="E725" s="106"/>
      <c r="F725" s="107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6"/>
    </row>
    <row r="726" ht="15.75" customHeight="1">
      <c r="A726" s="109"/>
      <c r="B726" s="104"/>
      <c r="C726" s="104"/>
      <c r="D726" s="105"/>
      <c r="E726" s="106"/>
      <c r="F726" s="107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6"/>
    </row>
    <row r="727" ht="15.75" customHeight="1">
      <c r="A727" s="109"/>
      <c r="B727" s="104"/>
      <c r="C727" s="104"/>
      <c r="D727" s="105"/>
      <c r="E727" s="106"/>
      <c r="F727" s="107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6"/>
    </row>
    <row r="728" ht="15.75" customHeight="1">
      <c r="A728" s="109"/>
      <c r="B728" s="104"/>
      <c r="C728" s="104"/>
      <c r="D728" s="105"/>
      <c r="E728" s="106"/>
      <c r="F728" s="107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6"/>
    </row>
    <row r="729" ht="15.75" customHeight="1">
      <c r="A729" s="109"/>
      <c r="B729" s="104"/>
      <c r="C729" s="104"/>
      <c r="D729" s="105"/>
      <c r="E729" s="106"/>
      <c r="F729" s="107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6"/>
    </row>
    <row r="730" ht="15.75" customHeight="1">
      <c r="A730" s="109"/>
      <c r="B730" s="104"/>
      <c r="C730" s="104"/>
      <c r="D730" s="105"/>
      <c r="E730" s="106"/>
      <c r="F730" s="107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6"/>
    </row>
    <row r="731" ht="15.75" customHeight="1">
      <c r="A731" s="109"/>
      <c r="B731" s="104"/>
      <c r="C731" s="104"/>
      <c r="D731" s="105"/>
      <c r="E731" s="106"/>
      <c r="F731" s="107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6"/>
    </row>
    <row r="732" ht="15.75" customHeight="1">
      <c r="A732" s="109"/>
      <c r="B732" s="104"/>
      <c r="C732" s="104"/>
      <c r="D732" s="105"/>
      <c r="E732" s="106"/>
      <c r="F732" s="107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6"/>
    </row>
    <row r="733" ht="15.75" customHeight="1">
      <c r="A733" s="109"/>
      <c r="B733" s="104"/>
      <c r="C733" s="104"/>
      <c r="D733" s="105"/>
      <c r="E733" s="106"/>
      <c r="F733" s="107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6"/>
    </row>
    <row r="734" ht="15.75" customHeight="1">
      <c r="A734" s="109"/>
      <c r="B734" s="104"/>
      <c r="C734" s="104"/>
      <c r="D734" s="105"/>
      <c r="E734" s="106"/>
      <c r="F734" s="107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6"/>
    </row>
    <row r="735" ht="15.75" customHeight="1">
      <c r="A735" s="109"/>
      <c r="B735" s="104"/>
      <c r="C735" s="104"/>
      <c r="D735" s="105"/>
      <c r="E735" s="106"/>
      <c r="F735" s="107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6"/>
    </row>
    <row r="736" ht="15.75" customHeight="1">
      <c r="A736" s="109"/>
      <c r="B736" s="104"/>
      <c r="C736" s="104"/>
      <c r="D736" s="105"/>
      <c r="E736" s="106"/>
      <c r="F736" s="107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6"/>
    </row>
    <row r="737" ht="15.75" customHeight="1">
      <c r="A737" s="109"/>
      <c r="B737" s="104"/>
      <c r="C737" s="104"/>
      <c r="D737" s="105"/>
      <c r="E737" s="106"/>
      <c r="F737" s="107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6"/>
    </row>
    <row r="738" ht="15.75" customHeight="1">
      <c r="A738" s="109"/>
      <c r="B738" s="104"/>
      <c r="C738" s="104"/>
      <c r="D738" s="105"/>
      <c r="E738" s="106"/>
      <c r="F738" s="107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6"/>
    </row>
    <row r="739" ht="15.75" customHeight="1">
      <c r="A739" s="109"/>
      <c r="B739" s="104"/>
      <c r="C739" s="104"/>
      <c r="D739" s="105"/>
      <c r="E739" s="106"/>
      <c r="F739" s="107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6"/>
    </row>
    <row r="740" ht="15.75" customHeight="1">
      <c r="A740" s="109"/>
      <c r="B740" s="104"/>
      <c r="C740" s="104"/>
      <c r="D740" s="105"/>
      <c r="E740" s="106"/>
      <c r="F740" s="107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6"/>
    </row>
    <row r="741" ht="15.75" customHeight="1">
      <c r="A741" s="109"/>
      <c r="B741" s="104"/>
      <c r="C741" s="104"/>
      <c r="D741" s="105"/>
      <c r="E741" s="106"/>
      <c r="F741" s="107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6"/>
    </row>
    <row r="742" ht="15.75" customHeight="1">
      <c r="A742" s="109"/>
      <c r="B742" s="104"/>
      <c r="C742" s="104"/>
      <c r="D742" s="105"/>
      <c r="E742" s="106"/>
      <c r="F742" s="107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6"/>
    </row>
    <row r="743" ht="15.75" customHeight="1">
      <c r="A743" s="109"/>
      <c r="B743" s="104"/>
      <c r="C743" s="104"/>
      <c r="D743" s="105"/>
      <c r="E743" s="106"/>
      <c r="F743" s="107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6"/>
    </row>
    <row r="744" ht="15.75" customHeight="1">
      <c r="A744" s="109"/>
      <c r="B744" s="104"/>
      <c r="C744" s="104"/>
      <c r="D744" s="105"/>
      <c r="E744" s="106"/>
      <c r="F744" s="107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6"/>
    </row>
    <row r="745" ht="15.75" customHeight="1">
      <c r="A745" s="109"/>
      <c r="B745" s="104"/>
      <c r="C745" s="104"/>
      <c r="D745" s="105"/>
      <c r="E745" s="106"/>
      <c r="F745" s="107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6"/>
    </row>
    <row r="746" ht="15.75" customHeight="1">
      <c r="A746" s="109"/>
      <c r="B746" s="104"/>
      <c r="C746" s="104"/>
      <c r="D746" s="105"/>
      <c r="E746" s="106"/>
      <c r="F746" s="107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6"/>
    </row>
    <row r="747" ht="15.75" customHeight="1">
      <c r="A747" s="109"/>
      <c r="B747" s="104"/>
      <c r="C747" s="104"/>
      <c r="D747" s="105"/>
      <c r="E747" s="106"/>
      <c r="F747" s="107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6"/>
    </row>
    <row r="748" ht="15.75" customHeight="1">
      <c r="A748" s="109"/>
      <c r="B748" s="104"/>
      <c r="C748" s="104"/>
      <c r="D748" s="105"/>
      <c r="E748" s="106"/>
      <c r="F748" s="107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6"/>
    </row>
    <row r="749" ht="15.75" customHeight="1">
      <c r="A749" s="109"/>
      <c r="B749" s="104"/>
      <c r="C749" s="104"/>
      <c r="D749" s="105"/>
      <c r="E749" s="106"/>
      <c r="F749" s="107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6"/>
    </row>
    <row r="750" ht="15.75" customHeight="1">
      <c r="A750" s="109"/>
      <c r="B750" s="104"/>
      <c r="C750" s="104"/>
      <c r="D750" s="105"/>
      <c r="E750" s="106"/>
      <c r="F750" s="107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6"/>
    </row>
    <row r="751" ht="15.75" customHeight="1">
      <c r="A751" s="109"/>
      <c r="B751" s="104"/>
      <c r="C751" s="104"/>
      <c r="D751" s="105"/>
      <c r="E751" s="106"/>
      <c r="F751" s="107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6"/>
    </row>
    <row r="752" ht="15.75" customHeight="1">
      <c r="A752" s="109"/>
      <c r="B752" s="104"/>
      <c r="C752" s="104"/>
      <c r="D752" s="105"/>
      <c r="E752" s="106"/>
      <c r="F752" s="107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6"/>
    </row>
    <row r="753" ht="15.75" customHeight="1">
      <c r="A753" s="109"/>
      <c r="B753" s="104"/>
      <c r="C753" s="104"/>
      <c r="D753" s="105"/>
      <c r="E753" s="106"/>
      <c r="F753" s="107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6"/>
    </row>
    <row r="754" ht="15.75" customHeight="1">
      <c r="A754" s="109"/>
      <c r="B754" s="104"/>
      <c r="C754" s="104"/>
      <c r="D754" s="105"/>
      <c r="E754" s="106"/>
      <c r="F754" s="107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6"/>
    </row>
    <row r="755" ht="15.75" customHeight="1">
      <c r="A755" s="109"/>
      <c r="B755" s="104"/>
      <c r="C755" s="104"/>
      <c r="D755" s="105"/>
      <c r="E755" s="106"/>
      <c r="F755" s="107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6"/>
    </row>
    <row r="756" ht="15.75" customHeight="1">
      <c r="A756" s="109"/>
      <c r="B756" s="104"/>
      <c r="C756" s="104"/>
      <c r="D756" s="105"/>
      <c r="E756" s="106"/>
      <c r="F756" s="107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6"/>
    </row>
    <row r="757" ht="15.75" customHeight="1">
      <c r="A757" s="109"/>
      <c r="B757" s="104"/>
      <c r="C757" s="104"/>
      <c r="D757" s="105"/>
      <c r="E757" s="106"/>
      <c r="F757" s="107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6"/>
    </row>
    <row r="758" ht="15.75" customHeight="1">
      <c r="A758" s="109"/>
      <c r="B758" s="104"/>
      <c r="C758" s="104"/>
      <c r="D758" s="105"/>
      <c r="E758" s="106"/>
      <c r="F758" s="107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6"/>
    </row>
    <row r="759" ht="15.75" customHeight="1">
      <c r="A759" s="109"/>
      <c r="B759" s="104"/>
      <c r="C759" s="104"/>
      <c r="D759" s="105"/>
      <c r="E759" s="106"/>
      <c r="F759" s="107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6"/>
    </row>
    <row r="760" ht="15.75" customHeight="1">
      <c r="A760" s="109"/>
      <c r="B760" s="104"/>
      <c r="C760" s="104"/>
      <c r="D760" s="105"/>
      <c r="E760" s="106"/>
      <c r="F760" s="107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6"/>
    </row>
    <row r="761" ht="15.75" customHeight="1">
      <c r="A761" s="109"/>
      <c r="B761" s="104"/>
      <c r="C761" s="104"/>
      <c r="D761" s="105"/>
      <c r="E761" s="106"/>
      <c r="F761" s="107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6"/>
    </row>
    <row r="762" ht="15.75" customHeight="1">
      <c r="A762" s="109"/>
      <c r="B762" s="104"/>
      <c r="C762" s="104"/>
      <c r="D762" s="105"/>
      <c r="E762" s="106"/>
      <c r="F762" s="107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6"/>
    </row>
    <row r="763" ht="15.75" customHeight="1">
      <c r="A763" s="109"/>
      <c r="B763" s="104"/>
      <c r="C763" s="104"/>
      <c r="D763" s="105"/>
      <c r="E763" s="106"/>
      <c r="F763" s="107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6"/>
    </row>
    <row r="764" ht="15.75" customHeight="1">
      <c r="A764" s="109"/>
      <c r="B764" s="104"/>
      <c r="C764" s="104"/>
      <c r="D764" s="105"/>
      <c r="E764" s="106"/>
      <c r="F764" s="107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6"/>
    </row>
    <row r="765" ht="15.75" customHeight="1">
      <c r="A765" s="109"/>
      <c r="B765" s="104"/>
      <c r="C765" s="104"/>
      <c r="D765" s="105"/>
      <c r="E765" s="106"/>
      <c r="F765" s="107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6"/>
    </row>
    <row r="766" ht="15.75" customHeight="1">
      <c r="A766" s="109"/>
      <c r="B766" s="104"/>
      <c r="C766" s="104"/>
      <c r="D766" s="105"/>
      <c r="E766" s="106"/>
      <c r="F766" s="107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6"/>
    </row>
    <row r="767" ht="15.75" customHeight="1">
      <c r="A767" s="109"/>
      <c r="B767" s="104"/>
      <c r="C767" s="104"/>
      <c r="D767" s="105"/>
      <c r="E767" s="106"/>
      <c r="F767" s="107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6"/>
    </row>
    <row r="768" ht="15.75" customHeight="1">
      <c r="A768" s="109"/>
      <c r="B768" s="104"/>
      <c r="C768" s="104"/>
      <c r="D768" s="105"/>
      <c r="E768" s="106"/>
      <c r="F768" s="107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6"/>
    </row>
    <row r="769" ht="15.75" customHeight="1">
      <c r="A769" s="109"/>
      <c r="B769" s="104"/>
      <c r="C769" s="104"/>
      <c r="D769" s="105"/>
      <c r="E769" s="106"/>
      <c r="F769" s="107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6"/>
    </row>
    <row r="770" ht="15.75" customHeight="1">
      <c r="A770" s="109"/>
      <c r="B770" s="104"/>
      <c r="C770" s="104"/>
      <c r="D770" s="105"/>
      <c r="E770" s="106"/>
      <c r="F770" s="107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6"/>
    </row>
    <row r="771" ht="15.75" customHeight="1">
      <c r="A771" s="109"/>
      <c r="B771" s="104"/>
      <c r="C771" s="104"/>
      <c r="D771" s="105"/>
      <c r="E771" s="106"/>
      <c r="F771" s="107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6"/>
    </row>
    <row r="772" ht="15.75" customHeight="1">
      <c r="A772" s="109"/>
      <c r="B772" s="104"/>
      <c r="C772" s="104"/>
      <c r="D772" s="105"/>
      <c r="E772" s="106"/>
      <c r="F772" s="107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6"/>
    </row>
    <row r="773" ht="15.75" customHeight="1">
      <c r="A773" s="109"/>
      <c r="B773" s="104"/>
      <c r="C773" s="104"/>
      <c r="D773" s="105"/>
      <c r="E773" s="106"/>
      <c r="F773" s="107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6"/>
    </row>
    <row r="774" ht="15.75" customHeight="1">
      <c r="A774" s="109"/>
      <c r="B774" s="104"/>
      <c r="C774" s="104"/>
      <c r="D774" s="105"/>
      <c r="E774" s="106"/>
      <c r="F774" s="107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6"/>
    </row>
    <row r="775" ht="15.75" customHeight="1">
      <c r="A775" s="109"/>
      <c r="B775" s="104"/>
      <c r="C775" s="104"/>
      <c r="D775" s="105"/>
      <c r="E775" s="106"/>
      <c r="F775" s="107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6"/>
    </row>
    <row r="776" ht="15.75" customHeight="1">
      <c r="A776" s="109"/>
      <c r="B776" s="104"/>
      <c r="C776" s="104"/>
      <c r="D776" s="105"/>
      <c r="E776" s="106"/>
      <c r="F776" s="107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6"/>
    </row>
    <row r="777" ht="15.75" customHeight="1">
      <c r="A777" s="109"/>
      <c r="B777" s="104"/>
      <c r="C777" s="104"/>
      <c r="D777" s="105"/>
      <c r="E777" s="106"/>
      <c r="F777" s="107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6"/>
    </row>
    <row r="778" ht="15.75" customHeight="1">
      <c r="A778" s="109"/>
      <c r="B778" s="104"/>
      <c r="C778" s="104"/>
      <c r="D778" s="105"/>
      <c r="E778" s="106"/>
      <c r="F778" s="107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6"/>
    </row>
    <row r="779" ht="15.75" customHeight="1">
      <c r="A779" s="109"/>
      <c r="B779" s="104"/>
      <c r="C779" s="104"/>
      <c r="D779" s="105"/>
      <c r="E779" s="106"/>
      <c r="F779" s="107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6"/>
    </row>
    <row r="780" ht="15.75" customHeight="1">
      <c r="A780" s="109"/>
      <c r="B780" s="104"/>
      <c r="C780" s="104"/>
      <c r="D780" s="105"/>
      <c r="E780" s="106"/>
      <c r="F780" s="107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6"/>
    </row>
    <row r="781" ht="15.75" customHeight="1">
      <c r="A781" s="109"/>
      <c r="B781" s="104"/>
      <c r="C781" s="104"/>
      <c r="D781" s="105"/>
      <c r="E781" s="106"/>
      <c r="F781" s="107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6"/>
    </row>
    <row r="782" ht="15.75" customHeight="1">
      <c r="A782" s="109"/>
      <c r="B782" s="104"/>
      <c r="C782" s="104"/>
      <c r="D782" s="105"/>
      <c r="E782" s="106"/>
      <c r="F782" s="107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6"/>
    </row>
    <row r="783" ht="15.75" customHeight="1">
      <c r="A783" s="109"/>
      <c r="B783" s="104"/>
      <c r="C783" s="104"/>
      <c r="D783" s="105"/>
      <c r="E783" s="106"/>
      <c r="F783" s="107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6"/>
    </row>
    <row r="784" ht="15.75" customHeight="1">
      <c r="A784" s="109"/>
      <c r="B784" s="104"/>
      <c r="C784" s="104"/>
      <c r="D784" s="105"/>
      <c r="E784" s="106"/>
      <c r="F784" s="107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6"/>
    </row>
    <row r="785" ht="15.75" customHeight="1">
      <c r="A785" s="109"/>
      <c r="B785" s="104"/>
      <c r="C785" s="104"/>
      <c r="D785" s="105"/>
      <c r="E785" s="106"/>
      <c r="F785" s="107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6"/>
    </row>
    <row r="786" ht="15.75" customHeight="1">
      <c r="A786" s="109"/>
      <c r="B786" s="104"/>
      <c r="C786" s="104"/>
      <c r="D786" s="105"/>
      <c r="E786" s="106"/>
      <c r="F786" s="107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6"/>
    </row>
    <row r="787" ht="15.75" customHeight="1">
      <c r="A787" s="109"/>
      <c r="B787" s="104"/>
      <c r="C787" s="104"/>
      <c r="D787" s="105"/>
      <c r="E787" s="106"/>
      <c r="F787" s="107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6"/>
    </row>
    <row r="788" ht="15.75" customHeight="1">
      <c r="A788" s="109"/>
      <c r="B788" s="104"/>
      <c r="C788" s="104"/>
      <c r="D788" s="105"/>
      <c r="E788" s="106"/>
      <c r="F788" s="107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6"/>
    </row>
    <row r="789" ht="15.75" customHeight="1">
      <c r="A789" s="109"/>
      <c r="B789" s="104"/>
      <c r="C789" s="104"/>
      <c r="D789" s="105"/>
      <c r="E789" s="106"/>
      <c r="F789" s="107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6"/>
    </row>
    <row r="790" ht="15.75" customHeight="1">
      <c r="A790" s="109"/>
      <c r="B790" s="104"/>
      <c r="C790" s="104"/>
      <c r="D790" s="105"/>
      <c r="E790" s="106"/>
      <c r="F790" s="107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6"/>
    </row>
    <row r="791" ht="15.75" customHeight="1">
      <c r="A791" s="109"/>
      <c r="B791" s="104"/>
      <c r="C791" s="104"/>
      <c r="D791" s="105"/>
      <c r="E791" s="106"/>
      <c r="F791" s="107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6"/>
    </row>
    <row r="792" ht="15.75" customHeight="1">
      <c r="A792" s="109"/>
      <c r="B792" s="104"/>
      <c r="C792" s="104"/>
      <c r="D792" s="105"/>
      <c r="E792" s="106"/>
      <c r="F792" s="107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6"/>
    </row>
    <row r="793" ht="15.75" customHeight="1">
      <c r="A793" s="109"/>
      <c r="B793" s="104"/>
      <c r="C793" s="104"/>
      <c r="D793" s="105"/>
      <c r="E793" s="106"/>
      <c r="F793" s="107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6"/>
    </row>
    <row r="794" ht="15.75" customHeight="1">
      <c r="A794" s="109"/>
      <c r="B794" s="104"/>
      <c r="C794" s="104"/>
      <c r="D794" s="105"/>
      <c r="E794" s="106"/>
      <c r="F794" s="107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6"/>
    </row>
    <row r="795" ht="15.75" customHeight="1">
      <c r="A795" s="109"/>
      <c r="B795" s="104"/>
      <c r="C795" s="104"/>
      <c r="D795" s="105"/>
      <c r="E795" s="106"/>
      <c r="F795" s="107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6"/>
    </row>
    <row r="796" ht="15.75" customHeight="1">
      <c r="A796" s="109"/>
      <c r="B796" s="104"/>
      <c r="C796" s="104"/>
      <c r="D796" s="105"/>
      <c r="E796" s="106"/>
      <c r="F796" s="107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6"/>
    </row>
    <row r="797" ht="15.75" customHeight="1">
      <c r="A797" s="109"/>
      <c r="B797" s="104"/>
      <c r="C797" s="104"/>
      <c r="D797" s="105"/>
      <c r="E797" s="106"/>
      <c r="F797" s="107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6"/>
    </row>
    <row r="798" ht="15.75" customHeight="1">
      <c r="A798" s="109"/>
      <c r="B798" s="104"/>
      <c r="C798" s="104"/>
      <c r="D798" s="105"/>
      <c r="E798" s="106"/>
      <c r="F798" s="107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6"/>
    </row>
    <row r="799" ht="15.75" customHeight="1">
      <c r="A799" s="109"/>
      <c r="B799" s="104"/>
      <c r="C799" s="104"/>
      <c r="D799" s="105"/>
      <c r="E799" s="106"/>
      <c r="F799" s="107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6"/>
    </row>
    <row r="800" ht="15.75" customHeight="1">
      <c r="A800" s="109"/>
      <c r="B800" s="104"/>
      <c r="C800" s="104"/>
      <c r="D800" s="105"/>
      <c r="E800" s="106"/>
      <c r="F800" s="107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6"/>
    </row>
    <row r="801" ht="15.75" customHeight="1">
      <c r="A801" s="109"/>
      <c r="B801" s="104"/>
      <c r="C801" s="104"/>
      <c r="D801" s="105"/>
      <c r="E801" s="106"/>
      <c r="F801" s="107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6"/>
    </row>
    <row r="802" ht="15.75" customHeight="1">
      <c r="A802" s="109"/>
      <c r="B802" s="104"/>
      <c r="C802" s="104"/>
      <c r="D802" s="105"/>
      <c r="E802" s="106"/>
      <c r="F802" s="107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6"/>
    </row>
    <row r="803" ht="15.75" customHeight="1">
      <c r="A803" s="109"/>
      <c r="B803" s="104"/>
      <c r="C803" s="104"/>
      <c r="D803" s="105"/>
      <c r="E803" s="106"/>
      <c r="F803" s="107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6"/>
    </row>
    <row r="804" ht="15.75" customHeight="1">
      <c r="A804" s="109"/>
      <c r="B804" s="104"/>
      <c r="C804" s="104"/>
      <c r="D804" s="105"/>
      <c r="E804" s="106"/>
      <c r="F804" s="107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6"/>
    </row>
    <row r="805" ht="15.75" customHeight="1">
      <c r="A805" s="109"/>
      <c r="B805" s="104"/>
      <c r="C805" s="104"/>
      <c r="D805" s="105"/>
      <c r="E805" s="106"/>
      <c r="F805" s="107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6"/>
    </row>
    <row r="806" ht="15.75" customHeight="1">
      <c r="A806" s="109"/>
      <c r="B806" s="104"/>
      <c r="C806" s="104"/>
      <c r="D806" s="105"/>
      <c r="E806" s="106"/>
      <c r="F806" s="107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6"/>
    </row>
    <row r="807" ht="15.75" customHeight="1">
      <c r="A807" s="109"/>
      <c r="B807" s="104"/>
      <c r="C807" s="104"/>
      <c r="D807" s="105"/>
      <c r="E807" s="106"/>
      <c r="F807" s="107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6"/>
    </row>
    <row r="808" ht="15.75" customHeight="1">
      <c r="A808" s="109"/>
      <c r="B808" s="104"/>
      <c r="C808" s="104"/>
      <c r="D808" s="105"/>
      <c r="E808" s="106"/>
      <c r="F808" s="107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6"/>
    </row>
    <row r="809" ht="15.75" customHeight="1">
      <c r="A809" s="109"/>
      <c r="B809" s="104"/>
      <c r="C809" s="104"/>
      <c r="D809" s="105"/>
      <c r="E809" s="106"/>
      <c r="F809" s="107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6"/>
    </row>
    <row r="810" ht="15.75" customHeight="1">
      <c r="A810" s="109"/>
      <c r="B810" s="104"/>
      <c r="C810" s="104"/>
      <c r="D810" s="105"/>
      <c r="E810" s="106"/>
      <c r="F810" s="107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6"/>
    </row>
    <row r="811" ht="15.75" customHeight="1">
      <c r="A811" s="109"/>
      <c r="B811" s="104"/>
      <c r="C811" s="104"/>
      <c r="D811" s="105"/>
      <c r="E811" s="106"/>
      <c r="F811" s="107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6"/>
    </row>
    <row r="812" ht="15.75" customHeight="1">
      <c r="A812" s="109"/>
      <c r="B812" s="104"/>
      <c r="C812" s="104"/>
      <c r="D812" s="105"/>
      <c r="E812" s="106"/>
      <c r="F812" s="107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6"/>
    </row>
    <row r="813" ht="15.75" customHeight="1">
      <c r="A813" s="109"/>
      <c r="B813" s="104"/>
      <c r="C813" s="104"/>
      <c r="D813" s="105"/>
      <c r="E813" s="106"/>
      <c r="F813" s="107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6"/>
    </row>
    <row r="814" ht="15.75" customHeight="1">
      <c r="A814" s="109"/>
      <c r="B814" s="104"/>
      <c r="C814" s="104"/>
      <c r="D814" s="105"/>
      <c r="E814" s="106"/>
      <c r="F814" s="107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6"/>
    </row>
    <row r="815" ht="15.75" customHeight="1">
      <c r="A815" s="109"/>
      <c r="B815" s="104"/>
      <c r="C815" s="104"/>
      <c r="D815" s="105"/>
      <c r="E815" s="106"/>
      <c r="F815" s="107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6"/>
    </row>
    <row r="816" ht="15.75" customHeight="1">
      <c r="A816" s="109"/>
      <c r="B816" s="104"/>
      <c r="C816" s="104"/>
      <c r="D816" s="105"/>
      <c r="E816" s="106"/>
      <c r="F816" s="107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6"/>
    </row>
    <row r="817" ht="15.75" customHeight="1">
      <c r="A817" s="109"/>
      <c r="B817" s="104"/>
      <c r="C817" s="104"/>
      <c r="D817" s="105"/>
      <c r="E817" s="106"/>
      <c r="F817" s="107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6"/>
    </row>
    <row r="818" ht="15.75" customHeight="1">
      <c r="A818" s="109"/>
      <c r="B818" s="104"/>
      <c r="C818" s="104"/>
      <c r="D818" s="105"/>
      <c r="E818" s="106"/>
      <c r="F818" s="107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6"/>
    </row>
    <row r="819" ht="15.75" customHeight="1">
      <c r="A819" s="109"/>
      <c r="B819" s="104"/>
      <c r="C819" s="104"/>
      <c r="D819" s="105"/>
      <c r="E819" s="106"/>
      <c r="F819" s="107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6"/>
    </row>
    <row r="820" ht="15.75" customHeight="1">
      <c r="A820" s="109"/>
      <c r="B820" s="104"/>
      <c r="C820" s="104"/>
      <c r="D820" s="105"/>
      <c r="E820" s="106"/>
      <c r="F820" s="107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6"/>
    </row>
    <row r="821" ht="15.75" customHeight="1">
      <c r="A821" s="109"/>
      <c r="B821" s="104"/>
      <c r="C821" s="104"/>
      <c r="D821" s="105"/>
      <c r="E821" s="106"/>
      <c r="F821" s="107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6"/>
    </row>
    <row r="822" ht="15.75" customHeight="1">
      <c r="A822" s="109"/>
      <c r="B822" s="104"/>
      <c r="C822" s="104"/>
      <c r="D822" s="105"/>
      <c r="E822" s="106"/>
      <c r="F822" s="107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6"/>
    </row>
    <row r="823" ht="15.75" customHeight="1">
      <c r="A823" s="109"/>
      <c r="B823" s="104"/>
      <c r="C823" s="104"/>
      <c r="D823" s="105"/>
      <c r="E823" s="106"/>
      <c r="F823" s="107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6"/>
    </row>
    <row r="824" ht="15.75" customHeight="1">
      <c r="A824" s="109"/>
      <c r="B824" s="104"/>
      <c r="C824" s="104"/>
      <c r="D824" s="105"/>
      <c r="E824" s="106"/>
      <c r="F824" s="107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6"/>
    </row>
    <row r="825" ht="15.75" customHeight="1">
      <c r="A825" s="109"/>
      <c r="B825" s="104"/>
      <c r="C825" s="104"/>
      <c r="D825" s="105"/>
      <c r="E825" s="106"/>
      <c r="F825" s="107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6"/>
    </row>
    <row r="826" ht="15.75" customHeight="1">
      <c r="A826" s="109"/>
      <c r="B826" s="104"/>
      <c r="C826" s="104"/>
      <c r="D826" s="105"/>
      <c r="E826" s="106"/>
      <c r="F826" s="107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6"/>
    </row>
    <row r="827" ht="15.75" customHeight="1">
      <c r="A827" s="109"/>
      <c r="B827" s="104"/>
      <c r="C827" s="104"/>
      <c r="D827" s="105"/>
      <c r="E827" s="106"/>
      <c r="F827" s="107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6"/>
    </row>
    <row r="828" ht="15.75" customHeight="1">
      <c r="A828" s="109"/>
      <c r="B828" s="104"/>
      <c r="C828" s="104"/>
      <c r="D828" s="105"/>
      <c r="E828" s="106"/>
      <c r="F828" s="107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6"/>
    </row>
    <row r="829" ht="15.75" customHeight="1">
      <c r="A829" s="109"/>
      <c r="B829" s="104"/>
      <c r="C829" s="104"/>
      <c r="D829" s="105"/>
      <c r="E829" s="106"/>
      <c r="F829" s="107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6"/>
    </row>
    <row r="830" ht="15.75" customHeight="1">
      <c r="A830" s="109"/>
      <c r="B830" s="104"/>
      <c r="C830" s="104"/>
      <c r="D830" s="105"/>
      <c r="E830" s="106"/>
      <c r="F830" s="107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6"/>
    </row>
    <row r="831" ht="15.75" customHeight="1">
      <c r="A831" s="109"/>
      <c r="B831" s="104"/>
      <c r="C831" s="104"/>
      <c r="D831" s="105"/>
      <c r="E831" s="106"/>
      <c r="F831" s="107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6"/>
    </row>
    <row r="832" ht="15.75" customHeight="1">
      <c r="A832" s="109"/>
      <c r="B832" s="104"/>
      <c r="C832" s="104"/>
      <c r="D832" s="105"/>
      <c r="E832" s="106"/>
      <c r="F832" s="107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6"/>
    </row>
    <row r="833" ht="15.75" customHeight="1">
      <c r="A833" s="109"/>
      <c r="B833" s="104"/>
      <c r="C833" s="104"/>
      <c r="D833" s="105"/>
      <c r="E833" s="106"/>
      <c r="F833" s="107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6"/>
    </row>
    <row r="834" ht="15.75" customHeight="1">
      <c r="A834" s="109"/>
      <c r="B834" s="104"/>
      <c r="C834" s="104"/>
      <c r="D834" s="105"/>
      <c r="E834" s="106"/>
      <c r="F834" s="107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6"/>
    </row>
    <row r="835" ht="15.75" customHeight="1">
      <c r="A835" s="109"/>
      <c r="B835" s="104"/>
      <c r="C835" s="104"/>
      <c r="D835" s="105"/>
      <c r="E835" s="106"/>
      <c r="F835" s="107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6"/>
    </row>
    <row r="836" ht="15.75" customHeight="1">
      <c r="A836" s="109"/>
      <c r="B836" s="104"/>
      <c r="C836" s="104"/>
      <c r="D836" s="105"/>
      <c r="E836" s="106"/>
      <c r="F836" s="107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6"/>
    </row>
    <row r="837" ht="15.75" customHeight="1">
      <c r="A837" s="109"/>
      <c r="B837" s="104"/>
      <c r="C837" s="104"/>
      <c r="D837" s="105"/>
      <c r="E837" s="106"/>
      <c r="F837" s="107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6"/>
    </row>
    <row r="838" ht="15.75" customHeight="1">
      <c r="A838" s="109"/>
      <c r="B838" s="104"/>
      <c r="C838" s="104"/>
      <c r="D838" s="105"/>
      <c r="E838" s="106"/>
      <c r="F838" s="107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6"/>
    </row>
    <row r="839" ht="15.75" customHeight="1">
      <c r="A839" s="109"/>
      <c r="B839" s="104"/>
      <c r="C839" s="104"/>
      <c r="D839" s="105"/>
      <c r="E839" s="106"/>
      <c r="F839" s="107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6"/>
    </row>
    <row r="840" ht="15.75" customHeight="1">
      <c r="A840" s="109"/>
      <c r="B840" s="104"/>
      <c r="C840" s="104"/>
      <c r="D840" s="105"/>
      <c r="E840" s="106"/>
      <c r="F840" s="107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6"/>
    </row>
    <row r="841" ht="15.75" customHeight="1">
      <c r="A841" s="109"/>
      <c r="B841" s="104"/>
      <c r="C841" s="104"/>
      <c r="D841" s="105"/>
      <c r="E841" s="106"/>
      <c r="F841" s="107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6"/>
    </row>
    <row r="842" ht="15.75" customHeight="1">
      <c r="A842" s="109"/>
      <c r="B842" s="104"/>
      <c r="C842" s="104"/>
      <c r="D842" s="105"/>
      <c r="E842" s="106"/>
      <c r="F842" s="107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6"/>
    </row>
    <row r="843" ht="15.75" customHeight="1">
      <c r="A843" s="109"/>
      <c r="B843" s="104"/>
      <c r="C843" s="104"/>
      <c r="D843" s="105"/>
      <c r="E843" s="106"/>
      <c r="F843" s="107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6"/>
    </row>
    <row r="844" ht="15.75" customHeight="1">
      <c r="A844" s="109"/>
      <c r="B844" s="104"/>
      <c r="C844" s="104"/>
      <c r="D844" s="105"/>
      <c r="E844" s="106"/>
      <c r="F844" s="107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6"/>
    </row>
    <row r="845" ht="15.75" customHeight="1">
      <c r="A845" s="109"/>
      <c r="B845" s="104"/>
      <c r="C845" s="104"/>
      <c r="D845" s="105"/>
      <c r="E845" s="106"/>
      <c r="F845" s="107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6"/>
    </row>
    <row r="846" ht="15.75" customHeight="1">
      <c r="A846" s="109"/>
      <c r="B846" s="104"/>
      <c r="C846" s="104"/>
      <c r="D846" s="105"/>
      <c r="E846" s="106"/>
      <c r="F846" s="107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6"/>
    </row>
    <row r="847" ht="15.75" customHeight="1">
      <c r="A847" s="109"/>
      <c r="B847" s="104"/>
      <c r="C847" s="104"/>
      <c r="D847" s="105"/>
      <c r="E847" s="106"/>
      <c r="F847" s="107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6"/>
    </row>
    <row r="848" ht="15.75" customHeight="1">
      <c r="A848" s="109"/>
      <c r="B848" s="104"/>
      <c r="C848" s="104"/>
      <c r="D848" s="105"/>
      <c r="E848" s="106"/>
      <c r="F848" s="107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6"/>
    </row>
    <row r="849" ht="15.75" customHeight="1">
      <c r="A849" s="109"/>
      <c r="B849" s="104"/>
      <c r="C849" s="104"/>
      <c r="D849" s="105"/>
      <c r="E849" s="106"/>
      <c r="F849" s="107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6"/>
    </row>
    <row r="850" ht="15.75" customHeight="1">
      <c r="A850" s="109"/>
      <c r="B850" s="104"/>
      <c r="C850" s="104"/>
      <c r="D850" s="105"/>
      <c r="E850" s="106"/>
      <c r="F850" s="107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6"/>
    </row>
    <row r="851" ht="15.75" customHeight="1">
      <c r="A851" s="109"/>
      <c r="B851" s="104"/>
      <c r="C851" s="104"/>
      <c r="D851" s="105"/>
      <c r="E851" s="106"/>
      <c r="F851" s="107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6"/>
    </row>
    <row r="852" ht="15.75" customHeight="1">
      <c r="A852" s="109"/>
      <c r="B852" s="104"/>
      <c r="C852" s="104"/>
      <c r="D852" s="105"/>
      <c r="E852" s="106"/>
      <c r="F852" s="107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6"/>
    </row>
    <row r="853" ht="15.75" customHeight="1">
      <c r="A853" s="109"/>
      <c r="B853" s="104"/>
      <c r="C853" s="104"/>
      <c r="D853" s="105"/>
      <c r="E853" s="106"/>
      <c r="F853" s="107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6"/>
    </row>
    <row r="854" ht="15.75" customHeight="1">
      <c r="A854" s="109"/>
      <c r="B854" s="104"/>
      <c r="C854" s="104"/>
      <c r="D854" s="105"/>
      <c r="E854" s="106"/>
      <c r="F854" s="107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6"/>
    </row>
    <row r="855" ht="15.75" customHeight="1">
      <c r="A855" s="109"/>
      <c r="B855" s="104"/>
      <c r="C855" s="104"/>
      <c r="D855" s="105"/>
      <c r="E855" s="106"/>
      <c r="F855" s="107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6"/>
    </row>
    <row r="856" ht="15.75" customHeight="1">
      <c r="A856" s="109"/>
      <c r="B856" s="104"/>
      <c r="C856" s="104"/>
      <c r="D856" s="105"/>
      <c r="E856" s="106"/>
      <c r="F856" s="107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6"/>
    </row>
    <row r="857" ht="15.75" customHeight="1">
      <c r="A857" s="109"/>
      <c r="B857" s="104"/>
      <c r="C857" s="104"/>
      <c r="D857" s="105"/>
      <c r="E857" s="106"/>
      <c r="F857" s="107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6"/>
    </row>
    <row r="858" ht="15.75" customHeight="1">
      <c r="A858" s="109"/>
      <c r="B858" s="104"/>
      <c r="C858" s="104"/>
      <c r="D858" s="105"/>
      <c r="E858" s="106"/>
      <c r="F858" s="107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6"/>
    </row>
    <row r="859" ht="15.75" customHeight="1">
      <c r="A859" s="109"/>
      <c r="B859" s="104"/>
      <c r="C859" s="104"/>
      <c r="D859" s="105"/>
      <c r="E859" s="106"/>
      <c r="F859" s="107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6"/>
    </row>
    <row r="860" ht="15.75" customHeight="1">
      <c r="A860" s="109"/>
      <c r="B860" s="104"/>
      <c r="C860" s="104"/>
      <c r="D860" s="105"/>
      <c r="E860" s="106"/>
      <c r="F860" s="107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6"/>
    </row>
    <row r="861" ht="15.75" customHeight="1">
      <c r="A861" s="109"/>
      <c r="B861" s="104"/>
      <c r="C861" s="104"/>
      <c r="D861" s="105"/>
      <c r="E861" s="106"/>
      <c r="F861" s="107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6"/>
    </row>
    <row r="862" ht="15.75" customHeight="1">
      <c r="A862" s="109"/>
      <c r="B862" s="104"/>
      <c r="C862" s="104"/>
      <c r="D862" s="105"/>
      <c r="E862" s="106"/>
      <c r="F862" s="107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6"/>
    </row>
    <row r="863" ht="15.75" customHeight="1">
      <c r="A863" s="109"/>
      <c r="B863" s="104"/>
      <c r="C863" s="104"/>
      <c r="D863" s="105"/>
      <c r="E863" s="106"/>
      <c r="F863" s="107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6"/>
    </row>
    <row r="864" ht="15.75" customHeight="1">
      <c r="A864" s="109"/>
      <c r="B864" s="104"/>
      <c r="C864" s="104"/>
      <c r="D864" s="105"/>
      <c r="E864" s="106"/>
      <c r="F864" s="107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6"/>
    </row>
    <row r="865" ht="15.75" customHeight="1">
      <c r="A865" s="109"/>
      <c r="B865" s="104"/>
      <c r="C865" s="104"/>
      <c r="D865" s="105"/>
      <c r="E865" s="106"/>
      <c r="F865" s="107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6"/>
    </row>
    <row r="866" ht="15.75" customHeight="1">
      <c r="A866" s="109"/>
      <c r="B866" s="104"/>
      <c r="C866" s="104"/>
      <c r="D866" s="105"/>
      <c r="E866" s="106"/>
      <c r="F866" s="107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6"/>
    </row>
    <row r="867" ht="15.75" customHeight="1">
      <c r="A867" s="109"/>
      <c r="B867" s="104"/>
      <c r="C867" s="104"/>
      <c r="D867" s="105"/>
      <c r="E867" s="106"/>
      <c r="F867" s="107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6"/>
    </row>
    <row r="868" ht="15.75" customHeight="1">
      <c r="A868" s="109"/>
      <c r="B868" s="104"/>
      <c r="C868" s="104"/>
      <c r="D868" s="105"/>
      <c r="E868" s="106"/>
      <c r="F868" s="107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6"/>
    </row>
    <row r="869" ht="15.75" customHeight="1">
      <c r="A869" s="109"/>
      <c r="B869" s="104"/>
      <c r="C869" s="104"/>
      <c r="D869" s="105"/>
      <c r="E869" s="106"/>
      <c r="F869" s="107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6"/>
    </row>
    <row r="870" ht="15.75" customHeight="1">
      <c r="A870" s="109"/>
      <c r="B870" s="104"/>
      <c r="C870" s="104"/>
      <c r="D870" s="105"/>
      <c r="E870" s="106"/>
      <c r="F870" s="107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6"/>
    </row>
    <row r="871" ht="15.75" customHeight="1">
      <c r="A871" s="109"/>
      <c r="B871" s="104"/>
      <c r="C871" s="104"/>
      <c r="D871" s="105"/>
      <c r="E871" s="106"/>
      <c r="F871" s="107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6"/>
    </row>
    <row r="872" ht="15.75" customHeight="1">
      <c r="A872" s="109"/>
      <c r="B872" s="104"/>
      <c r="C872" s="104"/>
      <c r="D872" s="105"/>
      <c r="E872" s="106"/>
      <c r="F872" s="107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6"/>
    </row>
    <row r="873" ht="15.75" customHeight="1">
      <c r="A873" s="109"/>
      <c r="B873" s="104"/>
      <c r="C873" s="104"/>
      <c r="D873" s="105"/>
      <c r="E873" s="106"/>
      <c r="F873" s="107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6"/>
    </row>
    <row r="874" ht="15.75" customHeight="1">
      <c r="A874" s="109"/>
      <c r="B874" s="104"/>
      <c r="C874" s="104"/>
      <c r="D874" s="105"/>
      <c r="E874" s="106"/>
      <c r="F874" s="107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6"/>
    </row>
    <row r="875" ht="15.75" customHeight="1">
      <c r="A875" s="109"/>
      <c r="B875" s="104"/>
      <c r="C875" s="104"/>
      <c r="D875" s="105"/>
      <c r="E875" s="106"/>
      <c r="F875" s="107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6"/>
    </row>
    <row r="876" ht="15.75" customHeight="1">
      <c r="A876" s="109"/>
      <c r="B876" s="104"/>
      <c r="C876" s="104"/>
      <c r="D876" s="105"/>
      <c r="E876" s="106"/>
      <c r="F876" s="107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6"/>
    </row>
    <row r="877" ht="15.75" customHeight="1">
      <c r="A877" s="109"/>
      <c r="B877" s="104"/>
      <c r="C877" s="104"/>
      <c r="D877" s="105"/>
      <c r="E877" s="106"/>
      <c r="F877" s="107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6"/>
    </row>
    <row r="878" ht="15.75" customHeight="1">
      <c r="A878" s="109"/>
      <c r="B878" s="104"/>
      <c r="C878" s="104"/>
      <c r="D878" s="105"/>
      <c r="E878" s="106"/>
      <c r="F878" s="107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6"/>
    </row>
    <row r="879" ht="15.75" customHeight="1">
      <c r="A879" s="109"/>
      <c r="B879" s="104"/>
      <c r="C879" s="104"/>
      <c r="D879" s="105"/>
      <c r="E879" s="106"/>
      <c r="F879" s="107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6"/>
    </row>
    <row r="880" ht="15.75" customHeight="1">
      <c r="A880" s="109"/>
      <c r="B880" s="104"/>
      <c r="C880" s="104"/>
      <c r="D880" s="105"/>
      <c r="E880" s="106"/>
      <c r="F880" s="107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6"/>
    </row>
    <row r="881" ht="15.75" customHeight="1">
      <c r="A881" s="109"/>
      <c r="B881" s="104"/>
      <c r="C881" s="104"/>
      <c r="D881" s="105"/>
      <c r="E881" s="106"/>
      <c r="F881" s="107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6"/>
    </row>
    <row r="882" ht="15.75" customHeight="1">
      <c r="A882" s="109"/>
      <c r="B882" s="104"/>
      <c r="C882" s="104"/>
      <c r="D882" s="105"/>
      <c r="E882" s="106"/>
      <c r="F882" s="107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6"/>
    </row>
    <row r="883" ht="15.75" customHeight="1">
      <c r="A883" s="109"/>
      <c r="B883" s="104"/>
      <c r="C883" s="104"/>
      <c r="D883" s="105"/>
      <c r="E883" s="106"/>
      <c r="F883" s="107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6"/>
    </row>
    <row r="884" ht="15.75" customHeight="1">
      <c r="A884" s="109"/>
      <c r="B884" s="104"/>
      <c r="C884" s="104"/>
      <c r="D884" s="105"/>
      <c r="E884" s="106"/>
      <c r="F884" s="107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6"/>
    </row>
    <row r="885" ht="15.75" customHeight="1">
      <c r="A885" s="109"/>
      <c r="B885" s="104"/>
      <c r="C885" s="104"/>
      <c r="D885" s="105"/>
      <c r="E885" s="106"/>
      <c r="F885" s="107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6"/>
    </row>
    <row r="886" ht="15.75" customHeight="1">
      <c r="A886" s="109"/>
      <c r="B886" s="104"/>
      <c r="C886" s="104"/>
      <c r="D886" s="105"/>
      <c r="E886" s="106"/>
      <c r="F886" s="107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6"/>
    </row>
    <row r="887" ht="15.75" customHeight="1">
      <c r="A887" s="109"/>
      <c r="B887" s="104"/>
      <c r="C887" s="104"/>
      <c r="D887" s="105"/>
      <c r="E887" s="106"/>
      <c r="F887" s="107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6"/>
    </row>
    <row r="888" ht="15.75" customHeight="1">
      <c r="A888" s="109"/>
      <c r="B888" s="104"/>
      <c r="C888" s="104"/>
      <c r="D888" s="105"/>
      <c r="E888" s="106"/>
      <c r="F888" s="107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6"/>
    </row>
    <row r="889" ht="15.75" customHeight="1">
      <c r="A889" s="109"/>
      <c r="B889" s="104"/>
      <c r="C889" s="104"/>
      <c r="D889" s="105"/>
      <c r="E889" s="106"/>
      <c r="F889" s="107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6"/>
    </row>
    <row r="890" ht="15.75" customHeight="1">
      <c r="A890" s="109"/>
      <c r="B890" s="104"/>
      <c r="C890" s="104"/>
      <c r="D890" s="105"/>
      <c r="E890" s="106"/>
      <c r="F890" s="107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6"/>
    </row>
    <row r="891" ht="15.75" customHeight="1">
      <c r="A891" s="109"/>
      <c r="B891" s="104"/>
      <c r="C891" s="104"/>
      <c r="D891" s="105"/>
      <c r="E891" s="106"/>
      <c r="F891" s="107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6"/>
    </row>
    <row r="892" ht="15.75" customHeight="1">
      <c r="A892" s="109"/>
      <c r="B892" s="104"/>
      <c r="C892" s="104"/>
      <c r="D892" s="105"/>
      <c r="E892" s="106"/>
      <c r="F892" s="107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6"/>
    </row>
    <row r="893" ht="15.75" customHeight="1">
      <c r="A893" s="109"/>
      <c r="B893" s="104"/>
      <c r="C893" s="104"/>
      <c r="D893" s="105"/>
      <c r="E893" s="106"/>
      <c r="F893" s="107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6"/>
    </row>
    <row r="894" ht="15.75" customHeight="1">
      <c r="A894" s="109"/>
      <c r="B894" s="104"/>
      <c r="C894" s="104"/>
      <c r="D894" s="105"/>
      <c r="E894" s="106"/>
      <c r="F894" s="107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6"/>
    </row>
    <row r="895" ht="15.75" customHeight="1">
      <c r="A895" s="109"/>
      <c r="B895" s="104"/>
      <c r="C895" s="104"/>
      <c r="D895" s="105"/>
      <c r="E895" s="106"/>
      <c r="F895" s="107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6"/>
    </row>
    <row r="896" ht="15.75" customHeight="1">
      <c r="A896" s="109"/>
      <c r="B896" s="104"/>
      <c r="C896" s="104"/>
      <c r="D896" s="105"/>
      <c r="E896" s="106"/>
      <c r="F896" s="107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6"/>
    </row>
    <row r="897" ht="15.75" customHeight="1">
      <c r="A897" s="109"/>
      <c r="B897" s="104"/>
      <c r="C897" s="104"/>
      <c r="D897" s="105"/>
      <c r="E897" s="106"/>
      <c r="F897" s="107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6"/>
    </row>
    <row r="898" ht="15.75" customHeight="1">
      <c r="A898" s="109"/>
      <c r="B898" s="104"/>
      <c r="C898" s="104"/>
      <c r="D898" s="105"/>
      <c r="E898" s="106"/>
      <c r="F898" s="107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6"/>
    </row>
    <row r="899" ht="15.75" customHeight="1">
      <c r="A899" s="109"/>
      <c r="B899" s="104"/>
      <c r="C899" s="104"/>
      <c r="D899" s="105"/>
      <c r="E899" s="106"/>
      <c r="F899" s="107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6"/>
    </row>
    <row r="900" ht="15.75" customHeight="1">
      <c r="A900" s="109"/>
      <c r="B900" s="104"/>
      <c r="C900" s="104"/>
      <c r="D900" s="105"/>
      <c r="E900" s="106"/>
      <c r="F900" s="107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6"/>
    </row>
    <row r="901" ht="15.75" customHeight="1">
      <c r="A901" s="109"/>
      <c r="B901" s="104"/>
      <c r="C901" s="104"/>
      <c r="D901" s="105"/>
      <c r="E901" s="106"/>
      <c r="F901" s="107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6"/>
    </row>
    <row r="902" ht="15.75" customHeight="1">
      <c r="A902" s="109"/>
      <c r="B902" s="104"/>
      <c r="C902" s="104"/>
      <c r="D902" s="105"/>
      <c r="E902" s="106"/>
      <c r="F902" s="107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6"/>
    </row>
    <row r="903" ht="15.75" customHeight="1">
      <c r="A903" s="109"/>
      <c r="B903" s="104"/>
      <c r="C903" s="104"/>
      <c r="D903" s="105"/>
      <c r="E903" s="106"/>
      <c r="F903" s="107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6"/>
    </row>
    <row r="904" ht="15.75" customHeight="1">
      <c r="A904" s="109"/>
      <c r="B904" s="104"/>
      <c r="C904" s="104"/>
      <c r="D904" s="105"/>
      <c r="E904" s="106"/>
      <c r="F904" s="107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6"/>
    </row>
    <row r="905" ht="15.75" customHeight="1">
      <c r="A905" s="109"/>
      <c r="B905" s="104"/>
      <c r="C905" s="104"/>
      <c r="D905" s="105"/>
      <c r="E905" s="106"/>
      <c r="F905" s="107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6"/>
    </row>
    <row r="906" ht="15.75" customHeight="1">
      <c r="A906" s="109"/>
      <c r="B906" s="104"/>
      <c r="C906" s="104"/>
      <c r="D906" s="105"/>
      <c r="E906" s="106"/>
      <c r="F906" s="107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6"/>
    </row>
    <row r="907" ht="15.75" customHeight="1">
      <c r="A907" s="109"/>
      <c r="B907" s="104"/>
      <c r="C907" s="104"/>
      <c r="D907" s="105"/>
      <c r="E907" s="106"/>
      <c r="F907" s="107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6"/>
    </row>
    <row r="908" ht="15.75" customHeight="1">
      <c r="A908" s="109"/>
      <c r="B908" s="104"/>
      <c r="C908" s="104"/>
      <c r="D908" s="105"/>
      <c r="E908" s="106"/>
      <c r="F908" s="107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6"/>
    </row>
    <row r="909" ht="15.75" customHeight="1">
      <c r="A909" s="109"/>
      <c r="B909" s="104"/>
      <c r="C909" s="104"/>
      <c r="D909" s="105"/>
      <c r="E909" s="106"/>
      <c r="F909" s="107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6"/>
    </row>
    <row r="910" ht="15.75" customHeight="1">
      <c r="A910" s="109"/>
      <c r="B910" s="104"/>
      <c r="C910" s="104"/>
      <c r="D910" s="105"/>
      <c r="E910" s="106"/>
      <c r="F910" s="107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6"/>
    </row>
    <row r="911" ht="15.75" customHeight="1">
      <c r="A911" s="109"/>
      <c r="B911" s="104"/>
      <c r="C911" s="104"/>
      <c r="D911" s="105"/>
      <c r="E911" s="106"/>
      <c r="F911" s="107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6"/>
    </row>
    <row r="912" ht="15.75" customHeight="1">
      <c r="A912" s="109"/>
      <c r="B912" s="104"/>
      <c r="C912" s="104"/>
      <c r="D912" s="105"/>
      <c r="E912" s="106"/>
      <c r="F912" s="107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6"/>
    </row>
    <row r="913" ht="15.75" customHeight="1">
      <c r="A913" s="109"/>
      <c r="B913" s="104"/>
      <c r="C913" s="104"/>
      <c r="D913" s="105"/>
      <c r="E913" s="106"/>
      <c r="F913" s="107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6"/>
    </row>
    <row r="914" ht="15.75" customHeight="1">
      <c r="A914" s="109"/>
      <c r="B914" s="104"/>
      <c r="C914" s="104"/>
      <c r="D914" s="105"/>
      <c r="E914" s="106"/>
      <c r="F914" s="107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6"/>
    </row>
    <row r="915" ht="15.75" customHeight="1">
      <c r="A915" s="109"/>
      <c r="B915" s="104"/>
      <c r="C915" s="104"/>
      <c r="D915" s="105"/>
      <c r="E915" s="106"/>
      <c r="F915" s="107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6"/>
    </row>
    <row r="916" ht="15.75" customHeight="1">
      <c r="A916" s="109"/>
      <c r="B916" s="104"/>
      <c r="C916" s="104"/>
      <c r="D916" s="105"/>
      <c r="E916" s="106"/>
      <c r="F916" s="107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6"/>
    </row>
    <row r="917" ht="15.75" customHeight="1">
      <c r="A917" s="109"/>
      <c r="B917" s="104"/>
      <c r="C917" s="104"/>
      <c r="D917" s="105"/>
      <c r="E917" s="106"/>
      <c r="F917" s="107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6"/>
    </row>
    <row r="918" ht="15.75" customHeight="1">
      <c r="A918" s="109"/>
      <c r="B918" s="104"/>
      <c r="C918" s="104"/>
      <c r="D918" s="105"/>
      <c r="E918" s="106"/>
      <c r="F918" s="107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6"/>
    </row>
    <row r="919" ht="15.75" customHeight="1">
      <c r="A919" s="109"/>
      <c r="B919" s="104"/>
      <c r="C919" s="104"/>
      <c r="D919" s="105"/>
      <c r="E919" s="106"/>
      <c r="F919" s="107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6"/>
    </row>
    <row r="920" ht="15.75" customHeight="1">
      <c r="A920" s="109"/>
      <c r="B920" s="104"/>
      <c r="C920" s="104"/>
      <c r="D920" s="105"/>
      <c r="E920" s="106"/>
      <c r="F920" s="107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6"/>
    </row>
    <row r="921" ht="15.75" customHeight="1">
      <c r="A921" s="109"/>
      <c r="B921" s="104"/>
      <c r="C921" s="104"/>
      <c r="D921" s="105"/>
      <c r="E921" s="106"/>
      <c r="F921" s="107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6"/>
    </row>
    <row r="922" ht="15.75" customHeight="1">
      <c r="A922" s="109"/>
      <c r="B922" s="104"/>
      <c r="C922" s="104"/>
      <c r="D922" s="105"/>
      <c r="E922" s="106"/>
      <c r="F922" s="107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6"/>
    </row>
    <row r="923" ht="15.75" customHeight="1">
      <c r="A923" s="109"/>
      <c r="B923" s="104"/>
      <c r="C923" s="104"/>
      <c r="D923" s="105"/>
      <c r="E923" s="106"/>
      <c r="F923" s="107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6"/>
    </row>
    <row r="924" ht="15.75" customHeight="1">
      <c r="A924" s="109"/>
      <c r="B924" s="104"/>
      <c r="C924" s="104"/>
      <c r="D924" s="105"/>
      <c r="E924" s="106"/>
      <c r="F924" s="107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6"/>
    </row>
    <row r="925" ht="15.75" customHeight="1">
      <c r="A925" s="109"/>
      <c r="B925" s="104"/>
      <c r="C925" s="104"/>
      <c r="D925" s="105"/>
      <c r="E925" s="106"/>
      <c r="F925" s="107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6"/>
    </row>
    <row r="926" ht="15.75" customHeight="1">
      <c r="A926" s="109"/>
      <c r="B926" s="104"/>
      <c r="C926" s="104"/>
      <c r="D926" s="105"/>
      <c r="E926" s="106"/>
      <c r="F926" s="107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6"/>
    </row>
    <row r="927" ht="15.75" customHeight="1">
      <c r="A927" s="109"/>
      <c r="B927" s="104"/>
      <c r="C927" s="104"/>
      <c r="D927" s="105"/>
      <c r="E927" s="106"/>
      <c r="F927" s="107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6"/>
    </row>
    <row r="928" ht="15.75" customHeight="1">
      <c r="A928" s="109"/>
      <c r="B928" s="104"/>
      <c r="C928" s="104"/>
      <c r="D928" s="105"/>
      <c r="E928" s="106"/>
      <c r="F928" s="107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6"/>
    </row>
    <row r="929" ht="15.75" customHeight="1">
      <c r="A929" s="109"/>
      <c r="B929" s="104"/>
      <c r="C929" s="104"/>
      <c r="D929" s="105"/>
      <c r="E929" s="106"/>
      <c r="F929" s="107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6"/>
    </row>
    <row r="930" ht="15.75" customHeight="1">
      <c r="A930" s="109"/>
      <c r="B930" s="104"/>
      <c r="C930" s="104"/>
      <c r="D930" s="105"/>
      <c r="E930" s="106"/>
      <c r="F930" s="107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6"/>
    </row>
    <row r="931" ht="15.75" customHeight="1">
      <c r="A931" s="109"/>
      <c r="B931" s="104"/>
      <c r="C931" s="104"/>
      <c r="D931" s="105"/>
      <c r="E931" s="106"/>
      <c r="F931" s="107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6"/>
    </row>
    <row r="932" ht="15.75" customHeight="1">
      <c r="A932" s="109"/>
      <c r="B932" s="104"/>
      <c r="C932" s="104"/>
      <c r="D932" s="105"/>
      <c r="E932" s="106"/>
      <c r="F932" s="107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6"/>
    </row>
    <row r="933" ht="15.75" customHeight="1">
      <c r="A933" s="109"/>
      <c r="B933" s="104"/>
      <c r="C933" s="104"/>
      <c r="D933" s="105"/>
      <c r="E933" s="106"/>
      <c r="F933" s="107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6"/>
    </row>
    <row r="934" ht="15.75" customHeight="1">
      <c r="A934" s="109"/>
      <c r="B934" s="104"/>
      <c r="C934" s="104"/>
      <c r="D934" s="105"/>
      <c r="E934" s="106"/>
      <c r="F934" s="107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6"/>
    </row>
    <row r="935" ht="15.75" customHeight="1">
      <c r="A935" s="109"/>
      <c r="B935" s="104"/>
      <c r="C935" s="104"/>
      <c r="D935" s="105"/>
      <c r="E935" s="106"/>
      <c r="F935" s="107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6"/>
    </row>
    <row r="936" ht="15.75" customHeight="1">
      <c r="A936" s="109"/>
      <c r="B936" s="104"/>
      <c r="C936" s="104"/>
      <c r="D936" s="105"/>
      <c r="E936" s="106"/>
      <c r="F936" s="107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6"/>
    </row>
    <row r="937" ht="15.75" customHeight="1">
      <c r="A937" s="109"/>
      <c r="B937" s="104"/>
      <c r="C937" s="104"/>
      <c r="D937" s="105"/>
      <c r="E937" s="106"/>
      <c r="F937" s="107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6"/>
    </row>
    <row r="938" ht="15.75" customHeight="1">
      <c r="A938" s="109"/>
      <c r="B938" s="104"/>
      <c r="C938" s="104"/>
      <c r="D938" s="105"/>
      <c r="E938" s="106"/>
      <c r="F938" s="107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6"/>
    </row>
    <row r="939" ht="15.75" customHeight="1">
      <c r="A939" s="109"/>
      <c r="B939" s="104"/>
      <c r="C939" s="104"/>
      <c r="D939" s="105"/>
      <c r="E939" s="106"/>
      <c r="F939" s="107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6"/>
    </row>
    <row r="940" ht="15.75" customHeight="1">
      <c r="A940" s="109"/>
      <c r="B940" s="104"/>
      <c r="C940" s="104"/>
      <c r="D940" s="105"/>
      <c r="E940" s="106"/>
      <c r="F940" s="107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6"/>
    </row>
    <row r="941" ht="15.75" customHeight="1">
      <c r="A941" s="109"/>
      <c r="B941" s="104"/>
      <c r="C941" s="104"/>
      <c r="D941" s="105"/>
      <c r="E941" s="106"/>
      <c r="F941" s="107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6"/>
    </row>
    <row r="942" ht="15.75" customHeight="1">
      <c r="A942" s="109"/>
      <c r="B942" s="104"/>
      <c r="C942" s="104"/>
      <c r="D942" s="105"/>
      <c r="E942" s="106"/>
      <c r="F942" s="107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6"/>
    </row>
    <row r="943" ht="15.75" customHeight="1">
      <c r="A943" s="109"/>
      <c r="B943" s="104"/>
      <c r="C943" s="104"/>
      <c r="D943" s="105"/>
      <c r="E943" s="106"/>
      <c r="F943" s="107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6"/>
    </row>
    <row r="944" ht="15.75" customHeight="1">
      <c r="A944" s="109"/>
      <c r="B944" s="104"/>
      <c r="C944" s="104"/>
      <c r="D944" s="105"/>
      <c r="E944" s="106"/>
      <c r="F944" s="107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6"/>
    </row>
    <row r="945" ht="15.75" customHeight="1">
      <c r="A945" s="109"/>
      <c r="B945" s="104"/>
      <c r="C945" s="104"/>
      <c r="D945" s="105"/>
      <c r="E945" s="106"/>
      <c r="F945" s="107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6"/>
    </row>
    <row r="946" ht="15.75" customHeight="1">
      <c r="A946" s="109"/>
      <c r="B946" s="104"/>
      <c r="C946" s="104"/>
      <c r="D946" s="105"/>
      <c r="E946" s="106"/>
      <c r="F946" s="107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6"/>
    </row>
    <row r="947" ht="15.75" customHeight="1">
      <c r="A947" s="109"/>
      <c r="B947" s="104"/>
      <c r="C947" s="104"/>
      <c r="D947" s="105"/>
      <c r="E947" s="106"/>
      <c r="F947" s="107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6"/>
    </row>
    <row r="948" ht="15.75" customHeight="1">
      <c r="A948" s="109"/>
      <c r="B948" s="104"/>
      <c r="C948" s="104"/>
      <c r="D948" s="105"/>
      <c r="E948" s="106"/>
      <c r="F948" s="107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6"/>
    </row>
    <row r="949" ht="15.75" customHeight="1">
      <c r="A949" s="109"/>
      <c r="B949" s="104"/>
      <c r="C949" s="104"/>
      <c r="D949" s="105"/>
      <c r="E949" s="106"/>
      <c r="F949" s="107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6"/>
    </row>
    <row r="950" ht="15.75" customHeight="1">
      <c r="A950" s="109"/>
      <c r="B950" s="104"/>
      <c r="C950" s="104"/>
      <c r="D950" s="105"/>
      <c r="E950" s="106"/>
      <c r="F950" s="107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6"/>
    </row>
    <row r="951" ht="15.75" customHeight="1">
      <c r="A951" s="109"/>
      <c r="B951" s="104"/>
      <c r="C951" s="104"/>
      <c r="D951" s="105"/>
      <c r="E951" s="106"/>
      <c r="F951" s="107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6"/>
    </row>
    <row r="952" ht="15.75" customHeight="1">
      <c r="A952" s="109"/>
      <c r="B952" s="104"/>
      <c r="C952" s="104"/>
      <c r="D952" s="105"/>
      <c r="E952" s="106"/>
      <c r="F952" s="107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6"/>
    </row>
    <row r="953" ht="15.75" customHeight="1">
      <c r="A953" s="109"/>
      <c r="B953" s="104"/>
      <c r="C953" s="104"/>
      <c r="D953" s="105"/>
      <c r="E953" s="106"/>
      <c r="F953" s="107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6"/>
    </row>
    <row r="954" ht="15.75" customHeight="1">
      <c r="A954" s="109"/>
      <c r="B954" s="104"/>
      <c r="C954" s="104"/>
      <c r="D954" s="105"/>
      <c r="E954" s="106"/>
      <c r="F954" s="107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6"/>
    </row>
    <row r="955" ht="15.75" customHeight="1">
      <c r="A955" s="109"/>
      <c r="B955" s="104"/>
      <c r="C955" s="104"/>
      <c r="D955" s="105"/>
      <c r="E955" s="106"/>
      <c r="F955" s="107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6"/>
    </row>
    <row r="956" ht="15.75" customHeight="1">
      <c r="A956" s="109"/>
      <c r="B956" s="104"/>
      <c r="C956" s="104"/>
      <c r="D956" s="105"/>
      <c r="E956" s="106"/>
      <c r="F956" s="107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6"/>
    </row>
    <row r="957" ht="15.75" customHeight="1">
      <c r="A957" s="109"/>
      <c r="B957" s="104"/>
      <c r="C957" s="104"/>
      <c r="D957" s="105"/>
      <c r="E957" s="106"/>
      <c r="F957" s="107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6"/>
    </row>
    <row r="958" ht="15.75" customHeight="1">
      <c r="A958" s="109"/>
      <c r="B958" s="104"/>
      <c r="C958" s="104"/>
      <c r="D958" s="105"/>
      <c r="E958" s="106"/>
      <c r="F958" s="107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6"/>
    </row>
    <row r="959" ht="15.75" customHeight="1">
      <c r="A959" s="109"/>
      <c r="B959" s="104"/>
      <c r="C959" s="104"/>
      <c r="D959" s="105"/>
      <c r="E959" s="106"/>
      <c r="F959" s="107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6"/>
    </row>
    <row r="960" ht="15.75" customHeight="1">
      <c r="A960" s="109"/>
      <c r="B960" s="104"/>
      <c r="C960" s="104"/>
      <c r="D960" s="105"/>
      <c r="E960" s="106"/>
      <c r="F960" s="107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6"/>
    </row>
    <row r="961" ht="15.75" customHeight="1">
      <c r="A961" s="109"/>
      <c r="B961" s="104"/>
      <c r="C961" s="104"/>
      <c r="D961" s="105"/>
      <c r="E961" s="106"/>
      <c r="F961" s="107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6"/>
    </row>
    <row r="962" ht="15.75" customHeight="1">
      <c r="A962" s="109"/>
      <c r="B962" s="104"/>
      <c r="C962" s="104"/>
      <c r="D962" s="105"/>
      <c r="E962" s="106"/>
      <c r="F962" s="107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6"/>
    </row>
    <row r="963" ht="15.75" customHeight="1">
      <c r="A963" s="109"/>
      <c r="B963" s="104"/>
      <c r="C963" s="104"/>
      <c r="D963" s="105"/>
      <c r="E963" s="106"/>
      <c r="F963" s="107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6"/>
    </row>
    <row r="964" ht="15.75" customHeight="1">
      <c r="A964" s="109"/>
      <c r="B964" s="104"/>
      <c r="C964" s="104"/>
      <c r="D964" s="105"/>
      <c r="E964" s="106"/>
      <c r="F964" s="107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6"/>
    </row>
    <row r="965" ht="15.75" customHeight="1">
      <c r="A965" s="109"/>
      <c r="B965" s="104"/>
      <c r="C965" s="104"/>
      <c r="D965" s="105"/>
      <c r="E965" s="106"/>
      <c r="F965" s="107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6"/>
    </row>
    <row r="966" ht="15.75" customHeight="1">
      <c r="A966" s="109"/>
      <c r="B966" s="104"/>
      <c r="C966" s="104"/>
      <c r="D966" s="105"/>
      <c r="E966" s="106"/>
      <c r="F966" s="107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6"/>
    </row>
    <row r="967" ht="15.75" customHeight="1">
      <c r="A967" s="109"/>
      <c r="B967" s="104"/>
      <c r="C967" s="104"/>
      <c r="D967" s="105"/>
      <c r="E967" s="106"/>
      <c r="F967" s="107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6"/>
    </row>
    <row r="968" ht="15.75" customHeight="1">
      <c r="A968" s="109"/>
      <c r="B968" s="104"/>
      <c r="C968" s="104"/>
      <c r="D968" s="105"/>
      <c r="E968" s="106"/>
      <c r="F968" s="107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6"/>
    </row>
    <row r="969" ht="15.75" customHeight="1">
      <c r="A969" s="109"/>
      <c r="B969" s="104"/>
      <c r="C969" s="104"/>
      <c r="D969" s="105"/>
      <c r="E969" s="106"/>
      <c r="F969" s="107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6"/>
    </row>
    <row r="970" ht="15.75" customHeight="1">
      <c r="A970" s="109"/>
      <c r="B970" s="104"/>
      <c r="C970" s="104"/>
      <c r="D970" s="105"/>
      <c r="E970" s="106"/>
      <c r="F970" s="107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6"/>
    </row>
    <row r="971" ht="15.75" customHeight="1">
      <c r="A971" s="109"/>
      <c r="B971" s="104"/>
      <c r="C971" s="104"/>
      <c r="D971" s="105"/>
      <c r="E971" s="106"/>
      <c r="F971" s="107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6"/>
    </row>
    <row r="972" ht="15.75" customHeight="1">
      <c r="A972" s="109"/>
      <c r="B972" s="104"/>
      <c r="C972" s="104"/>
      <c r="D972" s="105"/>
      <c r="E972" s="106"/>
      <c r="F972" s="107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6"/>
    </row>
    <row r="973" ht="15.75" customHeight="1">
      <c r="A973" s="109"/>
      <c r="B973" s="104"/>
      <c r="C973" s="104"/>
      <c r="D973" s="105"/>
      <c r="E973" s="106"/>
      <c r="F973" s="107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6"/>
    </row>
    <row r="974" ht="15.75" customHeight="1">
      <c r="A974" s="109"/>
      <c r="B974" s="104"/>
      <c r="C974" s="104"/>
      <c r="D974" s="105"/>
      <c r="E974" s="106"/>
      <c r="F974" s="107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6"/>
    </row>
    <row r="975" ht="15.75" customHeight="1">
      <c r="A975" s="109"/>
      <c r="B975" s="104"/>
      <c r="C975" s="104"/>
      <c r="D975" s="105"/>
      <c r="E975" s="106"/>
      <c r="F975" s="107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6"/>
    </row>
    <row r="976" ht="15.75" customHeight="1">
      <c r="A976" s="109"/>
      <c r="B976" s="104"/>
      <c r="C976" s="104"/>
      <c r="D976" s="105"/>
      <c r="E976" s="106"/>
      <c r="F976" s="107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6"/>
    </row>
    <row r="977" ht="15.75" customHeight="1">
      <c r="A977" s="109"/>
      <c r="B977" s="104"/>
      <c r="C977" s="104"/>
      <c r="D977" s="105"/>
      <c r="E977" s="106"/>
      <c r="F977" s="107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6"/>
    </row>
    <row r="978" ht="15.75" customHeight="1">
      <c r="A978" s="109"/>
      <c r="B978" s="104"/>
      <c r="C978" s="104"/>
      <c r="D978" s="105"/>
      <c r="E978" s="106"/>
      <c r="F978" s="107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6"/>
    </row>
    <row r="979" ht="15.75" customHeight="1">
      <c r="A979" s="109"/>
      <c r="B979" s="104"/>
      <c r="C979" s="104"/>
      <c r="D979" s="105"/>
      <c r="E979" s="106"/>
      <c r="F979" s="107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6"/>
    </row>
    <row r="980" ht="15.75" customHeight="1">
      <c r="A980" s="109"/>
      <c r="B980" s="104"/>
      <c r="C980" s="104"/>
      <c r="D980" s="105"/>
      <c r="E980" s="106"/>
      <c r="F980" s="107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6"/>
    </row>
    <row r="981" ht="15.75" customHeight="1">
      <c r="A981" s="109"/>
      <c r="B981" s="104"/>
      <c r="C981" s="104"/>
      <c r="D981" s="105"/>
      <c r="E981" s="106"/>
      <c r="F981" s="107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6"/>
    </row>
    <row r="982" ht="15.75" customHeight="1">
      <c r="A982" s="109"/>
      <c r="B982" s="104"/>
      <c r="C982" s="104"/>
      <c r="D982" s="105"/>
      <c r="E982" s="106"/>
      <c r="F982" s="107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6"/>
    </row>
    <row r="983" ht="15.75" customHeight="1">
      <c r="A983" s="109"/>
      <c r="B983" s="104"/>
      <c r="C983" s="104"/>
      <c r="D983" s="105"/>
      <c r="E983" s="106"/>
      <c r="F983" s="107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6"/>
    </row>
    <row r="984" ht="15.75" customHeight="1">
      <c r="A984" s="109"/>
      <c r="B984" s="104"/>
      <c r="C984" s="104"/>
      <c r="D984" s="105"/>
      <c r="E984" s="106"/>
      <c r="F984" s="107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6"/>
    </row>
    <row r="985" ht="15.75" customHeight="1">
      <c r="A985" s="109"/>
      <c r="B985" s="104"/>
      <c r="C985" s="104"/>
      <c r="D985" s="105"/>
      <c r="E985" s="106"/>
      <c r="F985" s="107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6"/>
    </row>
    <row r="986" ht="15.75" customHeight="1">
      <c r="A986" s="109"/>
      <c r="B986" s="104"/>
      <c r="C986" s="104"/>
      <c r="D986" s="105"/>
      <c r="E986" s="106"/>
      <c r="F986" s="107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6"/>
    </row>
    <row r="987" ht="15.75" customHeight="1">
      <c r="A987" s="109"/>
      <c r="B987" s="104"/>
      <c r="C987" s="104"/>
      <c r="D987" s="105"/>
      <c r="E987" s="106"/>
      <c r="F987" s="107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6"/>
    </row>
    <row r="988" ht="15.75" customHeight="1">
      <c r="A988" s="109"/>
      <c r="B988" s="104"/>
      <c r="C988" s="104"/>
      <c r="D988" s="105"/>
      <c r="E988" s="106"/>
      <c r="F988" s="107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6"/>
    </row>
    <row r="989" ht="15.75" customHeight="1">
      <c r="A989" s="109"/>
      <c r="B989" s="104"/>
      <c r="C989" s="104"/>
      <c r="D989" s="105"/>
      <c r="E989" s="106"/>
      <c r="F989" s="107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6"/>
    </row>
    <row r="990" ht="15.75" customHeight="1">
      <c r="A990" s="109"/>
      <c r="B990" s="104"/>
      <c r="C990" s="104"/>
      <c r="D990" s="105"/>
      <c r="E990" s="106"/>
      <c r="F990" s="107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6"/>
    </row>
    <row r="991" ht="15.75" customHeight="1">
      <c r="A991" s="109"/>
      <c r="B991" s="104"/>
      <c r="C991" s="104"/>
      <c r="D991" s="105"/>
      <c r="E991" s="106"/>
      <c r="F991" s="107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6"/>
    </row>
    <row r="992" ht="15.75" customHeight="1">
      <c r="A992" s="109"/>
      <c r="B992" s="104"/>
      <c r="C992" s="104"/>
      <c r="D992" s="105"/>
      <c r="E992" s="106"/>
      <c r="F992" s="107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6"/>
    </row>
    <row r="993" ht="15.75" customHeight="1">
      <c r="A993" s="109"/>
      <c r="B993" s="104"/>
      <c r="C993" s="104"/>
      <c r="D993" s="105"/>
      <c r="E993" s="106"/>
      <c r="F993" s="107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6"/>
    </row>
    <row r="994" ht="15.75" customHeight="1">
      <c r="A994" s="109"/>
      <c r="B994" s="104"/>
      <c r="C994" s="104"/>
      <c r="D994" s="105"/>
      <c r="E994" s="106"/>
      <c r="F994" s="107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6"/>
    </row>
    <row r="995" ht="15.75" customHeight="1">
      <c r="A995" s="109"/>
      <c r="B995" s="104"/>
      <c r="C995" s="104"/>
      <c r="D995" s="105"/>
      <c r="E995" s="106"/>
      <c r="F995" s="107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6"/>
    </row>
    <row r="996" ht="15.75" customHeight="1">
      <c r="A996" s="109"/>
      <c r="B996" s="104"/>
      <c r="C996" s="104"/>
      <c r="D996" s="105"/>
      <c r="E996" s="106"/>
      <c r="F996" s="107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6"/>
    </row>
    <row r="997" ht="15.75" customHeight="1">
      <c r="A997" s="109"/>
      <c r="B997" s="104"/>
      <c r="C997" s="104"/>
      <c r="D997" s="105"/>
      <c r="E997" s="106"/>
      <c r="F997" s="107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6"/>
    </row>
    <row r="998" ht="15.75" customHeight="1">
      <c r="A998" s="109"/>
      <c r="B998" s="104"/>
      <c r="C998" s="104"/>
      <c r="D998" s="105"/>
      <c r="E998" s="106"/>
      <c r="F998" s="107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6"/>
    </row>
    <row r="999" ht="15.75" customHeight="1">
      <c r="A999" s="109"/>
      <c r="B999" s="104"/>
      <c r="C999" s="104"/>
      <c r="D999" s="105"/>
      <c r="E999" s="106"/>
      <c r="F999" s="107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6"/>
    </row>
    <row r="1000" ht="15.75" customHeight="1">
      <c r="A1000" s="109"/>
      <c r="B1000" s="104"/>
      <c r="C1000" s="104"/>
      <c r="D1000" s="105"/>
      <c r="E1000" s="106"/>
      <c r="F1000" s="107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1.22" defaultRowHeight="15.0"/>
  <cols>
    <col customWidth="1" min="1" max="1" width="22.78"/>
    <col customWidth="1" min="2" max="2" width="16.67"/>
    <col customWidth="1" min="3" max="3" width="13.44"/>
    <col customWidth="1" min="4" max="4" width="14.11"/>
    <col customWidth="1" min="5" max="7" width="16.78"/>
    <col customWidth="1" min="8" max="8" width="15.67"/>
    <col customWidth="1" min="9" max="9" width="13.78"/>
    <col customWidth="1" min="10" max="10" width="13.11"/>
    <col customWidth="1" min="11" max="11" width="13.22"/>
    <col customWidth="1" min="12" max="12" width="14.78"/>
    <col customWidth="1" min="13" max="13" width="13.0"/>
    <col customWidth="1" min="14" max="16" width="16.78"/>
    <col customWidth="1" min="17" max="17" width="26.56"/>
    <col customWidth="1" min="18" max="18" width="98.89"/>
  </cols>
  <sheetData>
    <row r="1" ht="15.75" customHeight="1">
      <c r="A1" s="110" t="s">
        <v>28</v>
      </c>
      <c r="B1" s="27"/>
      <c r="C1" s="26"/>
      <c r="D1" s="27"/>
      <c r="E1" s="27"/>
      <c r="F1" s="29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28"/>
    </row>
    <row r="2" ht="15.75" customHeight="1">
      <c r="A2" s="31" t="s">
        <v>29</v>
      </c>
      <c r="B2" s="27"/>
      <c r="C2" s="26"/>
      <c r="D2" s="27"/>
      <c r="E2" s="27"/>
      <c r="F2" s="29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28"/>
    </row>
    <row r="3" ht="15.75" customHeight="1">
      <c r="A3" s="32" t="s">
        <v>30</v>
      </c>
      <c r="B3" s="27"/>
      <c r="C3" s="26"/>
      <c r="D3" s="27"/>
      <c r="E3" s="27"/>
      <c r="F3" s="29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28"/>
    </row>
    <row r="4" ht="21.75" customHeight="1">
      <c r="A4" s="33" t="s">
        <v>31</v>
      </c>
      <c r="B4" s="111" t="s">
        <v>63</v>
      </c>
      <c r="C4" s="26"/>
      <c r="D4" s="27"/>
      <c r="E4" s="27"/>
      <c r="F4" s="29"/>
      <c r="G4" s="30"/>
      <c r="H4" s="30"/>
      <c r="I4" s="35"/>
      <c r="J4" s="30"/>
      <c r="K4" s="30"/>
      <c r="L4" s="30"/>
      <c r="M4" s="30"/>
      <c r="N4" s="30"/>
      <c r="O4" s="30"/>
      <c r="P4" s="30"/>
      <c r="Q4" s="30"/>
      <c r="R4" s="28"/>
    </row>
    <row r="5" ht="24.0" customHeight="1">
      <c r="A5" s="36"/>
      <c r="B5" s="112" t="s">
        <v>32</v>
      </c>
      <c r="C5" s="113">
        <v>35.0</v>
      </c>
      <c r="D5" s="27"/>
      <c r="E5" s="27"/>
      <c r="F5" s="29"/>
      <c r="G5" s="30"/>
      <c r="H5" s="39"/>
      <c r="I5" s="35" t="s">
        <v>33</v>
      </c>
      <c r="J5" s="30"/>
      <c r="K5" s="30"/>
      <c r="L5" s="30"/>
      <c r="M5" s="30"/>
      <c r="N5" s="30"/>
      <c r="O5" s="30"/>
      <c r="P5" s="30"/>
      <c r="Q5" s="30"/>
      <c r="R5" s="39"/>
    </row>
    <row r="6" ht="15.75" customHeight="1">
      <c r="A6" s="40"/>
      <c r="B6" s="27"/>
      <c r="C6" s="26"/>
      <c r="D6" s="27"/>
      <c r="E6" s="27"/>
      <c r="F6" s="29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28"/>
    </row>
    <row r="7" ht="15.75" customHeight="1">
      <c r="A7" s="40"/>
      <c r="B7" s="27"/>
      <c r="C7" s="26"/>
      <c r="D7" s="27"/>
      <c r="E7" s="27"/>
      <c r="F7" s="29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28"/>
    </row>
    <row r="8" ht="15.75" customHeight="1">
      <c r="A8" s="40"/>
      <c r="B8" s="27"/>
      <c r="C8" s="26"/>
      <c r="D8" s="27"/>
      <c r="E8" s="27"/>
      <c r="F8" s="29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28"/>
    </row>
    <row r="9" ht="15.75" customHeight="1">
      <c r="A9" s="40"/>
      <c r="B9" s="27"/>
      <c r="C9" s="26"/>
      <c r="D9" s="27"/>
      <c r="E9" s="27"/>
      <c r="F9" s="29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28"/>
    </row>
    <row r="10" ht="66.0" customHeight="1">
      <c r="A10" s="41" t="s">
        <v>34</v>
      </c>
      <c r="B10" s="42" t="s">
        <v>35</v>
      </c>
      <c r="C10" s="42" t="s">
        <v>36</v>
      </c>
      <c r="D10" s="42" t="s">
        <v>37</v>
      </c>
      <c r="E10" s="43" t="s">
        <v>38</v>
      </c>
      <c r="F10" s="44" t="s">
        <v>39</v>
      </c>
      <c r="G10" s="45" t="s">
        <v>40</v>
      </c>
      <c r="H10" s="45" t="s">
        <v>41</v>
      </c>
      <c r="I10" s="45" t="s">
        <v>42</v>
      </c>
      <c r="J10" s="45" t="s">
        <v>43</v>
      </c>
      <c r="K10" s="45" t="s">
        <v>44</v>
      </c>
      <c r="L10" s="45" t="s">
        <v>45</v>
      </c>
      <c r="M10" s="45" t="s">
        <v>46</v>
      </c>
      <c r="N10" s="45" t="s">
        <v>43</v>
      </c>
      <c r="O10" s="45" t="s">
        <v>44</v>
      </c>
      <c r="P10" s="46" t="s">
        <v>47</v>
      </c>
      <c r="Q10" s="46" t="s">
        <v>64</v>
      </c>
      <c r="R10" s="44" t="s">
        <v>65</v>
      </c>
    </row>
    <row r="11" ht="15.75" customHeight="1">
      <c r="A11" s="47">
        <v>45662.0</v>
      </c>
      <c r="B11" s="48">
        <v>34.0</v>
      </c>
      <c r="C11" s="49">
        <f t="shared" ref="C11:C73" si="1">IF(B11=0,"",B11/C$5)</f>
        <v>0.9714285714</v>
      </c>
      <c r="D11" s="50">
        <v>28175.0</v>
      </c>
      <c r="E11" s="114">
        <f t="shared" ref="E11:E14" si="2">IFERROR(D11/B11,"")</f>
        <v>828.6764706</v>
      </c>
      <c r="F11" s="50">
        <v>24688.0</v>
      </c>
      <c r="G11" s="52">
        <f t="shared" ref="G11:G74" si="3">IFERROR(F11/D11,"")</f>
        <v>0.8762377995</v>
      </c>
      <c r="H11" s="53"/>
      <c r="I11" s="53"/>
      <c r="J11" s="54"/>
      <c r="K11" s="55"/>
      <c r="L11" s="53"/>
      <c r="M11" s="53"/>
      <c r="N11" s="55"/>
      <c r="O11" s="55"/>
      <c r="P11" s="115"/>
      <c r="Q11" s="115"/>
      <c r="R11" s="59" t="s">
        <v>66</v>
      </c>
    </row>
    <row r="12" ht="15.75" customHeight="1">
      <c r="A12" s="57">
        <f t="shared" ref="A12:A14" si="4">A11+7</f>
        <v>45669</v>
      </c>
      <c r="B12" s="48">
        <v>33.0</v>
      </c>
      <c r="C12" s="49">
        <f t="shared" si="1"/>
        <v>0.9428571429</v>
      </c>
      <c r="D12" s="50">
        <v>27400.0</v>
      </c>
      <c r="E12" s="114">
        <f t="shared" si="2"/>
        <v>830.3030303</v>
      </c>
      <c r="F12" s="50">
        <v>27825.0</v>
      </c>
      <c r="G12" s="52">
        <f t="shared" si="3"/>
        <v>1.015510949</v>
      </c>
      <c r="H12" s="58"/>
      <c r="I12" s="58"/>
      <c r="J12" s="54"/>
      <c r="K12" s="55"/>
      <c r="L12" s="58"/>
      <c r="M12" s="58"/>
      <c r="N12" s="55"/>
      <c r="O12" s="55"/>
      <c r="P12" s="74"/>
      <c r="Q12" s="74"/>
      <c r="R12" s="59"/>
    </row>
    <row r="13" ht="15.75" customHeight="1">
      <c r="A13" s="57">
        <f t="shared" si="4"/>
        <v>45676</v>
      </c>
      <c r="B13" s="48">
        <v>33.0</v>
      </c>
      <c r="C13" s="49">
        <f t="shared" si="1"/>
        <v>0.9428571429</v>
      </c>
      <c r="D13" s="50">
        <v>27400.0</v>
      </c>
      <c r="E13" s="114">
        <f t="shared" si="2"/>
        <v>830.3030303</v>
      </c>
      <c r="F13" s="50">
        <v>28275.0</v>
      </c>
      <c r="G13" s="52">
        <f t="shared" si="3"/>
        <v>1.031934307</v>
      </c>
      <c r="H13" s="58"/>
      <c r="I13" s="58"/>
      <c r="J13" s="54"/>
      <c r="K13" s="55"/>
      <c r="L13" s="58"/>
      <c r="M13" s="58"/>
      <c r="N13" s="55"/>
      <c r="O13" s="55"/>
      <c r="P13" s="74"/>
      <c r="Q13" s="74"/>
      <c r="R13" s="59"/>
    </row>
    <row r="14" ht="15.75" customHeight="1">
      <c r="A14" s="57">
        <f t="shared" si="4"/>
        <v>45683</v>
      </c>
      <c r="B14" s="48">
        <v>34.0</v>
      </c>
      <c r="C14" s="49">
        <f t="shared" si="1"/>
        <v>0.9714285714</v>
      </c>
      <c r="D14" s="50">
        <v>28400.0</v>
      </c>
      <c r="E14" s="114">
        <f t="shared" si="2"/>
        <v>835.2941176</v>
      </c>
      <c r="F14" s="50">
        <v>28597.0</v>
      </c>
      <c r="G14" s="52">
        <f t="shared" si="3"/>
        <v>1.00693662</v>
      </c>
      <c r="H14" s="60"/>
      <c r="I14" s="60"/>
      <c r="J14" s="54"/>
      <c r="K14" s="55"/>
      <c r="L14" s="58"/>
      <c r="M14" s="58"/>
      <c r="N14" s="55"/>
      <c r="O14" s="55"/>
      <c r="P14" s="74"/>
      <c r="Q14" s="74"/>
      <c r="R14" s="59"/>
    </row>
    <row r="15" ht="15.75" customHeight="1">
      <c r="A15" s="61" t="s">
        <v>51</v>
      </c>
      <c r="B15" s="62">
        <v>33.0</v>
      </c>
      <c r="C15" s="63">
        <f t="shared" si="1"/>
        <v>0.9428571429</v>
      </c>
      <c r="D15" s="64">
        <v>28500.0</v>
      </c>
      <c r="E15" s="116">
        <f t="shared" ref="E15:E71" si="6">D15/B15</f>
        <v>863.6363636</v>
      </c>
      <c r="F15" s="64">
        <v>28500.0</v>
      </c>
      <c r="G15" s="66">
        <f t="shared" si="3"/>
        <v>1</v>
      </c>
      <c r="H15" s="67">
        <v>28597.0</v>
      </c>
      <c r="I15" s="67">
        <v>28500.0</v>
      </c>
      <c r="J15" s="68">
        <f>IF(H15=0,"",H15-I15)</f>
        <v>97</v>
      </c>
      <c r="K15" s="69">
        <f>IFERROR((H15-I15)/H15,"")</f>
        <v>0.003391964192</v>
      </c>
      <c r="L15" s="67">
        <v>26662.0</v>
      </c>
      <c r="M15" s="67">
        <v>23100.0</v>
      </c>
      <c r="N15" s="68">
        <f>IF(L15=0,"",L15-M15)</f>
        <v>3562</v>
      </c>
      <c r="O15" s="69">
        <f>IFERROR((L15-M15)/L15,"")</f>
        <v>0.1335983797</v>
      </c>
      <c r="P15" s="70">
        <f t="shared" ref="P15:Q15" si="5">H15-L15</f>
        <v>1935</v>
      </c>
      <c r="Q15" s="67">
        <f t="shared" si="5"/>
        <v>5400</v>
      </c>
      <c r="R15" s="87"/>
    </row>
    <row r="16" ht="15.75" customHeight="1">
      <c r="A16" s="57">
        <f>A14+7</f>
        <v>45690</v>
      </c>
      <c r="B16" s="48">
        <v>34.0</v>
      </c>
      <c r="C16" s="49">
        <f t="shared" si="1"/>
        <v>0.9714285714</v>
      </c>
      <c r="D16" s="50">
        <v>28400.0</v>
      </c>
      <c r="E16" s="117">
        <f t="shared" si="6"/>
        <v>835.2941176</v>
      </c>
      <c r="F16" s="50">
        <v>28597.0</v>
      </c>
      <c r="G16" s="72">
        <f t="shared" si="3"/>
        <v>1.00693662</v>
      </c>
      <c r="H16" s="73"/>
      <c r="I16" s="74"/>
      <c r="J16" s="75"/>
      <c r="K16" s="76"/>
      <c r="L16" s="74"/>
      <c r="M16" s="74"/>
      <c r="N16" s="77"/>
      <c r="O16" s="55"/>
      <c r="P16" s="74"/>
      <c r="Q16" s="74"/>
      <c r="R16" s="59"/>
    </row>
    <row r="17" ht="15.75" customHeight="1">
      <c r="A17" s="57">
        <f t="shared" ref="A17:A19" si="7">A16+7</f>
        <v>45697</v>
      </c>
      <c r="B17" s="48">
        <v>34.0</v>
      </c>
      <c r="C17" s="49">
        <f t="shared" si="1"/>
        <v>0.9714285714</v>
      </c>
      <c r="D17" s="50">
        <v>28400.0</v>
      </c>
      <c r="E17" s="117">
        <f t="shared" si="6"/>
        <v>835.2941176</v>
      </c>
      <c r="F17" s="50">
        <v>25809.0</v>
      </c>
      <c r="G17" s="52">
        <f t="shared" si="3"/>
        <v>0.9087676056</v>
      </c>
      <c r="H17" s="78"/>
      <c r="I17" s="78"/>
      <c r="J17" s="54"/>
      <c r="K17" s="55"/>
      <c r="L17" s="78"/>
      <c r="M17" s="78"/>
      <c r="N17" s="55"/>
      <c r="O17" s="55"/>
      <c r="P17" s="74"/>
      <c r="Q17" s="74"/>
      <c r="R17" s="59"/>
    </row>
    <row r="18" ht="15.75" customHeight="1">
      <c r="A18" s="57">
        <f t="shared" si="7"/>
        <v>45704</v>
      </c>
      <c r="B18" s="48">
        <v>34.0</v>
      </c>
      <c r="C18" s="49">
        <f t="shared" si="1"/>
        <v>0.9714285714</v>
      </c>
      <c r="D18" s="50">
        <v>28400.0</v>
      </c>
      <c r="E18" s="117">
        <f t="shared" si="6"/>
        <v>835.2941176</v>
      </c>
      <c r="F18" s="50">
        <v>26881.0</v>
      </c>
      <c r="G18" s="52">
        <f t="shared" si="3"/>
        <v>0.9465140845</v>
      </c>
      <c r="H18" s="58"/>
      <c r="I18" s="58"/>
      <c r="J18" s="54"/>
      <c r="K18" s="55"/>
      <c r="L18" s="58"/>
      <c r="M18" s="58"/>
      <c r="N18" s="55"/>
      <c r="O18" s="55"/>
      <c r="P18" s="74"/>
      <c r="Q18" s="74"/>
      <c r="R18" s="59"/>
    </row>
    <row r="19" ht="15.75" customHeight="1">
      <c r="A19" s="57">
        <f t="shared" si="7"/>
        <v>45711</v>
      </c>
      <c r="B19" s="48">
        <v>34.0</v>
      </c>
      <c r="C19" s="49">
        <f t="shared" si="1"/>
        <v>0.9714285714</v>
      </c>
      <c r="D19" s="50">
        <v>28400.0</v>
      </c>
      <c r="E19" s="117">
        <f t="shared" si="6"/>
        <v>835.2941176</v>
      </c>
      <c r="F19" s="50">
        <v>28063.0</v>
      </c>
      <c r="G19" s="52">
        <f t="shared" si="3"/>
        <v>0.9881338028</v>
      </c>
      <c r="H19" s="60"/>
      <c r="I19" s="60"/>
      <c r="J19" s="54"/>
      <c r="K19" s="55"/>
      <c r="L19" s="58"/>
      <c r="M19" s="58"/>
      <c r="N19" s="55"/>
      <c r="O19" s="55"/>
      <c r="P19" s="74"/>
      <c r="Q19" s="74"/>
      <c r="R19" s="59"/>
    </row>
    <row r="20" ht="15.75" customHeight="1">
      <c r="A20" s="61" t="s">
        <v>51</v>
      </c>
      <c r="B20" s="62">
        <v>33.0</v>
      </c>
      <c r="C20" s="63">
        <f t="shared" si="1"/>
        <v>0.9428571429</v>
      </c>
      <c r="D20" s="64">
        <v>28500.0</v>
      </c>
      <c r="E20" s="116">
        <f t="shared" si="6"/>
        <v>863.6363636</v>
      </c>
      <c r="F20" s="64">
        <v>28500.0</v>
      </c>
      <c r="G20" s="66">
        <f t="shared" si="3"/>
        <v>1</v>
      </c>
      <c r="H20" s="67">
        <v>29178.0</v>
      </c>
      <c r="I20" s="67">
        <v>28500.0</v>
      </c>
      <c r="J20" s="68">
        <f>IF(H20=0,"",H20-I20)</f>
        <v>678</v>
      </c>
      <c r="K20" s="69">
        <f>IFERROR((H20-I20)/H20,"")</f>
        <v>0.02323668517</v>
      </c>
      <c r="L20" s="67">
        <v>26814.0</v>
      </c>
      <c r="M20" s="67">
        <v>23100.0</v>
      </c>
      <c r="N20" s="68">
        <f>IF(L20=0,"",L20-M20)</f>
        <v>3714</v>
      </c>
      <c r="O20" s="69">
        <f>IFERROR((L20-M20)/L20,"")</f>
        <v>0.1385097337</v>
      </c>
      <c r="P20" s="70">
        <f t="shared" ref="P20:Q20" si="8">H20-L20</f>
        <v>2364</v>
      </c>
      <c r="Q20" s="67">
        <f t="shared" si="8"/>
        <v>5400</v>
      </c>
      <c r="R20" s="71" t="s">
        <v>67</v>
      </c>
    </row>
    <row r="21" ht="15.75" customHeight="1">
      <c r="A21" s="57">
        <f>A19+7</f>
        <v>45718</v>
      </c>
      <c r="B21" s="48">
        <v>35.0</v>
      </c>
      <c r="C21" s="49">
        <f t="shared" si="1"/>
        <v>1</v>
      </c>
      <c r="D21" s="50">
        <v>29400.0</v>
      </c>
      <c r="E21" s="117">
        <f t="shared" si="6"/>
        <v>840</v>
      </c>
      <c r="F21" s="50">
        <v>14427.0</v>
      </c>
      <c r="G21" s="79">
        <f t="shared" si="3"/>
        <v>0.4907142857</v>
      </c>
      <c r="H21" s="80"/>
      <c r="I21" s="81"/>
      <c r="J21" s="54"/>
      <c r="K21" s="76"/>
      <c r="L21" s="73"/>
      <c r="M21" s="74"/>
      <c r="N21" s="77"/>
      <c r="O21" s="55"/>
      <c r="P21" s="74"/>
      <c r="Q21" s="74"/>
      <c r="R21" s="59"/>
    </row>
    <row r="22" ht="15.75" customHeight="1">
      <c r="A22" s="57">
        <f t="shared" ref="A22:A25" si="9">A21+7</f>
        <v>45725</v>
      </c>
      <c r="B22" s="48">
        <v>35.0</v>
      </c>
      <c r="C22" s="49">
        <f t="shared" si="1"/>
        <v>1</v>
      </c>
      <c r="D22" s="50">
        <v>29400.0</v>
      </c>
      <c r="E22" s="117">
        <f t="shared" si="6"/>
        <v>840</v>
      </c>
      <c r="F22" s="50">
        <v>28106.0</v>
      </c>
      <c r="G22" s="52">
        <f t="shared" si="3"/>
        <v>0.9559863946</v>
      </c>
      <c r="H22" s="78"/>
      <c r="I22" s="78"/>
      <c r="J22" s="54"/>
      <c r="K22" s="55"/>
      <c r="L22" s="78"/>
      <c r="M22" s="78"/>
      <c r="N22" s="55"/>
      <c r="O22" s="55"/>
      <c r="P22" s="74"/>
      <c r="Q22" s="74"/>
      <c r="R22" s="59"/>
    </row>
    <row r="23" ht="15.75" customHeight="1">
      <c r="A23" s="57">
        <f t="shared" si="9"/>
        <v>45732</v>
      </c>
      <c r="B23" s="48">
        <v>35.0</v>
      </c>
      <c r="C23" s="49">
        <f t="shared" si="1"/>
        <v>1</v>
      </c>
      <c r="D23" s="50">
        <v>29400.0</v>
      </c>
      <c r="E23" s="117">
        <f t="shared" si="6"/>
        <v>840</v>
      </c>
      <c r="F23" s="50">
        <v>28676.0</v>
      </c>
      <c r="G23" s="52">
        <f t="shared" si="3"/>
        <v>0.9753741497</v>
      </c>
      <c r="H23" s="58"/>
      <c r="I23" s="58"/>
      <c r="J23" s="54"/>
      <c r="K23" s="55"/>
      <c r="L23" s="58"/>
      <c r="M23" s="58"/>
      <c r="N23" s="55"/>
      <c r="O23" s="55"/>
      <c r="P23" s="74"/>
      <c r="Q23" s="74"/>
      <c r="R23" s="59"/>
    </row>
    <row r="24" ht="15.75" customHeight="1">
      <c r="A24" s="57">
        <f t="shared" si="9"/>
        <v>45739</v>
      </c>
      <c r="B24" s="48">
        <v>34.0</v>
      </c>
      <c r="C24" s="49">
        <f t="shared" si="1"/>
        <v>0.9714285714</v>
      </c>
      <c r="D24" s="50">
        <v>28550.0</v>
      </c>
      <c r="E24" s="117">
        <f t="shared" si="6"/>
        <v>839.7058824</v>
      </c>
      <c r="F24" s="50">
        <v>29269.0</v>
      </c>
      <c r="G24" s="52">
        <f t="shared" si="3"/>
        <v>1.025183888</v>
      </c>
      <c r="H24" s="58"/>
      <c r="I24" s="58"/>
      <c r="J24" s="54"/>
      <c r="K24" s="55"/>
      <c r="L24" s="58"/>
      <c r="M24" s="58"/>
      <c r="N24" s="55"/>
      <c r="O24" s="55"/>
      <c r="P24" s="74"/>
      <c r="Q24" s="74"/>
      <c r="R24" s="59"/>
    </row>
    <row r="25" ht="15.75" customHeight="1">
      <c r="A25" s="57">
        <f t="shared" si="9"/>
        <v>45746</v>
      </c>
      <c r="B25" s="48">
        <v>34.0</v>
      </c>
      <c r="C25" s="49">
        <f t="shared" si="1"/>
        <v>0.9714285714</v>
      </c>
      <c r="D25" s="50">
        <v>28550.0</v>
      </c>
      <c r="E25" s="117">
        <f t="shared" si="6"/>
        <v>839.7058824</v>
      </c>
      <c r="F25" s="50">
        <v>29269.0</v>
      </c>
      <c r="G25" s="52">
        <f t="shared" si="3"/>
        <v>1.025183888</v>
      </c>
      <c r="H25" s="82"/>
      <c r="I25" s="82"/>
      <c r="J25" s="54"/>
      <c r="K25" s="55"/>
      <c r="L25" s="82"/>
      <c r="M25" s="82"/>
      <c r="N25" s="55"/>
      <c r="O25" s="55"/>
      <c r="P25" s="118"/>
      <c r="Q25" s="118"/>
      <c r="R25" s="59"/>
    </row>
    <row r="26" ht="15.75" customHeight="1">
      <c r="A26" s="61" t="s">
        <v>51</v>
      </c>
      <c r="B26" s="62">
        <v>33.0</v>
      </c>
      <c r="C26" s="63">
        <f t="shared" si="1"/>
        <v>0.9428571429</v>
      </c>
      <c r="D26" s="64">
        <v>28500.0</v>
      </c>
      <c r="E26" s="116">
        <f t="shared" si="6"/>
        <v>863.6363636</v>
      </c>
      <c r="F26" s="64">
        <v>28500.0</v>
      </c>
      <c r="G26" s="66">
        <f t="shared" si="3"/>
        <v>1</v>
      </c>
      <c r="H26" s="83">
        <v>29269.0</v>
      </c>
      <c r="I26" s="67">
        <v>28500.0</v>
      </c>
      <c r="J26" s="68">
        <f>IF(H26=0,"",H26-I26)</f>
        <v>769</v>
      </c>
      <c r="K26" s="69">
        <f>IFERROR((H26-I26)/H26,"")</f>
        <v>0.02627353172</v>
      </c>
      <c r="L26" s="83">
        <v>32121.0</v>
      </c>
      <c r="M26" s="67">
        <v>23100.0</v>
      </c>
      <c r="N26" s="68">
        <f>IF(L26=0,"",L26-M26)</f>
        <v>9021</v>
      </c>
      <c r="O26" s="69">
        <f>IFERROR((L26-M26)/L26,"")</f>
        <v>0.2808443075</v>
      </c>
      <c r="P26" s="119">
        <f t="shared" ref="P26:Q26" si="10">H26-L26</f>
        <v>-2852</v>
      </c>
      <c r="Q26" s="67">
        <f t="shared" si="10"/>
        <v>5400</v>
      </c>
      <c r="R26" s="71" t="s">
        <v>68</v>
      </c>
    </row>
    <row r="27" ht="15.75" customHeight="1">
      <c r="A27" s="57">
        <f>A25+7</f>
        <v>45753</v>
      </c>
      <c r="B27" s="48">
        <v>31.0</v>
      </c>
      <c r="C27" s="49">
        <f t="shared" si="1"/>
        <v>0.8857142857</v>
      </c>
      <c r="D27" s="50">
        <v>25850.0</v>
      </c>
      <c r="E27" s="117">
        <f t="shared" si="6"/>
        <v>833.8709677</v>
      </c>
      <c r="F27" s="50">
        <v>23967.0</v>
      </c>
      <c r="G27" s="52">
        <f t="shared" si="3"/>
        <v>0.9271566731</v>
      </c>
      <c r="H27" s="53"/>
      <c r="I27" s="53"/>
      <c r="J27" s="54"/>
      <c r="K27" s="55"/>
      <c r="L27" s="53"/>
      <c r="M27" s="53"/>
      <c r="N27" s="55"/>
      <c r="O27" s="55"/>
      <c r="P27" s="115"/>
      <c r="Q27" s="115"/>
      <c r="R27" s="59"/>
    </row>
    <row r="28" ht="15.75" customHeight="1">
      <c r="A28" s="57">
        <f t="shared" ref="A28:A30" si="11">A27+7</f>
        <v>45760</v>
      </c>
      <c r="B28" s="48">
        <v>31.0</v>
      </c>
      <c r="C28" s="49">
        <f t="shared" si="1"/>
        <v>0.8857142857</v>
      </c>
      <c r="D28" s="50">
        <v>25850.0</v>
      </c>
      <c r="E28" s="117">
        <f t="shared" si="6"/>
        <v>833.8709677</v>
      </c>
      <c r="F28" s="50">
        <v>25134.0</v>
      </c>
      <c r="G28" s="52">
        <f t="shared" si="3"/>
        <v>0.9723017408</v>
      </c>
      <c r="H28" s="58"/>
      <c r="I28" s="58"/>
      <c r="J28" s="54"/>
      <c r="K28" s="55"/>
      <c r="L28" s="58"/>
      <c r="M28" s="58"/>
      <c r="N28" s="55"/>
      <c r="O28" s="55"/>
      <c r="P28" s="74"/>
      <c r="Q28" s="74"/>
      <c r="R28" s="59"/>
    </row>
    <row r="29" ht="15.75" customHeight="1">
      <c r="A29" s="57">
        <f t="shared" si="11"/>
        <v>45767</v>
      </c>
      <c r="B29" s="48">
        <v>31.0</v>
      </c>
      <c r="C29" s="49">
        <f t="shared" si="1"/>
        <v>0.8857142857</v>
      </c>
      <c r="D29" s="50">
        <v>25850.0</v>
      </c>
      <c r="E29" s="117">
        <f t="shared" si="6"/>
        <v>833.8709677</v>
      </c>
      <c r="F29" s="50">
        <v>26810.0</v>
      </c>
      <c r="G29" s="52">
        <f t="shared" si="3"/>
        <v>1.037137331</v>
      </c>
      <c r="H29" s="58"/>
      <c r="I29" s="58"/>
      <c r="J29" s="54"/>
      <c r="K29" s="55"/>
      <c r="L29" s="58"/>
      <c r="M29" s="58"/>
      <c r="N29" s="55"/>
      <c r="O29" s="55"/>
      <c r="P29" s="74"/>
      <c r="Q29" s="74"/>
      <c r="R29" s="59"/>
    </row>
    <row r="30" ht="15.75" customHeight="1">
      <c r="A30" s="85">
        <f t="shared" si="11"/>
        <v>45774</v>
      </c>
      <c r="B30" s="48">
        <v>31.0</v>
      </c>
      <c r="C30" s="49">
        <f t="shared" si="1"/>
        <v>0.8857142857</v>
      </c>
      <c r="D30" s="50">
        <v>25850.0</v>
      </c>
      <c r="E30" s="117">
        <f t="shared" si="6"/>
        <v>833.8709677</v>
      </c>
      <c r="F30" s="50">
        <v>27250.0</v>
      </c>
      <c r="G30" s="52">
        <f t="shared" si="3"/>
        <v>1.054158607</v>
      </c>
      <c r="H30" s="82"/>
      <c r="I30" s="82"/>
      <c r="J30" s="54"/>
      <c r="K30" s="55"/>
      <c r="L30" s="82"/>
      <c r="M30" s="82"/>
      <c r="N30" s="55"/>
      <c r="O30" s="55"/>
      <c r="P30" s="118"/>
      <c r="Q30" s="118"/>
      <c r="R30" s="59"/>
    </row>
    <row r="31" ht="15.75" customHeight="1">
      <c r="A31" s="61" t="s">
        <v>51</v>
      </c>
      <c r="B31" s="62">
        <v>33.0</v>
      </c>
      <c r="C31" s="63">
        <f t="shared" si="1"/>
        <v>0.9428571429</v>
      </c>
      <c r="D31" s="64">
        <v>28500.0</v>
      </c>
      <c r="E31" s="116">
        <f t="shared" si="6"/>
        <v>863.6363636</v>
      </c>
      <c r="F31" s="64">
        <v>28500.0</v>
      </c>
      <c r="G31" s="66">
        <f t="shared" si="3"/>
        <v>1</v>
      </c>
      <c r="H31" s="83">
        <v>28318.0</v>
      </c>
      <c r="I31" s="67">
        <v>28500.0</v>
      </c>
      <c r="J31" s="68">
        <f>IF(H31=0,"",H31-I31)</f>
        <v>-182</v>
      </c>
      <c r="K31" s="69">
        <f>IFERROR((H31-I31)/H31,"")</f>
        <v>-0.006427007557</v>
      </c>
      <c r="L31" s="83">
        <v>22554.0</v>
      </c>
      <c r="M31" s="67">
        <v>23100.0</v>
      </c>
      <c r="N31" s="68">
        <f>IF(L31=0,"",L31-M31)</f>
        <v>-546</v>
      </c>
      <c r="O31" s="69">
        <f>IFERROR((L31-M31)/L31,"")</f>
        <v>-0.02420856611</v>
      </c>
      <c r="P31" s="119">
        <f t="shared" ref="P31:Q31" si="12">H31-L31</f>
        <v>5764</v>
      </c>
      <c r="Q31" s="67">
        <f t="shared" si="12"/>
        <v>5400</v>
      </c>
      <c r="R31" s="87"/>
    </row>
    <row r="32" ht="15.75" customHeight="1">
      <c r="A32" s="57">
        <f>A30+7</f>
        <v>45781</v>
      </c>
      <c r="B32" s="48">
        <v>30.0</v>
      </c>
      <c r="C32" s="49">
        <f t="shared" si="1"/>
        <v>0.8571428571</v>
      </c>
      <c r="D32" s="50">
        <v>24875.0</v>
      </c>
      <c r="E32" s="117">
        <f t="shared" si="6"/>
        <v>829.1666667</v>
      </c>
      <c r="F32" s="50">
        <v>14533.0</v>
      </c>
      <c r="G32" s="52">
        <f t="shared" si="3"/>
        <v>0.584241206</v>
      </c>
      <c r="H32" s="53"/>
      <c r="I32" s="53"/>
      <c r="J32" s="54"/>
      <c r="K32" s="55"/>
      <c r="L32" s="53"/>
      <c r="M32" s="53"/>
      <c r="N32" s="55"/>
      <c r="O32" s="55"/>
      <c r="P32" s="115"/>
      <c r="Q32" s="115"/>
      <c r="R32" s="59"/>
    </row>
    <row r="33" ht="15.75" customHeight="1">
      <c r="A33" s="57">
        <f t="shared" ref="A33:A35" si="13">A32+7</f>
        <v>45788</v>
      </c>
      <c r="B33" s="48">
        <v>30.0</v>
      </c>
      <c r="C33" s="49">
        <f t="shared" si="1"/>
        <v>0.8571428571</v>
      </c>
      <c r="D33" s="50">
        <v>24875.0</v>
      </c>
      <c r="E33" s="117">
        <f t="shared" si="6"/>
        <v>829.1666667</v>
      </c>
      <c r="F33" s="50">
        <v>20765.0</v>
      </c>
      <c r="G33" s="52">
        <f t="shared" si="3"/>
        <v>0.8347738693</v>
      </c>
      <c r="H33" s="58"/>
      <c r="I33" s="58"/>
      <c r="J33" s="54"/>
      <c r="K33" s="55"/>
      <c r="L33" s="58"/>
      <c r="M33" s="58"/>
      <c r="N33" s="55"/>
      <c r="O33" s="55"/>
      <c r="P33" s="74"/>
      <c r="Q33" s="74"/>
      <c r="R33" s="86"/>
    </row>
    <row r="34" ht="15.75" customHeight="1">
      <c r="A34" s="57">
        <f t="shared" si="13"/>
        <v>45795</v>
      </c>
      <c r="B34" s="48">
        <v>30.0</v>
      </c>
      <c r="C34" s="49">
        <f t="shared" si="1"/>
        <v>0.8571428571</v>
      </c>
      <c r="D34" s="50">
        <v>24875.0</v>
      </c>
      <c r="E34" s="117">
        <f t="shared" si="6"/>
        <v>829.1666667</v>
      </c>
      <c r="F34" s="50">
        <v>20765.0</v>
      </c>
      <c r="G34" s="52">
        <f t="shared" si="3"/>
        <v>0.8347738693</v>
      </c>
      <c r="H34" s="58"/>
      <c r="I34" s="58"/>
      <c r="J34" s="54"/>
      <c r="K34" s="55"/>
      <c r="L34" s="58"/>
      <c r="M34" s="58"/>
      <c r="N34" s="55"/>
      <c r="O34" s="55"/>
      <c r="P34" s="74"/>
      <c r="Q34" s="74"/>
      <c r="R34" s="86"/>
    </row>
    <row r="35" ht="15.75" customHeight="1">
      <c r="A35" s="57">
        <f t="shared" si="13"/>
        <v>45802</v>
      </c>
      <c r="B35" s="48">
        <v>30.0</v>
      </c>
      <c r="C35" s="49">
        <f t="shared" si="1"/>
        <v>0.8571428571</v>
      </c>
      <c r="D35" s="50">
        <v>24875.0</v>
      </c>
      <c r="E35" s="117">
        <f t="shared" si="6"/>
        <v>829.1666667</v>
      </c>
      <c r="F35" s="50">
        <v>22206.0</v>
      </c>
      <c r="G35" s="52">
        <f t="shared" si="3"/>
        <v>0.8927035176</v>
      </c>
      <c r="H35" s="60"/>
      <c r="I35" s="60"/>
      <c r="J35" s="54"/>
      <c r="K35" s="55"/>
      <c r="L35" s="58"/>
      <c r="M35" s="58"/>
      <c r="N35" s="55"/>
      <c r="O35" s="55"/>
      <c r="P35" s="74"/>
      <c r="Q35" s="74"/>
      <c r="R35" s="86"/>
    </row>
    <row r="36" ht="15.75" customHeight="1">
      <c r="A36" s="61" t="s">
        <v>51</v>
      </c>
      <c r="B36" s="120">
        <v>33.0</v>
      </c>
      <c r="C36" s="63">
        <f t="shared" si="1"/>
        <v>0.9428571429</v>
      </c>
      <c r="D36" s="64">
        <v>28500.0</v>
      </c>
      <c r="E36" s="116">
        <f t="shared" si="6"/>
        <v>863.6363636</v>
      </c>
      <c r="F36" s="64">
        <v>28500.0</v>
      </c>
      <c r="G36" s="66">
        <f t="shared" si="3"/>
        <v>1</v>
      </c>
      <c r="H36" s="67">
        <v>25889.0</v>
      </c>
      <c r="I36" s="67">
        <v>28500.0</v>
      </c>
      <c r="J36" s="68">
        <f>IF(H36=0,"",H36-I36)</f>
        <v>-2611</v>
      </c>
      <c r="K36" s="69">
        <f>IFERROR((H36-I36)/H36,"")</f>
        <v>-0.1008536444</v>
      </c>
      <c r="L36" s="67">
        <v>25143.0</v>
      </c>
      <c r="M36" s="67">
        <v>23100.0</v>
      </c>
      <c r="N36" s="68">
        <f>IF(L36=0,"",L36-M36)</f>
        <v>2043</v>
      </c>
      <c r="O36" s="69">
        <f>IFERROR((L36-M36)/L36,"")</f>
        <v>0.08125522014</v>
      </c>
      <c r="P36" s="70">
        <f t="shared" ref="P36:Q36" si="14">H36-L36</f>
        <v>746</v>
      </c>
      <c r="Q36" s="67">
        <f t="shared" si="14"/>
        <v>5400</v>
      </c>
      <c r="R36" s="71" t="s">
        <v>69</v>
      </c>
    </row>
    <row r="37" ht="15.75" customHeight="1">
      <c r="A37" s="57">
        <f>A35+7</f>
        <v>45809</v>
      </c>
      <c r="B37" s="48">
        <v>30.0</v>
      </c>
      <c r="C37" s="49">
        <f t="shared" si="1"/>
        <v>0.8571428571</v>
      </c>
      <c r="D37" s="50">
        <v>24875.0</v>
      </c>
      <c r="E37" s="117">
        <f t="shared" si="6"/>
        <v>829.1666667</v>
      </c>
      <c r="F37" s="50">
        <v>8869.0</v>
      </c>
      <c r="G37" s="72">
        <f t="shared" si="3"/>
        <v>0.3565427136</v>
      </c>
      <c r="H37" s="74"/>
      <c r="I37" s="80"/>
      <c r="J37" s="75"/>
      <c r="K37" s="55"/>
      <c r="L37" s="60"/>
      <c r="M37" s="60"/>
      <c r="N37" s="55"/>
      <c r="O37" s="55"/>
      <c r="P37" s="74"/>
      <c r="Q37" s="74"/>
      <c r="R37" s="86"/>
    </row>
    <row r="38" ht="15.75" customHeight="1">
      <c r="A38" s="57">
        <f t="shared" ref="A38:A41" si="15">A37+7</f>
        <v>45816</v>
      </c>
      <c r="B38" s="48">
        <v>30.0</v>
      </c>
      <c r="C38" s="49">
        <f t="shared" si="1"/>
        <v>0.8571428571</v>
      </c>
      <c r="D38" s="50">
        <v>24875.0</v>
      </c>
      <c r="E38" s="117">
        <f t="shared" si="6"/>
        <v>829.1666667</v>
      </c>
      <c r="F38" s="50">
        <v>19595.0</v>
      </c>
      <c r="G38" s="52">
        <f t="shared" si="3"/>
        <v>0.7877386935</v>
      </c>
      <c r="H38" s="78"/>
      <c r="I38" s="78"/>
      <c r="J38" s="54"/>
      <c r="K38" s="76"/>
      <c r="L38" s="74"/>
      <c r="M38" s="74"/>
      <c r="N38" s="77"/>
      <c r="O38" s="55"/>
      <c r="P38" s="74"/>
      <c r="Q38" s="74"/>
      <c r="R38" s="86"/>
    </row>
    <row r="39" ht="15.75" customHeight="1">
      <c r="A39" s="57">
        <f t="shared" si="15"/>
        <v>45823</v>
      </c>
      <c r="B39" s="48">
        <v>30.0</v>
      </c>
      <c r="C39" s="49">
        <f t="shared" si="1"/>
        <v>0.8571428571</v>
      </c>
      <c r="D39" s="50">
        <v>24875.0</v>
      </c>
      <c r="E39" s="117">
        <f t="shared" si="6"/>
        <v>829.1666667</v>
      </c>
      <c r="F39" s="50">
        <v>21964.0</v>
      </c>
      <c r="G39" s="52">
        <f t="shared" si="3"/>
        <v>0.8829748744</v>
      </c>
      <c r="H39" s="58"/>
      <c r="I39" s="58"/>
      <c r="J39" s="54"/>
      <c r="K39" s="55"/>
      <c r="L39" s="78"/>
      <c r="M39" s="78"/>
      <c r="N39" s="55"/>
      <c r="O39" s="55"/>
      <c r="P39" s="74"/>
      <c r="Q39" s="74"/>
      <c r="R39" s="86"/>
    </row>
    <row r="40" ht="15.75" customHeight="1">
      <c r="A40" s="57">
        <f t="shared" si="15"/>
        <v>45830</v>
      </c>
      <c r="B40" s="48">
        <v>32.0</v>
      </c>
      <c r="C40" s="49">
        <f t="shared" si="1"/>
        <v>0.9142857143</v>
      </c>
      <c r="D40" s="50">
        <v>26725.0</v>
      </c>
      <c r="E40" s="117">
        <f t="shared" si="6"/>
        <v>835.15625</v>
      </c>
      <c r="F40" s="50">
        <v>21904.0</v>
      </c>
      <c r="G40" s="52">
        <f t="shared" si="3"/>
        <v>0.8196071094</v>
      </c>
      <c r="H40" s="58"/>
      <c r="I40" s="58"/>
      <c r="J40" s="54"/>
      <c r="K40" s="55"/>
      <c r="L40" s="58"/>
      <c r="M40" s="58"/>
      <c r="N40" s="55"/>
      <c r="O40" s="55"/>
      <c r="P40" s="74"/>
      <c r="Q40" s="74"/>
      <c r="R40" s="86"/>
    </row>
    <row r="41" ht="15.75" customHeight="1">
      <c r="A41" s="57">
        <f t="shared" si="15"/>
        <v>45837</v>
      </c>
      <c r="B41" s="48">
        <v>34.0</v>
      </c>
      <c r="C41" s="49">
        <f t="shared" si="1"/>
        <v>0.9714285714</v>
      </c>
      <c r="D41" s="50">
        <v>28517.0</v>
      </c>
      <c r="E41" s="117">
        <f t="shared" si="6"/>
        <v>838.7352941</v>
      </c>
      <c r="F41" s="50">
        <v>22576.0</v>
      </c>
      <c r="G41" s="52">
        <f t="shared" si="3"/>
        <v>0.7916681278</v>
      </c>
      <c r="H41" s="82"/>
      <c r="I41" s="82"/>
      <c r="J41" s="54"/>
      <c r="K41" s="55"/>
      <c r="L41" s="82"/>
      <c r="M41" s="82"/>
      <c r="N41" s="55"/>
      <c r="O41" s="55"/>
      <c r="P41" s="118"/>
      <c r="Q41" s="118"/>
      <c r="R41" s="86"/>
    </row>
    <row r="42" ht="15.75" customHeight="1">
      <c r="A42" s="61" t="s">
        <v>51</v>
      </c>
      <c r="B42" s="120">
        <v>33.0</v>
      </c>
      <c r="C42" s="63">
        <f t="shared" si="1"/>
        <v>0.9428571429</v>
      </c>
      <c r="D42" s="64">
        <v>28500.0</v>
      </c>
      <c r="E42" s="116">
        <f t="shared" si="6"/>
        <v>863.6363636</v>
      </c>
      <c r="F42" s="64">
        <v>28500.0</v>
      </c>
      <c r="G42" s="66">
        <f t="shared" si="3"/>
        <v>1</v>
      </c>
      <c r="H42" s="83">
        <v>20382.0</v>
      </c>
      <c r="I42" s="67">
        <v>28500.0</v>
      </c>
      <c r="J42" s="68">
        <f>IF(H42=0,"",H42-I42)</f>
        <v>-8118</v>
      </c>
      <c r="K42" s="69">
        <f>IFERROR((H42-I42)/H42,"")</f>
        <v>-0.3982926111</v>
      </c>
      <c r="L42" s="83">
        <v>44238.0</v>
      </c>
      <c r="M42" s="67">
        <v>23100.0</v>
      </c>
      <c r="N42" s="68">
        <f>IF(L42=0,"",L42-M42)</f>
        <v>21138</v>
      </c>
      <c r="O42" s="69">
        <f>IFERROR((L42-M42)/L42,"")</f>
        <v>0.4778244948</v>
      </c>
      <c r="P42" s="119">
        <f t="shared" ref="P42:Q42" si="16">H42-L42</f>
        <v>-23856</v>
      </c>
      <c r="Q42" s="67">
        <f t="shared" si="16"/>
        <v>5400</v>
      </c>
      <c r="R42" s="71" t="s">
        <v>70</v>
      </c>
    </row>
    <row r="43" ht="15.75" customHeight="1">
      <c r="A43" s="57">
        <f>A41+7</f>
        <v>45844</v>
      </c>
      <c r="B43" s="48">
        <v>33.0</v>
      </c>
      <c r="C43" s="49">
        <f t="shared" si="1"/>
        <v>0.9428571429</v>
      </c>
      <c r="D43" s="50">
        <v>27967.0</v>
      </c>
      <c r="E43" s="117">
        <f t="shared" si="6"/>
        <v>847.4848485</v>
      </c>
      <c r="F43" s="50">
        <v>25679.0</v>
      </c>
      <c r="G43" s="52">
        <f t="shared" si="3"/>
        <v>0.9181892945</v>
      </c>
      <c r="H43" s="53"/>
      <c r="I43" s="53"/>
      <c r="J43" s="54"/>
      <c r="K43" s="55"/>
      <c r="L43" s="53"/>
      <c r="M43" s="53"/>
      <c r="N43" s="55"/>
      <c r="O43" s="55"/>
      <c r="P43" s="115"/>
      <c r="Q43" s="115"/>
      <c r="R43" s="86"/>
    </row>
    <row r="44" ht="15.75" customHeight="1">
      <c r="A44" s="57">
        <f t="shared" ref="A44:A46" si="17">A43+7</f>
        <v>45851</v>
      </c>
      <c r="B44" s="48">
        <v>33.0</v>
      </c>
      <c r="C44" s="49">
        <f t="shared" si="1"/>
        <v>0.9428571429</v>
      </c>
      <c r="D44" s="50">
        <v>27967.0</v>
      </c>
      <c r="E44" s="117">
        <f t="shared" si="6"/>
        <v>847.4848485</v>
      </c>
      <c r="F44" s="50">
        <v>26454.0</v>
      </c>
      <c r="G44" s="52">
        <f t="shared" si="3"/>
        <v>0.9459005256</v>
      </c>
      <c r="H44" s="58"/>
      <c r="I44" s="58"/>
      <c r="J44" s="54"/>
      <c r="K44" s="55"/>
      <c r="L44" s="58"/>
      <c r="M44" s="58"/>
      <c r="N44" s="55"/>
      <c r="O44" s="55"/>
      <c r="P44" s="74"/>
      <c r="Q44" s="74"/>
      <c r="R44" s="86"/>
    </row>
    <row r="45" ht="15.75" customHeight="1">
      <c r="A45" s="57">
        <f t="shared" si="17"/>
        <v>45858</v>
      </c>
      <c r="B45" s="48">
        <v>33.0</v>
      </c>
      <c r="C45" s="49">
        <f t="shared" si="1"/>
        <v>0.9428571429</v>
      </c>
      <c r="D45" s="50">
        <v>27967.0</v>
      </c>
      <c r="E45" s="117">
        <f t="shared" si="6"/>
        <v>847.4848485</v>
      </c>
      <c r="F45" s="50">
        <v>28374.0</v>
      </c>
      <c r="G45" s="52">
        <f t="shared" si="3"/>
        <v>1.014552866</v>
      </c>
      <c r="H45" s="58"/>
      <c r="I45" s="58"/>
      <c r="J45" s="54"/>
      <c r="K45" s="55"/>
      <c r="L45" s="58"/>
      <c r="M45" s="58"/>
      <c r="N45" s="55"/>
      <c r="O45" s="55"/>
      <c r="P45" s="74"/>
      <c r="Q45" s="74"/>
      <c r="R45" s="86"/>
    </row>
    <row r="46" ht="15.75" customHeight="1">
      <c r="A46" s="57">
        <f t="shared" si="17"/>
        <v>45865</v>
      </c>
      <c r="B46" s="48">
        <v>33.0</v>
      </c>
      <c r="C46" s="49">
        <f t="shared" si="1"/>
        <v>0.9428571429</v>
      </c>
      <c r="D46" s="50">
        <v>27967.0</v>
      </c>
      <c r="E46" s="117">
        <f t="shared" si="6"/>
        <v>847.4848485</v>
      </c>
      <c r="F46" s="50">
        <v>29679.0</v>
      </c>
      <c r="G46" s="52">
        <f t="shared" si="3"/>
        <v>1.061215003</v>
      </c>
      <c r="H46" s="82"/>
      <c r="I46" s="82"/>
      <c r="J46" s="54"/>
      <c r="K46" s="55"/>
      <c r="L46" s="82"/>
      <c r="M46" s="82"/>
      <c r="N46" s="55"/>
      <c r="O46" s="55"/>
      <c r="P46" s="118"/>
      <c r="Q46" s="118"/>
      <c r="R46" s="86"/>
    </row>
    <row r="47" ht="15.75" customHeight="1">
      <c r="A47" s="61" t="s">
        <v>51</v>
      </c>
      <c r="B47" s="120">
        <v>33.0</v>
      </c>
      <c r="C47" s="63">
        <f t="shared" si="1"/>
        <v>0.9428571429</v>
      </c>
      <c r="D47" s="64">
        <v>29000.0</v>
      </c>
      <c r="E47" s="116">
        <f t="shared" si="6"/>
        <v>878.7878788</v>
      </c>
      <c r="F47" s="64">
        <v>29000.0</v>
      </c>
      <c r="G47" s="66">
        <f t="shared" si="3"/>
        <v>1</v>
      </c>
      <c r="H47" s="83">
        <v>32669.0</v>
      </c>
      <c r="I47" s="67">
        <v>29000.0</v>
      </c>
      <c r="J47" s="68">
        <f>IF(H47=0,"",H47-I47)</f>
        <v>3669</v>
      </c>
      <c r="K47" s="69">
        <f>IFERROR((H47-I47)/H47,"")</f>
        <v>0.1123083045</v>
      </c>
      <c r="L47" s="83">
        <v>29165.0</v>
      </c>
      <c r="M47" s="67">
        <v>23100.0</v>
      </c>
      <c r="N47" s="68">
        <f>IF(L47=0,"",L47-M47)</f>
        <v>6065</v>
      </c>
      <c r="O47" s="69">
        <f>IFERROR((L47-M47)/L47,"")</f>
        <v>0.2079547403</v>
      </c>
      <c r="P47" s="119">
        <f t="shared" ref="P47:Q47" si="18">H47-L47</f>
        <v>3504</v>
      </c>
      <c r="Q47" s="67">
        <f t="shared" si="18"/>
        <v>5900</v>
      </c>
      <c r="R47" s="71" t="s">
        <v>71</v>
      </c>
    </row>
    <row r="48" ht="15.75" customHeight="1">
      <c r="A48" s="57">
        <f>A46+7</f>
        <v>45872</v>
      </c>
      <c r="B48" s="48">
        <v>34.0</v>
      </c>
      <c r="C48" s="49">
        <f t="shared" si="1"/>
        <v>0.9714285714</v>
      </c>
      <c r="D48" s="50">
        <v>28885.0</v>
      </c>
      <c r="E48" s="117">
        <f t="shared" si="6"/>
        <v>849.5588235</v>
      </c>
      <c r="F48" s="50">
        <v>18935.0</v>
      </c>
      <c r="G48" s="52">
        <f t="shared" si="3"/>
        <v>0.6555305522</v>
      </c>
      <c r="H48" s="53"/>
      <c r="I48" s="53"/>
      <c r="J48" s="54"/>
      <c r="K48" s="55"/>
      <c r="L48" s="53"/>
      <c r="M48" s="53"/>
      <c r="N48" s="55"/>
      <c r="O48" s="55"/>
      <c r="P48" s="115"/>
      <c r="Q48" s="115"/>
      <c r="R48" s="86"/>
    </row>
    <row r="49" ht="15.75" customHeight="1">
      <c r="A49" s="57">
        <f t="shared" ref="A49:A52" si="19">A48+7</f>
        <v>45879</v>
      </c>
      <c r="B49" s="48">
        <v>33.0</v>
      </c>
      <c r="C49" s="49">
        <f t="shared" si="1"/>
        <v>0.9428571429</v>
      </c>
      <c r="D49" s="50">
        <v>28035.0</v>
      </c>
      <c r="E49" s="117">
        <f t="shared" si="6"/>
        <v>849.5454545</v>
      </c>
      <c r="F49" s="50">
        <v>24139.0</v>
      </c>
      <c r="G49" s="52">
        <f t="shared" si="3"/>
        <v>0.8610308543</v>
      </c>
      <c r="H49" s="58"/>
      <c r="I49" s="58"/>
      <c r="J49" s="54"/>
      <c r="K49" s="55"/>
      <c r="L49" s="58"/>
      <c r="M49" s="58"/>
      <c r="N49" s="55"/>
      <c r="O49" s="55"/>
      <c r="P49" s="74"/>
      <c r="Q49" s="74"/>
      <c r="R49" s="86"/>
    </row>
    <row r="50" ht="15.75" customHeight="1">
      <c r="A50" s="57">
        <f t="shared" si="19"/>
        <v>45886</v>
      </c>
      <c r="B50" s="48">
        <v>33.0</v>
      </c>
      <c r="C50" s="49">
        <f t="shared" si="1"/>
        <v>0.9428571429</v>
      </c>
      <c r="D50" s="50">
        <v>28035.0</v>
      </c>
      <c r="E50" s="117">
        <f t="shared" si="6"/>
        <v>849.5454545</v>
      </c>
      <c r="F50" s="50">
        <v>26896.0</v>
      </c>
      <c r="G50" s="52">
        <f t="shared" si="3"/>
        <v>0.9593722133</v>
      </c>
      <c r="H50" s="58"/>
      <c r="I50" s="58"/>
      <c r="J50" s="54"/>
      <c r="K50" s="55"/>
      <c r="L50" s="58"/>
      <c r="M50" s="58"/>
      <c r="N50" s="55"/>
      <c r="O50" s="55"/>
      <c r="P50" s="74"/>
      <c r="Q50" s="74"/>
      <c r="R50" s="86"/>
    </row>
    <row r="51" ht="15.75" customHeight="1">
      <c r="A51" s="57">
        <f t="shared" si="19"/>
        <v>45893</v>
      </c>
      <c r="B51" s="48">
        <v>33.0</v>
      </c>
      <c r="C51" s="49">
        <f t="shared" si="1"/>
        <v>0.9428571429</v>
      </c>
      <c r="D51" s="50">
        <v>28035.0</v>
      </c>
      <c r="E51" s="117">
        <f t="shared" si="6"/>
        <v>849.5454545</v>
      </c>
      <c r="F51" s="50">
        <v>29599.0</v>
      </c>
      <c r="G51" s="52">
        <f t="shared" si="3"/>
        <v>1.055787409</v>
      </c>
      <c r="H51" s="60"/>
      <c r="I51" s="60"/>
      <c r="J51" s="54"/>
      <c r="K51" s="55"/>
      <c r="L51" s="58"/>
      <c r="M51" s="58"/>
      <c r="N51" s="55"/>
      <c r="O51" s="55"/>
      <c r="P51" s="74"/>
      <c r="Q51" s="74"/>
      <c r="R51" s="86"/>
    </row>
    <row r="52" ht="15.75" customHeight="1">
      <c r="A52" s="57">
        <f t="shared" si="19"/>
        <v>45900</v>
      </c>
      <c r="B52" s="48">
        <v>33.0</v>
      </c>
      <c r="C52" s="49">
        <f t="shared" si="1"/>
        <v>0.9428571429</v>
      </c>
      <c r="D52" s="50">
        <v>28035.0</v>
      </c>
      <c r="E52" s="117">
        <f t="shared" si="6"/>
        <v>849.5454545</v>
      </c>
      <c r="F52" s="50">
        <v>29608.0</v>
      </c>
      <c r="G52" s="72">
        <f t="shared" si="3"/>
        <v>1.056108436</v>
      </c>
      <c r="H52" s="74"/>
      <c r="I52" s="80"/>
      <c r="J52" s="75"/>
      <c r="K52" s="55"/>
      <c r="L52" s="60"/>
      <c r="M52" s="60"/>
      <c r="N52" s="55"/>
      <c r="O52" s="55"/>
      <c r="P52" s="74"/>
      <c r="Q52" s="74"/>
      <c r="R52" s="86"/>
    </row>
    <row r="53" ht="15.75" customHeight="1">
      <c r="A53" s="61" t="s">
        <v>51</v>
      </c>
      <c r="B53" s="120">
        <v>33.0</v>
      </c>
      <c r="C53" s="63">
        <f t="shared" si="1"/>
        <v>0.9428571429</v>
      </c>
      <c r="D53" s="64">
        <v>29000.0</v>
      </c>
      <c r="E53" s="116">
        <f t="shared" si="6"/>
        <v>878.7878788</v>
      </c>
      <c r="F53" s="64">
        <v>29000.0</v>
      </c>
      <c r="G53" s="66">
        <f t="shared" si="3"/>
        <v>1</v>
      </c>
      <c r="H53" s="67">
        <v>35461.0</v>
      </c>
      <c r="I53" s="67">
        <v>29000.0</v>
      </c>
      <c r="J53" s="68">
        <f>IF(H53=0,"",H53-I53)</f>
        <v>6461</v>
      </c>
      <c r="K53" s="69">
        <f>IFERROR((H53-I53)/H53,"")</f>
        <v>0.1822001636</v>
      </c>
      <c r="L53" s="67">
        <v>19675.0</v>
      </c>
      <c r="M53" s="67">
        <v>23100.0</v>
      </c>
      <c r="N53" s="68">
        <f>IF(L53=0,"",L53-M53)</f>
        <v>-3425</v>
      </c>
      <c r="O53" s="69">
        <f>IFERROR((L53-M53)/L53,"")</f>
        <v>-0.1740787802</v>
      </c>
      <c r="P53" s="70">
        <f t="shared" ref="P53:Q53" si="20">H53-L53</f>
        <v>15786</v>
      </c>
      <c r="Q53" s="67">
        <f t="shared" si="20"/>
        <v>5900</v>
      </c>
      <c r="R53" s="87"/>
    </row>
    <row r="54" ht="15.75" customHeight="1">
      <c r="A54" s="57">
        <f>A52+7</f>
        <v>45907</v>
      </c>
      <c r="B54" s="48">
        <v>33.0</v>
      </c>
      <c r="C54" s="49">
        <f t="shared" si="1"/>
        <v>0.9428571429</v>
      </c>
      <c r="D54" s="50">
        <v>27960.0</v>
      </c>
      <c r="E54" s="117">
        <f t="shared" si="6"/>
        <v>847.2727273</v>
      </c>
      <c r="F54" s="50">
        <v>26174.0</v>
      </c>
      <c r="G54" s="52">
        <f t="shared" si="3"/>
        <v>0.9361230329</v>
      </c>
      <c r="H54" s="78"/>
      <c r="I54" s="78"/>
      <c r="J54" s="54"/>
      <c r="K54" s="76"/>
      <c r="L54" s="74"/>
      <c r="M54" s="74"/>
      <c r="N54" s="77"/>
      <c r="O54" s="55"/>
      <c r="P54" s="74"/>
      <c r="Q54" s="74"/>
      <c r="R54" s="86"/>
    </row>
    <row r="55" ht="15.75" customHeight="1">
      <c r="A55" s="57">
        <f t="shared" ref="A55:A57" si="21">A54+7</f>
        <v>45914</v>
      </c>
      <c r="B55" s="48">
        <v>33.0</v>
      </c>
      <c r="C55" s="49">
        <f t="shared" si="1"/>
        <v>0.9428571429</v>
      </c>
      <c r="D55" s="50">
        <v>27960.0</v>
      </c>
      <c r="E55" s="117">
        <f t="shared" si="6"/>
        <v>847.2727273</v>
      </c>
      <c r="F55" s="50">
        <v>27124.0</v>
      </c>
      <c r="G55" s="52">
        <f t="shared" si="3"/>
        <v>0.9701001431</v>
      </c>
      <c r="H55" s="58"/>
      <c r="I55" s="58"/>
      <c r="J55" s="54"/>
      <c r="K55" s="55"/>
      <c r="L55" s="78"/>
      <c r="M55" s="78"/>
      <c r="N55" s="55"/>
      <c r="O55" s="55"/>
      <c r="P55" s="74"/>
      <c r="Q55" s="74"/>
      <c r="R55" s="86"/>
    </row>
    <row r="56" ht="15.75" customHeight="1">
      <c r="A56" s="57">
        <f t="shared" si="21"/>
        <v>45921</v>
      </c>
      <c r="B56" s="48">
        <v>33.0</v>
      </c>
      <c r="C56" s="49">
        <f t="shared" si="1"/>
        <v>0.9428571429</v>
      </c>
      <c r="D56" s="50">
        <v>27960.0</v>
      </c>
      <c r="E56" s="117">
        <f t="shared" si="6"/>
        <v>847.2727273</v>
      </c>
      <c r="F56" s="50">
        <v>28668.0</v>
      </c>
      <c r="G56" s="52">
        <f t="shared" si="3"/>
        <v>1.025321888</v>
      </c>
      <c r="H56" s="58"/>
      <c r="I56" s="58"/>
      <c r="J56" s="54"/>
      <c r="K56" s="55"/>
      <c r="L56" s="58"/>
      <c r="M56" s="58"/>
      <c r="N56" s="55"/>
      <c r="O56" s="55"/>
      <c r="P56" s="74"/>
      <c r="Q56" s="74"/>
      <c r="R56" s="86"/>
    </row>
    <row r="57" ht="15.75" customHeight="1">
      <c r="A57" s="57">
        <f t="shared" si="21"/>
        <v>45928</v>
      </c>
      <c r="B57" s="48">
        <v>33.0</v>
      </c>
      <c r="C57" s="49">
        <f t="shared" si="1"/>
        <v>0.9428571429</v>
      </c>
      <c r="D57" s="50">
        <v>27960.0</v>
      </c>
      <c r="E57" s="117">
        <f t="shared" si="6"/>
        <v>847.2727273</v>
      </c>
      <c r="F57" s="50">
        <v>28668.0</v>
      </c>
      <c r="G57" s="52">
        <f t="shared" si="3"/>
        <v>1.025321888</v>
      </c>
      <c r="H57" s="82"/>
      <c r="I57" s="82"/>
      <c r="J57" s="54"/>
      <c r="K57" s="55"/>
      <c r="L57" s="82"/>
      <c r="M57" s="82"/>
      <c r="N57" s="55"/>
      <c r="O57" s="55"/>
      <c r="P57" s="118"/>
      <c r="Q57" s="118"/>
      <c r="R57" s="86"/>
    </row>
    <row r="58" ht="15.75" customHeight="1">
      <c r="A58" s="61" t="s">
        <v>51</v>
      </c>
      <c r="B58" s="120">
        <v>33.0</v>
      </c>
      <c r="C58" s="63">
        <f t="shared" si="1"/>
        <v>0.9428571429</v>
      </c>
      <c r="D58" s="64">
        <v>29000.0</v>
      </c>
      <c r="E58" s="116">
        <f t="shared" si="6"/>
        <v>878.7878788</v>
      </c>
      <c r="F58" s="64">
        <v>29000.0</v>
      </c>
      <c r="G58" s="66">
        <f t="shared" si="3"/>
        <v>1</v>
      </c>
      <c r="H58" s="83">
        <v>24464.0</v>
      </c>
      <c r="I58" s="67">
        <v>29000.0</v>
      </c>
      <c r="J58" s="68">
        <f>IF(H58=0,"",H58-I58)</f>
        <v>-4536</v>
      </c>
      <c r="K58" s="69">
        <f>IFERROR((H58-I58)/H58,"")</f>
        <v>-0.1854153041</v>
      </c>
      <c r="L58" s="83">
        <v>27486.0</v>
      </c>
      <c r="M58" s="67">
        <v>23100.0</v>
      </c>
      <c r="N58" s="68">
        <f>IF(L58=0,"",L58-M58)</f>
        <v>4386</v>
      </c>
      <c r="O58" s="69">
        <f>IFERROR((L58-M58)/L58,"")</f>
        <v>0.1595721458</v>
      </c>
      <c r="P58" s="119">
        <f t="shared" ref="P58:Q58" si="22">H58-L58</f>
        <v>-3022</v>
      </c>
      <c r="Q58" s="67">
        <f t="shared" si="22"/>
        <v>5900</v>
      </c>
      <c r="R58" s="71" t="s">
        <v>72</v>
      </c>
    </row>
    <row r="59" ht="15.75" customHeight="1">
      <c r="A59" s="57">
        <f>A57+7</f>
        <v>45935</v>
      </c>
      <c r="B59" s="48">
        <v>33.0</v>
      </c>
      <c r="C59" s="49">
        <f t="shared" si="1"/>
        <v>0.9428571429</v>
      </c>
      <c r="D59" s="50">
        <v>28110.0</v>
      </c>
      <c r="E59" s="117">
        <f t="shared" si="6"/>
        <v>851.8181818</v>
      </c>
      <c r="F59" s="50">
        <v>19585.0</v>
      </c>
      <c r="G59" s="52">
        <f t="shared" si="3"/>
        <v>0.6967271434</v>
      </c>
      <c r="H59" s="53"/>
      <c r="I59" s="53"/>
      <c r="J59" s="54"/>
      <c r="K59" s="55"/>
      <c r="L59" s="53"/>
      <c r="M59" s="53"/>
      <c r="N59" s="55"/>
      <c r="O59" s="55"/>
      <c r="P59" s="115"/>
      <c r="Q59" s="115"/>
      <c r="R59" s="86"/>
    </row>
    <row r="60" ht="15.75" customHeight="1">
      <c r="A60" s="57">
        <f t="shared" ref="A60:A62" si="23">A59+7</f>
        <v>45942</v>
      </c>
      <c r="B60" s="48">
        <v>33.0</v>
      </c>
      <c r="C60" s="49">
        <f t="shared" si="1"/>
        <v>0.9428571429</v>
      </c>
      <c r="D60" s="50">
        <v>28110.0</v>
      </c>
      <c r="E60" s="117">
        <f t="shared" si="6"/>
        <v>851.8181818</v>
      </c>
      <c r="F60" s="50">
        <v>24755.0</v>
      </c>
      <c r="G60" s="52">
        <f t="shared" si="3"/>
        <v>0.8806474564</v>
      </c>
      <c r="H60" s="58"/>
      <c r="I60" s="58"/>
      <c r="J60" s="54"/>
      <c r="K60" s="55"/>
      <c r="L60" s="58"/>
      <c r="M60" s="58"/>
      <c r="N60" s="55"/>
      <c r="O60" s="55"/>
      <c r="P60" s="74"/>
      <c r="Q60" s="74"/>
      <c r="R60" s="86"/>
    </row>
    <row r="61" ht="15.75" customHeight="1">
      <c r="A61" s="57">
        <f t="shared" si="23"/>
        <v>45949</v>
      </c>
      <c r="B61" s="48">
        <v>33.0</v>
      </c>
      <c r="C61" s="49">
        <f t="shared" si="1"/>
        <v>0.9428571429</v>
      </c>
      <c r="D61" s="50">
        <v>28110.0</v>
      </c>
      <c r="E61" s="117">
        <f t="shared" si="6"/>
        <v>851.8181818</v>
      </c>
      <c r="F61" s="50">
        <v>27510.0</v>
      </c>
      <c r="G61" s="52">
        <f t="shared" si="3"/>
        <v>0.9786552828</v>
      </c>
      <c r="H61" s="58"/>
      <c r="I61" s="58"/>
      <c r="J61" s="54"/>
      <c r="K61" s="55"/>
      <c r="L61" s="58"/>
      <c r="M61" s="58"/>
      <c r="N61" s="55"/>
      <c r="O61" s="55"/>
      <c r="P61" s="74"/>
      <c r="Q61" s="74"/>
      <c r="R61" s="86"/>
    </row>
    <row r="62" ht="15.75" customHeight="1">
      <c r="A62" s="57">
        <f t="shared" si="23"/>
        <v>45956</v>
      </c>
      <c r="B62" s="48">
        <v>33.0</v>
      </c>
      <c r="C62" s="49">
        <f t="shared" si="1"/>
        <v>0.9428571429</v>
      </c>
      <c r="D62" s="50">
        <v>28110.0</v>
      </c>
      <c r="E62" s="117">
        <f t="shared" si="6"/>
        <v>851.8181818</v>
      </c>
      <c r="F62" s="50">
        <v>27510.0</v>
      </c>
      <c r="G62" s="52">
        <f t="shared" si="3"/>
        <v>0.9786552828</v>
      </c>
      <c r="H62" s="60"/>
      <c r="I62" s="60"/>
      <c r="J62" s="54"/>
      <c r="K62" s="55"/>
      <c r="L62" s="58"/>
      <c r="M62" s="58"/>
      <c r="N62" s="55"/>
      <c r="O62" s="55"/>
      <c r="P62" s="74"/>
      <c r="Q62" s="74"/>
      <c r="R62" s="86"/>
    </row>
    <row r="63" ht="15.75" customHeight="1">
      <c r="A63" s="61" t="s">
        <v>51</v>
      </c>
      <c r="B63" s="120">
        <v>33.0</v>
      </c>
      <c r="C63" s="121">
        <f t="shared" si="1"/>
        <v>0.9428571429</v>
      </c>
      <c r="D63" s="64">
        <v>29000.0</v>
      </c>
      <c r="E63" s="116">
        <f t="shared" si="6"/>
        <v>878.7878788</v>
      </c>
      <c r="F63" s="64">
        <v>29000.0</v>
      </c>
      <c r="G63" s="66">
        <f t="shared" si="3"/>
        <v>1</v>
      </c>
      <c r="H63" s="67">
        <v>33145.0</v>
      </c>
      <c r="I63" s="67">
        <v>29000.0</v>
      </c>
      <c r="J63" s="68">
        <f>IF(H63=0,"",H63-I63)</f>
        <v>4145</v>
      </c>
      <c r="K63" s="69">
        <f>IFERROR((H63-I63)/H63,"")</f>
        <v>0.1250565696</v>
      </c>
      <c r="L63" s="67">
        <v>32278.0</v>
      </c>
      <c r="M63" s="67">
        <v>23100.0</v>
      </c>
      <c r="N63" s="68">
        <f>IF(L63=0,"",L63-M63)</f>
        <v>9178</v>
      </c>
      <c r="O63" s="69">
        <f>IFERROR((L63-M63)/L63,"")</f>
        <v>0.2843422765</v>
      </c>
      <c r="P63" s="70">
        <f t="shared" ref="P63:Q63" si="24">H63-L63</f>
        <v>867</v>
      </c>
      <c r="Q63" s="67">
        <f t="shared" si="24"/>
        <v>5900</v>
      </c>
      <c r="R63" s="71" t="s">
        <v>73</v>
      </c>
    </row>
    <row r="64" ht="15.75" customHeight="1">
      <c r="A64" s="57">
        <f>A62+7</f>
        <v>45963</v>
      </c>
      <c r="B64" s="48">
        <v>32.0</v>
      </c>
      <c r="C64" s="49">
        <f t="shared" si="1"/>
        <v>0.9142857143</v>
      </c>
      <c r="D64" s="50">
        <v>27160.0</v>
      </c>
      <c r="E64" s="117">
        <f t="shared" si="6"/>
        <v>848.75</v>
      </c>
      <c r="F64" s="50">
        <v>11930.0</v>
      </c>
      <c r="G64" s="79">
        <f t="shared" si="3"/>
        <v>0.4392488954</v>
      </c>
      <c r="H64" s="81"/>
      <c r="I64" s="74"/>
      <c r="J64" s="75"/>
      <c r="K64" s="55"/>
      <c r="L64" s="60"/>
      <c r="M64" s="60"/>
      <c r="N64" s="55"/>
      <c r="O64" s="55"/>
      <c r="P64" s="74"/>
      <c r="Q64" s="74"/>
      <c r="R64" s="86"/>
    </row>
    <row r="65" ht="15.75" customHeight="1">
      <c r="A65" s="57">
        <f t="shared" ref="A65:A68" si="25">A64+7</f>
        <v>45970</v>
      </c>
      <c r="B65" s="48">
        <v>33.0</v>
      </c>
      <c r="C65" s="49">
        <f t="shared" si="1"/>
        <v>0.9428571429</v>
      </c>
      <c r="D65" s="50">
        <v>28260.0</v>
      </c>
      <c r="E65" s="117">
        <f t="shared" si="6"/>
        <v>856.3636364</v>
      </c>
      <c r="F65" s="50">
        <v>23814.0</v>
      </c>
      <c r="G65" s="52">
        <f t="shared" si="3"/>
        <v>0.8426751592</v>
      </c>
      <c r="H65" s="78"/>
      <c r="I65" s="78"/>
      <c r="J65" s="54"/>
      <c r="K65" s="55"/>
      <c r="L65" s="80"/>
      <c r="M65" s="81"/>
      <c r="N65" s="55"/>
      <c r="O65" s="55"/>
      <c r="P65" s="74"/>
      <c r="Q65" s="81"/>
      <c r="R65" s="86"/>
    </row>
    <row r="66" ht="15.75" customHeight="1">
      <c r="A66" s="57">
        <f t="shared" si="25"/>
        <v>45977</v>
      </c>
      <c r="B66" s="48">
        <v>34.0</v>
      </c>
      <c r="C66" s="49">
        <f t="shared" si="1"/>
        <v>0.9714285714</v>
      </c>
      <c r="D66" s="50">
        <v>29360.0</v>
      </c>
      <c r="E66" s="117">
        <f t="shared" si="6"/>
        <v>863.5294118</v>
      </c>
      <c r="F66" s="50">
        <v>25929.0</v>
      </c>
      <c r="G66" s="52">
        <f t="shared" si="3"/>
        <v>0.883140327</v>
      </c>
      <c r="H66" s="58"/>
      <c r="I66" s="58"/>
      <c r="J66" s="54"/>
      <c r="K66" s="55"/>
      <c r="L66" s="78"/>
      <c r="M66" s="78"/>
      <c r="N66" s="55"/>
      <c r="O66" s="55"/>
      <c r="P66" s="74"/>
      <c r="Q66" s="74"/>
      <c r="R66" s="86"/>
    </row>
    <row r="67" ht="15.75" customHeight="1">
      <c r="A67" s="57">
        <f t="shared" si="25"/>
        <v>45984</v>
      </c>
      <c r="B67" s="48">
        <v>34.0</v>
      </c>
      <c r="C67" s="49">
        <f t="shared" si="1"/>
        <v>0.9714285714</v>
      </c>
      <c r="D67" s="50">
        <v>29360.0</v>
      </c>
      <c r="E67" s="117">
        <f t="shared" si="6"/>
        <v>863.5294118</v>
      </c>
      <c r="F67" s="50">
        <v>27237.0</v>
      </c>
      <c r="G67" s="52">
        <f t="shared" si="3"/>
        <v>0.9276907357</v>
      </c>
      <c r="H67" s="60"/>
      <c r="I67" s="60"/>
      <c r="J67" s="54"/>
      <c r="K67" s="55"/>
      <c r="L67" s="58"/>
      <c r="M67" s="58"/>
      <c r="N67" s="55"/>
      <c r="O67" s="55"/>
      <c r="P67" s="74"/>
      <c r="Q67" s="74"/>
      <c r="R67" s="86"/>
    </row>
    <row r="68" ht="15.75" customHeight="1">
      <c r="A68" s="57">
        <f t="shared" si="25"/>
        <v>45991</v>
      </c>
      <c r="B68" s="48">
        <v>35.0</v>
      </c>
      <c r="C68" s="49">
        <f t="shared" si="1"/>
        <v>1</v>
      </c>
      <c r="D68" s="50">
        <v>30460.0</v>
      </c>
      <c r="E68" s="117">
        <f t="shared" si="6"/>
        <v>870.2857143</v>
      </c>
      <c r="F68" s="50">
        <v>28337.0</v>
      </c>
      <c r="G68" s="79">
        <f t="shared" si="3"/>
        <v>0.9303020355</v>
      </c>
      <c r="H68" s="81"/>
      <c r="I68" s="74"/>
      <c r="J68" s="75"/>
      <c r="K68" s="55"/>
      <c r="L68" s="60"/>
      <c r="M68" s="60"/>
      <c r="N68" s="55"/>
      <c r="O68" s="55"/>
      <c r="P68" s="74"/>
      <c r="Q68" s="74"/>
      <c r="R68" s="86"/>
    </row>
    <row r="69" ht="15.75" customHeight="1">
      <c r="A69" s="61" t="s">
        <v>51</v>
      </c>
      <c r="B69" s="120">
        <v>33.0</v>
      </c>
      <c r="C69" s="121">
        <f t="shared" si="1"/>
        <v>0.9428571429</v>
      </c>
      <c r="D69" s="64">
        <v>29000.0</v>
      </c>
      <c r="E69" s="116">
        <f t="shared" si="6"/>
        <v>878.7878788</v>
      </c>
      <c r="F69" s="64">
        <v>29000.0</v>
      </c>
      <c r="G69" s="66">
        <f t="shared" si="3"/>
        <v>1</v>
      </c>
      <c r="H69" s="70"/>
      <c r="I69" s="67">
        <v>29000.0</v>
      </c>
      <c r="J69" s="68" t="str">
        <f>IF(H69=0,"",H69-I69)</f>
        <v/>
      </c>
      <c r="K69" s="69" t="str">
        <f>IFERROR((H69-I69)/H69,"")</f>
        <v/>
      </c>
      <c r="L69" s="70"/>
      <c r="M69" s="67">
        <v>23100.0</v>
      </c>
      <c r="N69" s="68" t="str">
        <f>IF(L69=0,"",L69-M69)</f>
        <v/>
      </c>
      <c r="O69" s="69" t="str">
        <f>IFERROR((L69-M69)/L69,"")</f>
        <v/>
      </c>
      <c r="P69" s="70">
        <f t="shared" ref="P69:Q69" si="26">H69-L69</f>
        <v>0</v>
      </c>
      <c r="Q69" s="67">
        <f t="shared" si="26"/>
        <v>5900</v>
      </c>
      <c r="R69" s="87"/>
    </row>
    <row r="70" ht="15.75" customHeight="1">
      <c r="A70" s="57">
        <f>A68+7</f>
        <v>45998</v>
      </c>
      <c r="B70" s="89" t="s">
        <v>74</v>
      </c>
      <c r="C70" s="49">
        <f t="shared" si="1"/>
        <v>0.9714285714</v>
      </c>
      <c r="D70" s="50">
        <v>29685.0</v>
      </c>
      <c r="E70" s="116">
        <f t="shared" si="6"/>
        <v>873.0882353</v>
      </c>
      <c r="F70" s="50">
        <v>23697.0</v>
      </c>
      <c r="G70" s="52">
        <f t="shared" si="3"/>
        <v>0.7982819606</v>
      </c>
      <c r="H70" s="78"/>
      <c r="I70" s="78"/>
      <c r="J70" s="54"/>
      <c r="K70" s="76"/>
      <c r="L70" s="74"/>
      <c r="M70" s="74"/>
      <c r="N70" s="77"/>
      <c r="O70" s="55"/>
      <c r="P70" s="74"/>
      <c r="Q70" s="74"/>
      <c r="R70" s="86"/>
    </row>
    <row r="71" ht="15.75" customHeight="1">
      <c r="A71" s="57">
        <f t="shared" ref="A71:A73" si="27">A70+7</f>
        <v>46005</v>
      </c>
      <c r="B71" s="89" t="s">
        <v>74</v>
      </c>
      <c r="C71" s="49">
        <f t="shared" si="1"/>
        <v>0.9714285714</v>
      </c>
      <c r="D71" s="50">
        <v>29685.0</v>
      </c>
      <c r="E71" s="116">
        <f t="shared" si="6"/>
        <v>873.0882353</v>
      </c>
      <c r="F71" s="50">
        <v>27281.0</v>
      </c>
      <c r="G71" s="52">
        <f t="shared" si="3"/>
        <v>0.9190163382</v>
      </c>
      <c r="H71" s="58"/>
      <c r="I71" s="58"/>
      <c r="J71" s="54"/>
      <c r="K71" s="55"/>
      <c r="L71" s="78"/>
      <c r="M71" s="78"/>
      <c r="N71" s="55"/>
      <c r="O71" s="55"/>
      <c r="P71" s="74"/>
      <c r="Q71" s="74"/>
      <c r="R71" s="86"/>
    </row>
    <row r="72" ht="15.75" customHeight="1">
      <c r="A72" s="57">
        <f t="shared" si="27"/>
        <v>46012</v>
      </c>
      <c r="B72" s="90"/>
      <c r="C72" s="49" t="str">
        <f t="shared" si="1"/>
        <v/>
      </c>
      <c r="D72" s="91"/>
      <c r="E72" s="116"/>
      <c r="F72" s="91"/>
      <c r="G72" s="52" t="str">
        <f t="shared" si="3"/>
        <v/>
      </c>
      <c r="H72" s="58"/>
      <c r="I72" s="58"/>
      <c r="J72" s="54"/>
      <c r="K72" s="55"/>
      <c r="L72" s="58"/>
      <c r="M72" s="58"/>
      <c r="N72" s="55"/>
      <c r="O72" s="55"/>
      <c r="P72" s="74"/>
      <c r="Q72" s="74"/>
      <c r="R72" s="86"/>
    </row>
    <row r="73" ht="15.75" customHeight="1">
      <c r="A73" s="57">
        <f t="shared" si="27"/>
        <v>46019</v>
      </c>
      <c r="B73" s="90"/>
      <c r="C73" s="49" t="str">
        <f t="shared" si="1"/>
        <v/>
      </c>
      <c r="D73" s="91"/>
      <c r="E73" s="116"/>
      <c r="F73" s="91"/>
      <c r="G73" s="52" t="str">
        <f t="shared" si="3"/>
        <v/>
      </c>
      <c r="H73" s="82"/>
      <c r="I73" s="82"/>
      <c r="J73" s="54"/>
      <c r="K73" s="55"/>
      <c r="L73" s="82"/>
      <c r="M73" s="82"/>
      <c r="N73" s="55"/>
      <c r="O73" s="55"/>
      <c r="P73" s="118"/>
      <c r="Q73" s="118"/>
      <c r="R73" s="86" t="s">
        <v>75</v>
      </c>
    </row>
    <row r="74" ht="15.75" customHeight="1">
      <c r="A74" s="61" t="s">
        <v>51</v>
      </c>
      <c r="B74" s="122">
        <v>33.0</v>
      </c>
      <c r="C74" s="121">
        <f>AVERAGE(C15,C20,C26,C31,C36,C42,C47,C53,C58,C63,C69)</f>
        <v>0.9428571429</v>
      </c>
      <c r="D74" s="123">
        <v>29000.0</v>
      </c>
      <c r="E74" s="116">
        <f>D74/B74</f>
        <v>878.7878788</v>
      </c>
      <c r="F74" s="64">
        <v>29000.0</v>
      </c>
      <c r="G74" s="66">
        <f t="shared" si="3"/>
        <v>1</v>
      </c>
      <c r="H74" s="92"/>
      <c r="I74" s="67">
        <v>29000.0</v>
      </c>
      <c r="J74" s="68" t="str">
        <f t="shared" ref="J74:J75" si="30">IF(H74=0,"",H74-I74)</f>
        <v/>
      </c>
      <c r="K74" s="69" t="str">
        <f t="shared" ref="K74:K75" si="31">IFERROR((H74-I74)/H74,"")</f>
        <v/>
      </c>
      <c r="L74" s="92"/>
      <c r="M74" s="67">
        <v>23100.0</v>
      </c>
      <c r="N74" s="68" t="str">
        <f t="shared" ref="N74:N75" si="33">IF(L74=0,"",L74-M74)</f>
        <v/>
      </c>
      <c r="O74" s="69" t="str">
        <f t="shared" ref="O74:O75" si="34">IFERROR((L74-M74)/L74,"")</f>
        <v/>
      </c>
      <c r="P74" s="124">
        <f t="shared" ref="P74:Q74" si="28">H74-L74</f>
        <v>0</v>
      </c>
      <c r="Q74" s="67">
        <f t="shared" si="28"/>
        <v>5900</v>
      </c>
      <c r="R74" s="87"/>
    </row>
    <row r="75" ht="15.75" customHeight="1">
      <c r="A75" s="93" t="s">
        <v>61</v>
      </c>
      <c r="B75" s="125">
        <f t="shared" ref="B75:C75" si="29">AVERAGE(B15,B20,B26,B31,B36,B42,B47,B53,B58,B63,B69,B74)</f>
        <v>33</v>
      </c>
      <c r="C75" s="95">
        <f t="shared" si="29"/>
        <v>0.9428571429</v>
      </c>
      <c r="D75" s="96">
        <f>SUM(D15,D20,D26,D31,D36,D42,D47,D53,D58,D63,D69,D74)</f>
        <v>345000</v>
      </c>
      <c r="E75" s="126">
        <f>AVERAGE(E15,E20,E26,E31,E36,E42,E47,E53,E58,E63,E69,E74)</f>
        <v>871.2121212</v>
      </c>
      <c r="F75" s="96">
        <f>SUM(F15,F20,F26,F31,F36,F42,F47,F53,F58,F63,F69,F74)</f>
        <v>345000</v>
      </c>
      <c r="G75" s="97">
        <f>AVERAGE(G15,G20,G26,G31,G36,G42,G47,G53,G58,G63,G69,G74)</f>
        <v>1</v>
      </c>
      <c r="H75" s="96">
        <f>sum(H15,H20,H26,H31,H36,H42,H47,H53,H58,H63,H69,H74)</f>
        <v>287372</v>
      </c>
      <c r="I75" s="96">
        <f>SUM(I15,I20,I26,I31,I36,I42,I47,I53,I58,I63,I69,I74)</f>
        <v>345000</v>
      </c>
      <c r="J75" s="96">
        <f t="shared" si="30"/>
        <v>-57628</v>
      </c>
      <c r="K75" s="95">
        <f t="shared" si="31"/>
        <v>-0.2005344988</v>
      </c>
      <c r="L75" s="96">
        <f t="shared" ref="L75:M75" si="32">L15+L20+L26+L31+L36+L42+L47+L53+L58+L63+L69+L74</f>
        <v>286136</v>
      </c>
      <c r="M75" s="96">
        <f t="shared" si="32"/>
        <v>277200</v>
      </c>
      <c r="N75" s="95">
        <f t="shared" si="33"/>
        <v>8936</v>
      </c>
      <c r="O75" s="95">
        <f t="shared" si="34"/>
        <v>0.03122990466</v>
      </c>
      <c r="P75" s="96">
        <f>SUM(P15,P20,P26,P31,P36,P42,P47,P53,P58,P63,P69,P74)</f>
        <v>1236</v>
      </c>
      <c r="Q75" s="96">
        <f>sum(Q11:Q74)</f>
        <v>67800</v>
      </c>
      <c r="R75" s="98"/>
    </row>
    <row r="76" ht="15.75" customHeight="1">
      <c r="A76" s="99" t="s">
        <v>62</v>
      </c>
      <c r="B76" s="109" t="s">
        <v>62</v>
      </c>
      <c r="C76" s="100" t="s">
        <v>62</v>
      </c>
      <c r="D76" s="101" t="s">
        <v>62</v>
      </c>
      <c r="E76" s="105" t="s">
        <v>62</v>
      </c>
      <c r="F76" s="101" t="s">
        <v>62</v>
      </c>
      <c r="G76" s="100" t="s">
        <v>62</v>
      </c>
      <c r="H76" s="102" t="s">
        <v>62</v>
      </c>
      <c r="I76" s="102" t="s">
        <v>62</v>
      </c>
      <c r="J76" s="102" t="s">
        <v>62</v>
      </c>
      <c r="K76" s="100" t="s">
        <v>62</v>
      </c>
      <c r="L76" s="102" t="s">
        <v>62</v>
      </c>
      <c r="M76" s="102" t="s">
        <v>62</v>
      </c>
      <c r="N76" s="100" t="s">
        <v>62</v>
      </c>
      <c r="O76" s="100" t="s">
        <v>62</v>
      </c>
      <c r="P76" s="102"/>
      <c r="Q76" s="102"/>
      <c r="R76" s="100" t="s">
        <v>62</v>
      </c>
    </row>
    <row r="77" ht="15.75" customHeight="1">
      <c r="A77" s="103"/>
      <c r="B77" s="105"/>
      <c r="C77" s="104"/>
      <c r="D77" s="105"/>
      <c r="E77" s="105"/>
      <c r="F77" s="107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6"/>
    </row>
    <row r="78" ht="15.75" customHeight="1">
      <c r="A78" s="103"/>
      <c r="B78" s="105"/>
      <c r="C78" s="104"/>
      <c r="D78" s="105"/>
      <c r="E78" s="105"/>
      <c r="F78" s="107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6"/>
    </row>
    <row r="79" ht="15.75" customHeight="1">
      <c r="A79" s="103"/>
      <c r="B79" s="105"/>
      <c r="C79" s="104"/>
      <c r="D79" s="105"/>
      <c r="E79" s="105"/>
      <c r="F79" s="107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6"/>
    </row>
    <row r="80" ht="15.75" customHeight="1">
      <c r="A80" s="103"/>
      <c r="B80" s="105"/>
      <c r="C80" s="104"/>
      <c r="D80" s="105"/>
      <c r="E80" s="105"/>
      <c r="F80" s="107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6"/>
    </row>
    <row r="81" ht="15.75" customHeight="1">
      <c r="A81" s="109"/>
      <c r="B81" s="105"/>
      <c r="C81" s="104"/>
      <c r="D81" s="105"/>
      <c r="E81" s="105"/>
      <c r="F81" s="107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6"/>
    </row>
    <row r="82" ht="15.75" customHeight="1">
      <c r="A82" s="109"/>
      <c r="B82" s="105"/>
      <c r="C82" s="104"/>
      <c r="D82" s="105"/>
      <c r="E82" s="105"/>
      <c r="F82" s="107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6"/>
    </row>
    <row r="83" ht="15.75" customHeight="1">
      <c r="A83" s="109"/>
      <c r="B83" s="105"/>
      <c r="C83" s="104"/>
      <c r="D83" s="105"/>
      <c r="E83" s="105"/>
      <c r="F83" s="107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6"/>
    </row>
    <row r="84" ht="15.75" customHeight="1">
      <c r="A84" s="109"/>
      <c r="B84" s="105"/>
      <c r="C84" s="104"/>
      <c r="D84" s="105"/>
      <c r="E84" s="105"/>
      <c r="F84" s="107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6"/>
    </row>
    <row r="85" ht="15.75" customHeight="1">
      <c r="A85" s="109"/>
      <c r="B85" s="105"/>
      <c r="C85" s="104"/>
      <c r="D85" s="105"/>
      <c r="E85" s="105"/>
      <c r="F85" s="107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6"/>
    </row>
    <row r="86" ht="15.75" customHeight="1">
      <c r="A86" s="109"/>
      <c r="B86" s="105"/>
      <c r="C86" s="104"/>
      <c r="D86" s="105"/>
      <c r="E86" s="105"/>
      <c r="F86" s="107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6"/>
    </row>
    <row r="87" ht="15.75" customHeight="1">
      <c r="A87" s="109"/>
      <c r="B87" s="105"/>
      <c r="C87" s="104"/>
      <c r="D87" s="105"/>
      <c r="E87" s="105"/>
      <c r="F87" s="107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6"/>
    </row>
    <row r="88" ht="15.75" customHeight="1">
      <c r="A88" s="109"/>
      <c r="B88" s="105"/>
      <c r="C88" s="104"/>
      <c r="D88" s="105"/>
      <c r="E88" s="105"/>
      <c r="F88" s="107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6"/>
    </row>
    <row r="89" ht="15.75" customHeight="1">
      <c r="A89" s="109"/>
      <c r="B89" s="105"/>
      <c r="C89" s="104"/>
      <c r="D89" s="105"/>
      <c r="E89" s="105"/>
      <c r="F89" s="107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6"/>
    </row>
    <row r="90" ht="15.75" customHeight="1">
      <c r="A90" s="109"/>
      <c r="B90" s="105"/>
      <c r="C90" s="104"/>
      <c r="D90" s="105"/>
      <c r="E90" s="105"/>
      <c r="F90" s="107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6"/>
    </row>
    <row r="91" ht="15.75" customHeight="1">
      <c r="A91" s="109"/>
      <c r="B91" s="105"/>
      <c r="C91" s="104"/>
      <c r="D91" s="105"/>
      <c r="E91" s="105"/>
      <c r="F91" s="107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6"/>
    </row>
    <row r="92" ht="15.75" customHeight="1">
      <c r="A92" s="109"/>
      <c r="B92" s="105"/>
      <c r="C92" s="104"/>
      <c r="D92" s="105"/>
      <c r="E92" s="105"/>
      <c r="F92" s="107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6"/>
    </row>
    <row r="93" ht="15.75" customHeight="1">
      <c r="A93" s="109"/>
      <c r="B93" s="105"/>
      <c r="C93" s="104"/>
      <c r="D93" s="105"/>
      <c r="E93" s="105"/>
      <c r="F93" s="107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6"/>
    </row>
    <row r="94" ht="15.75" customHeight="1">
      <c r="A94" s="109"/>
      <c r="B94" s="105"/>
      <c r="C94" s="104"/>
      <c r="D94" s="105"/>
      <c r="E94" s="105"/>
      <c r="F94" s="107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6"/>
    </row>
    <row r="95" ht="15.75" customHeight="1">
      <c r="A95" s="109"/>
      <c r="B95" s="105"/>
      <c r="C95" s="104"/>
      <c r="D95" s="105"/>
      <c r="E95" s="105"/>
      <c r="F95" s="107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6"/>
    </row>
    <row r="96" ht="15.75" customHeight="1">
      <c r="A96" s="109"/>
      <c r="B96" s="105"/>
      <c r="C96" s="104"/>
      <c r="D96" s="105"/>
      <c r="E96" s="105"/>
      <c r="F96" s="107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6"/>
    </row>
    <row r="97" ht="15.75" customHeight="1">
      <c r="A97" s="109"/>
      <c r="B97" s="105"/>
      <c r="C97" s="104"/>
      <c r="D97" s="105"/>
      <c r="E97" s="105"/>
      <c r="F97" s="107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6"/>
    </row>
    <row r="98" ht="15.75" customHeight="1">
      <c r="A98" s="109"/>
      <c r="B98" s="105"/>
      <c r="C98" s="104"/>
      <c r="D98" s="105"/>
      <c r="E98" s="105"/>
      <c r="F98" s="107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6"/>
    </row>
    <row r="99" ht="15.75" customHeight="1">
      <c r="A99" s="109"/>
      <c r="B99" s="105"/>
      <c r="C99" s="104"/>
      <c r="D99" s="105"/>
      <c r="E99" s="105"/>
      <c r="F99" s="107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6"/>
    </row>
    <row r="100" ht="15.75" customHeight="1">
      <c r="A100" s="109"/>
      <c r="B100" s="105"/>
      <c r="C100" s="104"/>
      <c r="D100" s="105"/>
      <c r="E100" s="105"/>
      <c r="F100" s="107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6"/>
    </row>
    <row r="101" ht="15.75" customHeight="1">
      <c r="A101" s="109"/>
      <c r="B101" s="105"/>
      <c r="C101" s="104"/>
      <c r="D101" s="105"/>
      <c r="E101" s="105"/>
      <c r="F101" s="107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6"/>
    </row>
    <row r="102" ht="15.75" customHeight="1">
      <c r="A102" s="109"/>
      <c r="B102" s="105"/>
      <c r="C102" s="104"/>
      <c r="D102" s="105"/>
      <c r="E102" s="105"/>
      <c r="F102" s="107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6"/>
    </row>
    <row r="103" ht="15.75" customHeight="1">
      <c r="A103" s="109"/>
      <c r="B103" s="105"/>
      <c r="C103" s="104"/>
      <c r="D103" s="105"/>
      <c r="E103" s="105"/>
      <c r="F103" s="107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6"/>
    </row>
    <row r="104" ht="15.75" customHeight="1">
      <c r="A104" s="109"/>
      <c r="B104" s="105"/>
      <c r="C104" s="104"/>
      <c r="D104" s="105"/>
      <c r="E104" s="105"/>
      <c r="F104" s="107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6"/>
    </row>
    <row r="105" ht="15.75" customHeight="1">
      <c r="A105" s="109"/>
      <c r="B105" s="105"/>
      <c r="C105" s="104"/>
      <c r="D105" s="105"/>
      <c r="E105" s="105"/>
      <c r="F105" s="107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6"/>
    </row>
    <row r="106" ht="15.75" customHeight="1">
      <c r="A106" s="109"/>
      <c r="B106" s="105"/>
      <c r="C106" s="104"/>
      <c r="D106" s="105"/>
      <c r="E106" s="105"/>
      <c r="F106" s="107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6"/>
    </row>
    <row r="107" ht="15.75" customHeight="1">
      <c r="A107" s="109"/>
      <c r="B107" s="105"/>
      <c r="C107" s="104"/>
      <c r="D107" s="105"/>
      <c r="E107" s="105"/>
      <c r="F107" s="107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6"/>
    </row>
    <row r="108" ht="15.75" customHeight="1">
      <c r="A108" s="109"/>
      <c r="B108" s="105"/>
      <c r="C108" s="104"/>
      <c r="D108" s="105"/>
      <c r="E108" s="105"/>
      <c r="F108" s="107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6"/>
    </row>
    <row r="109" ht="15.75" customHeight="1">
      <c r="A109" s="109"/>
      <c r="B109" s="105"/>
      <c r="C109" s="104"/>
      <c r="D109" s="105"/>
      <c r="E109" s="105"/>
      <c r="F109" s="107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6"/>
    </row>
    <row r="110" ht="15.75" customHeight="1">
      <c r="A110" s="109"/>
      <c r="B110" s="105"/>
      <c r="C110" s="104"/>
      <c r="D110" s="105"/>
      <c r="E110" s="105"/>
      <c r="F110" s="107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6"/>
    </row>
    <row r="111" ht="15.75" customHeight="1">
      <c r="A111" s="109"/>
      <c r="B111" s="105"/>
      <c r="C111" s="104"/>
      <c r="D111" s="105"/>
      <c r="E111" s="105"/>
      <c r="F111" s="107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6"/>
    </row>
    <row r="112" ht="15.75" customHeight="1">
      <c r="A112" s="109"/>
      <c r="B112" s="105"/>
      <c r="C112" s="104"/>
      <c r="D112" s="105"/>
      <c r="E112" s="105"/>
      <c r="F112" s="107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6"/>
    </row>
    <row r="113" ht="15.75" customHeight="1">
      <c r="A113" s="109"/>
      <c r="B113" s="105"/>
      <c r="C113" s="104"/>
      <c r="D113" s="105"/>
      <c r="E113" s="105"/>
      <c r="F113" s="107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6"/>
    </row>
    <row r="114" ht="15.75" customHeight="1">
      <c r="A114" s="109"/>
      <c r="B114" s="105"/>
      <c r="C114" s="104"/>
      <c r="D114" s="105"/>
      <c r="E114" s="105"/>
      <c r="F114" s="107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6"/>
    </row>
    <row r="115" ht="15.75" customHeight="1">
      <c r="A115" s="109"/>
      <c r="B115" s="105"/>
      <c r="C115" s="104"/>
      <c r="D115" s="105"/>
      <c r="E115" s="105"/>
      <c r="F115" s="107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6"/>
    </row>
    <row r="116" ht="15.75" customHeight="1">
      <c r="A116" s="109"/>
      <c r="B116" s="105"/>
      <c r="C116" s="104"/>
      <c r="D116" s="105"/>
      <c r="E116" s="105"/>
      <c r="F116" s="107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6"/>
    </row>
    <row r="117" ht="15.75" customHeight="1">
      <c r="A117" s="109"/>
      <c r="B117" s="105"/>
      <c r="C117" s="104"/>
      <c r="D117" s="105"/>
      <c r="E117" s="105"/>
      <c r="F117" s="107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6"/>
    </row>
    <row r="118" ht="15.75" customHeight="1">
      <c r="A118" s="109"/>
      <c r="B118" s="105"/>
      <c r="C118" s="104"/>
      <c r="D118" s="105"/>
      <c r="E118" s="105"/>
      <c r="F118" s="107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6"/>
    </row>
    <row r="119" ht="15.75" customHeight="1">
      <c r="A119" s="109"/>
      <c r="B119" s="105"/>
      <c r="C119" s="104"/>
      <c r="D119" s="105"/>
      <c r="E119" s="105"/>
      <c r="F119" s="107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6"/>
    </row>
    <row r="120" ht="15.75" customHeight="1">
      <c r="A120" s="109"/>
      <c r="B120" s="105"/>
      <c r="C120" s="104"/>
      <c r="D120" s="105"/>
      <c r="E120" s="105"/>
      <c r="F120" s="107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6"/>
    </row>
    <row r="121" ht="15.75" customHeight="1">
      <c r="A121" s="109"/>
      <c r="B121" s="105"/>
      <c r="C121" s="104"/>
      <c r="D121" s="105"/>
      <c r="E121" s="105"/>
      <c r="F121" s="107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6"/>
    </row>
    <row r="122" ht="15.75" customHeight="1">
      <c r="A122" s="109"/>
      <c r="B122" s="105"/>
      <c r="C122" s="104"/>
      <c r="D122" s="105"/>
      <c r="E122" s="105"/>
      <c r="F122" s="107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6"/>
    </row>
    <row r="123" ht="15.75" customHeight="1">
      <c r="A123" s="109"/>
      <c r="B123" s="105"/>
      <c r="C123" s="104"/>
      <c r="D123" s="105"/>
      <c r="E123" s="105"/>
      <c r="F123" s="107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6"/>
    </row>
    <row r="124" ht="15.75" customHeight="1">
      <c r="A124" s="109"/>
      <c r="B124" s="105"/>
      <c r="C124" s="104"/>
      <c r="D124" s="105"/>
      <c r="E124" s="105"/>
      <c r="F124" s="107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6"/>
    </row>
    <row r="125" ht="15.75" customHeight="1">
      <c r="A125" s="109"/>
      <c r="B125" s="105"/>
      <c r="C125" s="104"/>
      <c r="D125" s="105"/>
      <c r="E125" s="105"/>
      <c r="F125" s="107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6"/>
    </row>
    <row r="126" ht="15.75" customHeight="1">
      <c r="A126" s="109"/>
      <c r="B126" s="105"/>
      <c r="C126" s="104"/>
      <c r="D126" s="105"/>
      <c r="E126" s="105"/>
      <c r="F126" s="107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6"/>
    </row>
    <row r="127" ht="15.75" customHeight="1">
      <c r="A127" s="109"/>
      <c r="B127" s="105"/>
      <c r="C127" s="104"/>
      <c r="D127" s="105"/>
      <c r="E127" s="105"/>
      <c r="F127" s="107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6"/>
    </row>
    <row r="128" ht="15.75" customHeight="1">
      <c r="A128" s="109"/>
      <c r="B128" s="105"/>
      <c r="C128" s="104"/>
      <c r="D128" s="105"/>
      <c r="E128" s="105"/>
      <c r="F128" s="107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6"/>
    </row>
    <row r="129" ht="15.75" customHeight="1">
      <c r="A129" s="109"/>
      <c r="B129" s="105"/>
      <c r="C129" s="104"/>
      <c r="D129" s="105"/>
      <c r="E129" s="105"/>
      <c r="F129" s="107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6"/>
    </row>
    <row r="130" ht="15.75" customHeight="1">
      <c r="A130" s="109"/>
      <c r="B130" s="105"/>
      <c r="C130" s="104"/>
      <c r="D130" s="105"/>
      <c r="E130" s="105"/>
      <c r="F130" s="107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6"/>
    </row>
    <row r="131" ht="15.75" customHeight="1">
      <c r="A131" s="109"/>
      <c r="B131" s="105"/>
      <c r="C131" s="104"/>
      <c r="D131" s="105"/>
      <c r="E131" s="105"/>
      <c r="F131" s="107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6"/>
    </row>
    <row r="132" ht="15.75" customHeight="1">
      <c r="A132" s="109"/>
      <c r="B132" s="105"/>
      <c r="C132" s="104"/>
      <c r="D132" s="105"/>
      <c r="E132" s="105"/>
      <c r="F132" s="107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6"/>
    </row>
    <row r="133" ht="15.75" customHeight="1">
      <c r="A133" s="109"/>
      <c r="B133" s="105"/>
      <c r="C133" s="104"/>
      <c r="D133" s="105"/>
      <c r="E133" s="105"/>
      <c r="F133" s="107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6"/>
    </row>
    <row r="134" ht="15.75" customHeight="1">
      <c r="A134" s="109"/>
      <c r="B134" s="105"/>
      <c r="C134" s="104"/>
      <c r="D134" s="105"/>
      <c r="E134" s="105"/>
      <c r="F134" s="107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6"/>
    </row>
    <row r="135" ht="15.75" customHeight="1">
      <c r="A135" s="109"/>
      <c r="B135" s="105"/>
      <c r="C135" s="104"/>
      <c r="D135" s="105"/>
      <c r="E135" s="105"/>
      <c r="F135" s="107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6"/>
    </row>
    <row r="136" ht="15.75" customHeight="1">
      <c r="A136" s="109"/>
      <c r="B136" s="105"/>
      <c r="C136" s="104"/>
      <c r="D136" s="105"/>
      <c r="E136" s="105"/>
      <c r="F136" s="107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6"/>
    </row>
    <row r="137" ht="15.75" customHeight="1">
      <c r="A137" s="109"/>
      <c r="B137" s="105"/>
      <c r="C137" s="104"/>
      <c r="D137" s="105"/>
      <c r="E137" s="105"/>
      <c r="F137" s="107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6"/>
    </row>
    <row r="138" ht="15.75" customHeight="1">
      <c r="A138" s="109"/>
      <c r="B138" s="105"/>
      <c r="C138" s="104"/>
      <c r="D138" s="105"/>
      <c r="E138" s="105"/>
      <c r="F138" s="107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6"/>
    </row>
    <row r="139" ht="15.75" customHeight="1">
      <c r="A139" s="109"/>
      <c r="B139" s="105"/>
      <c r="C139" s="104"/>
      <c r="D139" s="105"/>
      <c r="E139" s="105"/>
      <c r="F139" s="107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6"/>
    </row>
    <row r="140" ht="15.75" customHeight="1">
      <c r="A140" s="109"/>
      <c r="B140" s="105"/>
      <c r="C140" s="104"/>
      <c r="D140" s="105"/>
      <c r="E140" s="105"/>
      <c r="F140" s="107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6"/>
    </row>
    <row r="141" ht="15.75" customHeight="1">
      <c r="A141" s="109"/>
      <c r="B141" s="105"/>
      <c r="C141" s="104"/>
      <c r="D141" s="105"/>
      <c r="E141" s="105"/>
      <c r="F141" s="107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6"/>
    </row>
    <row r="142" ht="15.75" customHeight="1">
      <c r="A142" s="109"/>
      <c r="B142" s="105"/>
      <c r="C142" s="104"/>
      <c r="D142" s="105"/>
      <c r="E142" s="105"/>
      <c r="F142" s="107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6"/>
    </row>
    <row r="143" ht="15.75" customHeight="1">
      <c r="A143" s="109"/>
      <c r="B143" s="105"/>
      <c r="C143" s="104"/>
      <c r="D143" s="105"/>
      <c r="E143" s="105"/>
      <c r="F143" s="107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6"/>
    </row>
    <row r="144" ht="15.75" customHeight="1">
      <c r="A144" s="109"/>
      <c r="B144" s="105"/>
      <c r="C144" s="104"/>
      <c r="D144" s="105"/>
      <c r="E144" s="105"/>
      <c r="F144" s="107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6"/>
    </row>
    <row r="145" ht="15.75" customHeight="1">
      <c r="A145" s="109"/>
      <c r="B145" s="105"/>
      <c r="C145" s="104"/>
      <c r="D145" s="105"/>
      <c r="E145" s="105"/>
      <c r="F145" s="107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6"/>
    </row>
    <row r="146" ht="15.75" customHeight="1">
      <c r="A146" s="109"/>
      <c r="B146" s="105"/>
      <c r="C146" s="104"/>
      <c r="D146" s="105"/>
      <c r="E146" s="105"/>
      <c r="F146" s="107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6"/>
    </row>
    <row r="147" ht="15.75" customHeight="1">
      <c r="A147" s="109"/>
      <c r="B147" s="105"/>
      <c r="C147" s="104"/>
      <c r="D147" s="105"/>
      <c r="E147" s="105"/>
      <c r="F147" s="107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6"/>
    </row>
    <row r="148" ht="15.75" customHeight="1">
      <c r="A148" s="109"/>
      <c r="B148" s="105"/>
      <c r="C148" s="104"/>
      <c r="D148" s="105"/>
      <c r="E148" s="105"/>
      <c r="F148" s="107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6"/>
    </row>
    <row r="149" ht="15.75" customHeight="1">
      <c r="A149" s="109"/>
      <c r="B149" s="105"/>
      <c r="C149" s="104"/>
      <c r="D149" s="105"/>
      <c r="E149" s="105"/>
      <c r="F149" s="107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6"/>
    </row>
    <row r="150" ht="15.75" customHeight="1">
      <c r="A150" s="109"/>
      <c r="B150" s="105"/>
      <c r="C150" s="104"/>
      <c r="D150" s="105"/>
      <c r="E150" s="105"/>
      <c r="F150" s="107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6"/>
    </row>
    <row r="151" ht="15.75" customHeight="1">
      <c r="A151" s="109"/>
      <c r="B151" s="105"/>
      <c r="C151" s="104"/>
      <c r="D151" s="105"/>
      <c r="E151" s="105"/>
      <c r="F151" s="107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6"/>
    </row>
    <row r="152" ht="15.75" customHeight="1">
      <c r="A152" s="109"/>
      <c r="B152" s="105"/>
      <c r="C152" s="104"/>
      <c r="D152" s="105"/>
      <c r="E152" s="105"/>
      <c r="F152" s="107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6"/>
    </row>
    <row r="153" ht="15.75" customHeight="1">
      <c r="A153" s="109"/>
      <c r="B153" s="105"/>
      <c r="C153" s="104"/>
      <c r="D153" s="105"/>
      <c r="E153" s="105"/>
      <c r="F153" s="107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6"/>
    </row>
    <row r="154" ht="15.75" customHeight="1">
      <c r="A154" s="109"/>
      <c r="B154" s="105"/>
      <c r="C154" s="104"/>
      <c r="D154" s="105"/>
      <c r="E154" s="105"/>
      <c r="F154" s="107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6"/>
    </row>
    <row r="155" ht="15.75" customHeight="1">
      <c r="A155" s="109"/>
      <c r="B155" s="105"/>
      <c r="C155" s="104"/>
      <c r="D155" s="105"/>
      <c r="E155" s="105"/>
      <c r="F155" s="107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6"/>
    </row>
    <row r="156" ht="15.75" customHeight="1">
      <c r="A156" s="109"/>
      <c r="B156" s="105"/>
      <c r="C156" s="104"/>
      <c r="D156" s="105"/>
      <c r="E156" s="105"/>
      <c r="F156" s="107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6"/>
    </row>
    <row r="157" ht="15.75" customHeight="1">
      <c r="A157" s="109"/>
      <c r="B157" s="105"/>
      <c r="C157" s="104"/>
      <c r="D157" s="105"/>
      <c r="E157" s="105"/>
      <c r="F157" s="107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6"/>
    </row>
    <row r="158" ht="15.75" customHeight="1">
      <c r="A158" s="109"/>
      <c r="B158" s="105"/>
      <c r="C158" s="104"/>
      <c r="D158" s="105"/>
      <c r="E158" s="105"/>
      <c r="F158" s="107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6"/>
    </row>
    <row r="159" ht="15.75" customHeight="1">
      <c r="A159" s="109"/>
      <c r="B159" s="105"/>
      <c r="C159" s="104"/>
      <c r="D159" s="105"/>
      <c r="E159" s="105"/>
      <c r="F159" s="107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6"/>
    </row>
    <row r="160" ht="15.75" customHeight="1">
      <c r="A160" s="109"/>
      <c r="B160" s="105"/>
      <c r="C160" s="104"/>
      <c r="D160" s="105"/>
      <c r="E160" s="105"/>
      <c r="F160" s="107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6"/>
    </row>
    <row r="161" ht="15.75" customHeight="1">
      <c r="A161" s="109"/>
      <c r="B161" s="105"/>
      <c r="C161" s="104"/>
      <c r="D161" s="105"/>
      <c r="E161" s="105"/>
      <c r="F161" s="107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6"/>
    </row>
    <row r="162" ht="15.75" customHeight="1">
      <c r="A162" s="109"/>
      <c r="B162" s="105"/>
      <c r="C162" s="104"/>
      <c r="D162" s="105"/>
      <c r="E162" s="105"/>
      <c r="F162" s="107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6"/>
    </row>
    <row r="163" ht="15.75" customHeight="1">
      <c r="A163" s="109"/>
      <c r="B163" s="105"/>
      <c r="C163" s="104"/>
      <c r="D163" s="105"/>
      <c r="E163" s="105"/>
      <c r="F163" s="107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6"/>
    </row>
    <row r="164" ht="15.75" customHeight="1">
      <c r="A164" s="109"/>
      <c r="B164" s="105"/>
      <c r="C164" s="104"/>
      <c r="D164" s="105"/>
      <c r="E164" s="105"/>
      <c r="F164" s="107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6"/>
    </row>
    <row r="165" ht="15.75" customHeight="1">
      <c r="A165" s="109"/>
      <c r="B165" s="105"/>
      <c r="C165" s="104"/>
      <c r="D165" s="105"/>
      <c r="E165" s="105"/>
      <c r="F165" s="107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6"/>
    </row>
    <row r="166" ht="15.75" customHeight="1">
      <c r="A166" s="109"/>
      <c r="B166" s="105"/>
      <c r="C166" s="104"/>
      <c r="D166" s="105"/>
      <c r="E166" s="105"/>
      <c r="F166" s="107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6"/>
    </row>
    <row r="167" ht="15.75" customHeight="1">
      <c r="A167" s="109"/>
      <c r="B167" s="105"/>
      <c r="C167" s="104"/>
      <c r="D167" s="105"/>
      <c r="E167" s="105"/>
      <c r="F167" s="107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6"/>
    </row>
    <row r="168" ht="15.75" customHeight="1">
      <c r="A168" s="109"/>
      <c r="B168" s="105"/>
      <c r="C168" s="104"/>
      <c r="D168" s="105"/>
      <c r="E168" s="105"/>
      <c r="F168" s="107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6"/>
    </row>
    <row r="169" ht="15.75" customHeight="1">
      <c r="A169" s="109"/>
      <c r="B169" s="105"/>
      <c r="C169" s="104"/>
      <c r="D169" s="105"/>
      <c r="E169" s="105"/>
      <c r="F169" s="107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6"/>
    </row>
    <row r="170" ht="15.75" customHeight="1">
      <c r="A170" s="109"/>
      <c r="B170" s="105"/>
      <c r="C170" s="104"/>
      <c r="D170" s="105"/>
      <c r="E170" s="105"/>
      <c r="F170" s="107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6"/>
    </row>
    <row r="171" ht="15.75" customHeight="1">
      <c r="A171" s="109"/>
      <c r="B171" s="105"/>
      <c r="C171" s="104"/>
      <c r="D171" s="105"/>
      <c r="E171" s="105"/>
      <c r="F171" s="107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6"/>
    </row>
    <row r="172" ht="15.75" customHeight="1">
      <c r="A172" s="109"/>
      <c r="B172" s="105"/>
      <c r="C172" s="104"/>
      <c r="D172" s="105"/>
      <c r="E172" s="105"/>
      <c r="F172" s="107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6"/>
    </row>
    <row r="173" ht="15.75" customHeight="1">
      <c r="A173" s="109"/>
      <c r="B173" s="105"/>
      <c r="C173" s="104"/>
      <c r="D173" s="105"/>
      <c r="E173" s="105"/>
      <c r="F173" s="107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6"/>
    </row>
    <row r="174" ht="15.75" customHeight="1">
      <c r="A174" s="109"/>
      <c r="B174" s="105"/>
      <c r="C174" s="104"/>
      <c r="D174" s="105"/>
      <c r="E174" s="105"/>
      <c r="F174" s="107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6"/>
    </row>
    <row r="175" ht="15.75" customHeight="1">
      <c r="A175" s="109"/>
      <c r="B175" s="105"/>
      <c r="C175" s="104"/>
      <c r="D175" s="105"/>
      <c r="E175" s="105"/>
      <c r="F175" s="107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6"/>
    </row>
    <row r="176" ht="15.75" customHeight="1">
      <c r="A176" s="109"/>
      <c r="B176" s="105"/>
      <c r="C176" s="104"/>
      <c r="D176" s="105"/>
      <c r="E176" s="105"/>
      <c r="F176" s="107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6"/>
    </row>
    <row r="177" ht="15.75" customHeight="1">
      <c r="A177" s="109"/>
      <c r="B177" s="105"/>
      <c r="C177" s="104"/>
      <c r="D177" s="105"/>
      <c r="E177" s="105"/>
      <c r="F177" s="107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6"/>
    </row>
    <row r="178" ht="15.75" customHeight="1">
      <c r="A178" s="109"/>
      <c r="B178" s="105"/>
      <c r="C178" s="104"/>
      <c r="D178" s="105"/>
      <c r="E178" s="105"/>
      <c r="F178" s="107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6"/>
    </row>
    <row r="179" ht="15.75" customHeight="1">
      <c r="A179" s="109"/>
      <c r="B179" s="105"/>
      <c r="C179" s="104"/>
      <c r="D179" s="105"/>
      <c r="E179" s="105"/>
      <c r="F179" s="107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6"/>
    </row>
    <row r="180" ht="15.75" customHeight="1">
      <c r="A180" s="109"/>
      <c r="B180" s="105"/>
      <c r="C180" s="104"/>
      <c r="D180" s="105"/>
      <c r="E180" s="105"/>
      <c r="F180" s="107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6"/>
    </row>
    <row r="181" ht="15.75" customHeight="1">
      <c r="A181" s="109"/>
      <c r="B181" s="105"/>
      <c r="C181" s="104"/>
      <c r="D181" s="105"/>
      <c r="E181" s="105"/>
      <c r="F181" s="107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6"/>
    </row>
    <row r="182" ht="15.75" customHeight="1">
      <c r="A182" s="109"/>
      <c r="B182" s="105"/>
      <c r="C182" s="104"/>
      <c r="D182" s="105"/>
      <c r="E182" s="105"/>
      <c r="F182" s="107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6"/>
    </row>
    <row r="183" ht="15.75" customHeight="1">
      <c r="A183" s="109"/>
      <c r="B183" s="105"/>
      <c r="C183" s="104"/>
      <c r="D183" s="105"/>
      <c r="E183" s="105"/>
      <c r="F183" s="107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6"/>
    </row>
    <row r="184" ht="15.75" customHeight="1">
      <c r="A184" s="109"/>
      <c r="B184" s="105"/>
      <c r="C184" s="104"/>
      <c r="D184" s="105"/>
      <c r="E184" s="105"/>
      <c r="F184" s="107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6"/>
    </row>
    <row r="185" ht="15.75" customHeight="1">
      <c r="A185" s="109"/>
      <c r="B185" s="105"/>
      <c r="C185" s="104"/>
      <c r="D185" s="105"/>
      <c r="E185" s="105"/>
      <c r="F185" s="107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6"/>
    </row>
    <row r="186" ht="15.75" customHeight="1">
      <c r="A186" s="109"/>
      <c r="B186" s="105"/>
      <c r="C186" s="104"/>
      <c r="D186" s="105"/>
      <c r="E186" s="105"/>
      <c r="F186" s="107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6"/>
    </row>
    <row r="187" ht="15.75" customHeight="1">
      <c r="A187" s="109"/>
      <c r="B187" s="105"/>
      <c r="C187" s="104"/>
      <c r="D187" s="105"/>
      <c r="E187" s="105"/>
      <c r="F187" s="107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6"/>
    </row>
    <row r="188" ht="15.75" customHeight="1">
      <c r="A188" s="109"/>
      <c r="B188" s="105"/>
      <c r="C188" s="104"/>
      <c r="D188" s="105"/>
      <c r="E188" s="105"/>
      <c r="F188" s="107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6"/>
    </row>
    <row r="189" ht="15.75" customHeight="1">
      <c r="A189" s="109"/>
      <c r="B189" s="105"/>
      <c r="C189" s="104"/>
      <c r="D189" s="105"/>
      <c r="E189" s="105"/>
      <c r="F189" s="107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6"/>
    </row>
    <row r="190" ht="15.75" customHeight="1">
      <c r="A190" s="109"/>
      <c r="B190" s="105"/>
      <c r="C190" s="104"/>
      <c r="D190" s="105"/>
      <c r="E190" s="105"/>
      <c r="F190" s="107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6"/>
    </row>
    <row r="191" ht="15.75" customHeight="1">
      <c r="A191" s="109"/>
      <c r="B191" s="105"/>
      <c r="C191" s="104"/>
      <c r="D191" s="105"/>
      <c r="E191" s="105"/>
      <c r="F191" s="107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6"/>
    </row>
    <row r="192" ht="15.75" customHeight="1">
      <c r="A192" s="109"/>
      <c r="B192" s="105"/>
      <c r="C192" s="104"/>
      <c r="D192" s="105"/>
      <c r="E192" s="105"/>
      <c r="F192" s="107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6"/>
    </row>
    <row r="193" ht="15.75" customHeight="1">
      <c r="A193" s="109"/>
      <c r="B193" s="105"/>
      <c r="C193" s="104"/>
      <c r="D193" s="105"/>
      <c r="E193" s="105"/>
      <c r="F193" s="107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6"/>
    </row>
    <row r="194" ht="15.75" customHeight="1">
      <c r="A194" s="109"/>
      <c r="B194" s="105"/>
      <c r="C194" s="104"/>
      <c r="D194" s="105"/>
      <c r="E194" s="105"/>
      <c r="F194" s="107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6"/>
    </row>
    <row r="195" ht="15.75" customHeight="1">
      <c r="A195" s="109"/>
      <c r="B195" s="105"/>
      <c r="C195" s="104"/>
      <c r="D195" s="105"/>
      <c r="E195" s="105"/>
      <c r="F195" s="107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6"/>
    </row>
    <row r="196" ht="15.75" customHeight="1">
      <c r="A196" s="109"/>
      <c r="B196" s="105"/>
      <c r="C196" s="104"/>
      <c r="D196" s="105"/>
      <c r="E196" s="105"/>
      <c r="F196" s="107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6"/>
    </row>
    <row r="197" ht="15.75" customHeight="1">
      <c r="A197" s="109"/>
      <c r="B197" s="105"/>
      <c r="C197" s="104"/>
      <c r="D197" s="105"/>
      <c r="E197" s="105"/>
      <c r="F197" s="107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6"/>
    </row>
    <row r="198" ht="15.75" customHeight="1">
      <c r="A198" s="109"/>
      <c r="B198" s="105"/>
      <c r="C198" s="104"/>
      <c r="D198" s="105"/>
      <c r="E198" s="105"/>
      <c r="F198" s="107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6"/>
    </row>
    <row r="199" ht="15.75" customHeight="1">
      <c r="A199" s="109"/>
      <c r="B199" s="105"/>
      <c r="C199" s="104"/>
      <c r="D199" s="105"/>
      <c r="E199" s="105"/>
      <c r="F199" s="107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6"/>
    </row>
    <row r="200" ht="15.75" customHeight="1">
      <c r="A200" s="109"/>
      <c r="B200" s="105"/>
      <c r="C200" s="104"/>
      <c r="D200" s="105"/>
      <c r="E200" s="105"/>
      <c r="F200" s="107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6"/>
    </row>
    <row r="201" ht="15.75" customHeight="1">
      <c r="A201" s="109"/>
      <c r="B201" s="105"/>
      <c r="C201" s="104"/>
      <c r="D201" s="105"/>
      <c r="E201" s="105"/>
      <c r="F201" s="107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6"/>
    </row>
    <row r="202" ht="15.75" customHeight="1">
      <c r="A202" s="109"/>
      <c r="B202" s="105"/>
      <c r="C202" s="104"/>
      <c r="D202" s="105"/>
      <c r="E202" s="105"/>
      <c r="F202" s="107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6"/>
    </row>
    <row r="203" ht="15.75" customHeight="1">
      <c r="A203" s="109"/>
      <c r="B203" s="105"/>
      <c r="C203" s="104"/>
      <c r="D203" s="105"/>
      <c r="E203" s="105"/>
      <c r="F203" s="107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6"/>
    </row>
    <row r="204" ht="15.75" customHeight="1">
      <c r="A204" s="109"/>
      <c r="B204" s="105"/>
      <c r="C204" s="104"/>
      <c r="D204" s="105"/>
      <c r="E204" s="105"/>
      <c r="F204" s="107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6"/>
    </row>
    <row r="205" ht="15.75" customHeight="1">
      <c r="A205" s="109"/>
      <c r="B205" s="105"/>
      <c r="C205" s="104"/>
      <c r="D205" s="105"/>
      <c r="E205" s="105"/>
      <c r="F205" s="107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6"/>
    </row>
    <row r="206" ht="15.75" customHeight="1">
      <c r="A206" s="109"/>
      <c r="B206" s="105"/>
      <c r="C206" s="104"/>
      <c r="D206" s="105"/>
      <c r="E206" s="105"/>
      <c r="F206" s="107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6"/>
    </row>
    <row r="207" ht="15.75" customHeight="1">
      <c r="A207" s="109"/>
      <c r="B207" s="105"/>
      <c r="C207" s="104"/>
      <c r="D207" s="105"/>
      <c r="E207" s="105"/>
      <c r="F207" s="107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6"/>
    </row>
    <row r="208" ht="15.75" customHeight="1">
      <c r="A208" s="109"/>
      <c r="B208" s="105"/>
      <c r="C208" s="104"/>
      <c r="D208" s="105"/>
      <c r="E208" s="105"/>
      <c r="F208" s="107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6"/>
    </row>
    <row r="209" ht="15.75" customHeight="1">
      <c r="A209" s="109"/>
      <c r="B209" s="105"/>
      <c r="C209" s="104"/>
      <c r="D209" s="105"/>
      <c r="E209" s="105"/>
      <c r="F209" s="107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6"/>
    </row>
    <row r="210" ht="15.75" customHeight="1">
      <c r="A210" s="109"/>
      <c r="B210" s="105"/>
      <c r="C210" s="104"/>
      <c r="D210" s="105"/>
      <c r="E210" s="105"/>
      <c r="F210" s="107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6"/>
    </row>
    <row r="211" ht="15.75" customHeight="1">
      <c r="A211" s="109"/>
      <c r="B211" s="105"/>
      <c r="C211" s="104"/>
      <c r="D211" s="105"/>
      <c r="E211" s="105"/>
      <c r="F211" s="107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6"/>
    </row>
    <row r="212" ht="15.75" customHeight="1">
      <c r="A212" s="109"/>
      <c r="B212" s="105"/>
      <c r="C212" s="104"/>
      <c r="D212" s="105"/>
      <c r="E212" s="105"/>
      <c r="F212" s="107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6"/>
    </row>
    <row r="213" ht="15.75" customHeight="1">
      <c r="A213" s="109"/>
      <c r="B213" s="105"/>
      <c r="C213" s="104"/>
      <c r="D213" s="105"/>
      <c r="E213" s="105"/>
      <c r="F213" s="107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6"/>
    </row>
    <row r="214" ht="15.75" customHeight="1">
      <c r="A214" s="109"/>
      <c r="B214" s="105"/>
      <c r="C214" s="104"/>
      <c r="D214" s="105"/>
      <c r="E214" s="105"/>
      <c r="F214" s="107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6"/>
    </row>
    <row r="215" ht="15.75" customHeight="1">
      <c r="A215" s="109"/>
      <c r="B215" s="105"/>
      <c r="C215" s="104"/>
      <c r="D215" s="105"/>
      <c r="E215" s="105"/>
      <c r="F215" s="107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6"/>
    </row>
    <row r="216" ht="15.75" customHeight="1">
      <c r="A216" s="109"/>
      <c r="B216" s="105"/>
      <c r="C216" s="104"/>
      <c r="D216" s="105"/>
      <c r="E216" s="105"/>
      <c r="F216" s="107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6"/>
    </row>
    <row r="217" ht="15.75" customHeight="1">
      <c r="A217" s="109"/>
      <c r="B217" s="105"/>
      <c r="C217" s="104"/>
      <c r="D217" s="105"/>
      <c r="E217" s="105"/>
      <c r="F217" s="107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6"/>
    </row>
    <row r="218" ht="15.75" customHeight="1">
      <c r="A218" s="109"/>
      <c r="B218" s="105"/>
      <c r="C218" s="104"/>
      <c r="D218" s="105"/>
      <c r="E218" s="105"/>
      <c r="F218" s="107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6"/>
    </row>
    <row r="219" ht="15.75" customHeight="1">
      <c r="A219" s="109"/>
      <c r="B219" s="105"/>
      <c r="C219" s="104"/>
      <c r="D219" s="105"/>
      <c r="E219" s="105"/>
      <c r="F219" s="107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6"/>
    </row>
    <row r="220" ht="15.75" customHeight="1">
      <c r="A220" s="109"/>
      <c r="B220" s="105"/>
      <c r="C220" s="104"/>
      <c r="D220" s="105"/>
      <c r="E220" s="105"/>
      <c r="F220" s="107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6"/>
    </row>
    <row r="221" ht="15.75" customHeight="1">
      <c r="A221" s="109"/>
      <c r="B221" s="105"/>
      <c r="C221" s="104"/>
      <c r="D221" s="105"/>
      <c r="E221" s="105"/>
      <c r="F221" s="107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6"/>
    </row>
    <row r="222" ht="15.75" customHeight="1">
      <c r="A222" s="109"/>
      <c r="B222" s="105"/>
      <c r="C222" s="104"/>
      <c r="D222" s="105"/>
      <c r="E222" s="105"/>
      <c r="F222" s="107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6"/>
    </row>
    <row r="223" ht="15.75" customHeight="1">
      <c r="A223" s="109"/>
      <c r="B223" s="105"/>
      <c r="C223" s="104"/>
      <c r="D223" s="105"/>
      <c r="E223" s="105"/>
      <c r="F223" s="107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6"/>
    </row>
    <row r="224" ht="15.75" customHeight="1">
      <c r="A224" s="109"/>
      <c r="B224" s="105"/>
      <c r="C224" s="104"/>
      <c r="D224" s="105"/>
      <c r="E224" s="105"/>
      <c r="F224" s="107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6"/>
    </row>
    <row r="225" ht="15.75" customHeight="1">
      <c r="A225" s="109"/>
      <c r="B225" s="105"/>
      <c r="C225" s="104"/>
      <c r="D225" s="105"/>
      <c r="E225" s="105"/>
      <c r="F225" s="107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6"/>
    </row>
    <row r="226" ht="15.75" customHeight="1">
      <c r="A226" s="109"/>
      <c r="B226" s="105"/>
      <c r="C226" s="104"/>
      <c r="D226" s="105"/>
      <c r="E226" s="105"/>
      <c r="F226" s="107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6"/>
    </row>
    <row r="227" ht="15.75" customHeight="1">
      <c r="A227" s="109"/>
      <c r="B227" s="105"/>
      <c r="C227" s="104"/>
      <c r="D227" s="105"/>
      <c r="E227" s="105"/>
      <c r="F227" s="107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6"/>
    </row>
    <row r="228" ht="15.75" customHeight="1">
      <c r="A228" s="109"/>
      <c r="B228" s="105"/>
      <c r="C228" s="104"/>
      <c r="D228" s="105"/>
      <c r="E228" s="105"/>
      <c r="F228" s="107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6"/>
    </row>
    <row r="229" ht="15.75" customHeight="1">
      <c r="A229" s="109"/>
      <c r="B229" s="105"/>
      <c r="C229" s="104"/>
      <c r="D229" s="105"/>
      <c r="E229" s="105"/>
      <c r="F229" s="107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6"/>
    </row>
    <row r="230" ht="15.75" customHeight="1">
      <c r="A230" s="109"/>
      <c r="B230" s="105"/>
      <c r="C230" s="104"/>
      <c r="D230" s="105"/>
      <c r="E230" s="105"/>
      <c r="F230" s="107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6"/>
    </row>
    <row r="231" ht="15.75" customHeight="1">
      <c r="A231" s="109"/>
      <c r="B231" s="105"/>
      <c r="C231" s="104"/>
      <c r="D231" s="105"/>
      <c r="E231" s="105"/>
      <c r="F231" s="107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6"/>
    </row>
    <row r="232" ht="15.75" customHeight="1">
      <c r="A232" s="109"/>
      <c r="B232" s="105"/>
      <c r="C232" s="104"/>
      <c r="D232" s="105"/>
      <c r="E232" s="105"/>
      <c r="F232" s="107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6"/>
    </row>
    <row r="233" ht="15.75" customHeight="1">
      <c r="A233" s="109"/>
      <c r="B233" s="105"/>
      <c r="C233" s="104"/>
      <c r="D233" s="105"/>
      <c r="E233" s="105"/>
      <c r="F233" s="107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6"/>
    </row>
    <row r="234" ht="15.75" customHeight="1">
      <c r="A234" s="109"/>
      <c r="B234" s="105"/>
      <c r="C234" s="104"/>
      <c r="D234" s="105"/>
      <c r="E234" s="105"/>
      <c r="F234" s="107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6"/>
    </row>
    <row r="235" ht="15.75" customHeight="1">
      <c r="A235" s="109"/>
      <c r="B235" s="105"/>
      <c r="C235" s="104"/>
      <c r="D235" s="105"/>
      <c r="E235" s="105"/>
      <c r="F235" s="107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6"/>
    </row>
    <row r="236" ht="15.75" customHeight="1">
      <c r="A236" s="109"/>
      <c r="B236" s="105"/>
      <c r="C236" s="104"/>
      <c r="D236" s="105"/>
      <c r="E236" s="105"/>
      <c r="F236" s="107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6"/>
    </row>
    <row r="237" ht="15.75" customHeight="1">
      <c r="A237" s="109"/>
      <c r="B237" s="105"/>
      <c r="C237" s="104"/>
      <c r="D237" s="105"/>
      <c r="E237" s="105"/>
      <c r="F237" s="107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6"/>
    </row>
    <row r="238" ht="15.75" customHeight="1">
      <c r="A238" s="109"/>
      <c r="B238" s="105"/>
      <c r="C238" s="104"/>
      <c r="D238" s="105"/>
      <c r="E238" s="105"/>
      <c r="F238" s="107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6"/>
    </row>
    <row r="239" ht="15.75" customHeight="1">
      <c r="A239" s="109"/>
      <c r="B239" s="105"/>
      <c r="C239" s="104"/>
      <c r="D239" s="105"/>
      <c r="E239" s="105"/>
      <c r="F239" s="107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6"/>
    </row>
    <row r="240" ht="15.75" customHeight="1">
      <c r="A240" s="109"/>
      <c r="B240" s="105"/>
      <c r="C240" s="104"/>
      <c r="D240" s="105"/>
      <c r="E240" s="105"/>
      <c r="F240" s="107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6"/>
    </row>
    <row r="241" ht="15.75" customHeight="1">
      <c r="A241" s="109"/>
      <c r="B241" s="105"/>
      <c r="C241" s="104"/>
      <c r="D241" s="105"/>
      <c r="E241" s="105"/>
      <c r="F241" s="107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6"/>
    </row>
    <row r="242" ht="15.75" customHeight="1">
      <c r="A242" s="109"/>
      <c r="B242" s="105"/>
      <c r="C242" s="104"/>
      <c r="D242" s="105"/>
      <c r="E242" s="105"/>
      <c r="F242" s="107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6"/>
    </row>
    <row r="243" ht="15.75" customHeight="1">
      <c r="A243" s="109"/>
      <c r="B243" s="105"/>
      <c r="C243" s="104"/>
      <c r="D243" s="105"/>
      <c r="E243" s="105"/>
      <c r="F243" s="107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6"/>
    </row>
    <row r="244" ht="15.75" customHeight="1">
      <c r="A244" s="109"/>
      <c r="B244" s="105"/>
      <c r="C244" s="104"/>
      <c r="D244" s="105"/>
      <c r="E244" s="105"/>
      <c r="F244" s="107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6"/>
    </row>
    <row r="245" ht="15.75" customHeight="1">
      <c r="A245" s="109"/>
      <c r="B245" s="105"/>
      <c r="C245" s="104"/>
      <c r="D245" s="105"/>
      <c r="E245" s="105"/>
      <c r="F245" s="107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6"/>
    </row>
    <row r="246" ht="15.75" customHeight="1">
      <c r="A246" s="109"/>
      <c r="B246" s="105"/>
      <c r="C246" s="104"/>
      <c r="D246" s="105"/>
      <c r="E246" s="105"/>
      <c r="F246" s="107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6"/>
    </row>
    <row r="247" ht="15.75" customHeight="1">
      <c r="A247" s="109"/>
      <c r="B247" s="105"/>
      <c r="C247" s="104"/>
      <c r="D247" s="105"/>
      <c r="E247" s="105"/>
      <c r="F247" s="107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6"/>
    </row>
    <row r="248" ht="15.75" customHeight="1">
      <c r="A248" s="109"/>
      <c r="B248" s="105"/>
      <c r="C248" s="104"/>
      <c r="D248" s="105"/>
      <c r="E248" s="105"/>
      <c r="F248" s="107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6"/>
    </row>
    <row r="249" ht="15.75" customHeight="1">
      <c r="A249" s="109"/>
      <c r="B249" s="105"/>
      <c r="C249" s="104"/>
      <c r="D249" s="105"/>
      <c r="E249" s="105"/>
      <c r="F249" s="107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6"/>
    </row>
    <row r="250" ht="15.75" customHeight="1">
      <c r="A250" s="109"/>
      <c r="B250" s="105"/>
      <c r="C250" s="104"/>
      <c r="D250" s="105"/>
      <c r="E250" s="105"/>
      <c r="F250" s="107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6"/>
    </row>
    <row r="251" ht="15.75" customHeight="1">
      <c r="A251" s="109"/>
      <c r="B251" s="105"/>
      <c r="C251" s="104"/>
      <c r="D251" s="105"/>
      <c r="E251" s="105"/>
      <c r="F251" s="107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6"/>
    </row>
    <row r="252" ht="15.75" customHeight="1">
      <c r="A252" s="109"/>
      <c r="B252" s="105"/>
      <c r="C252" s="104"/>
      <c r="D252" s="105"/>
      <c r="E252" s="105"/>
      <c r="F252" s="107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6"/>
    </row>
    <row r="253" ht="15.75" customHeight="1">
      <c r="A253" s="109"/>
      <c r="B253" s="105"/>
      <c r="C253" s="104"/>
      <c r="D253" s="105"/>
      <c r="E253" s="105"/>
      <c r="F253" s="107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6"/>
    </row>
    <row r="254" ht="15.75" customHeight="1">
      <c r="A254" s="109"/>
      <c r="B254" s="105"/>
      <c r="C254" s="104"/>
      <c r="D254" s="105"/>
      <c r="E254" s="105"/>
      <c r="F254" s="107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6"/>
    </row>
    <row r="255" ht="15.75" customHeight="1">
      <c r="A255" s="109"/>
      <c r="B255" s="105"/>
      <c r="C255" s="104"/>
      <c r="D255" s="105"/>
      <c r="E255" s="105"/>
      <c r="F255" s="107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6"/>
    </row>
    <row r="256" ht="15.75" customHeight="1">
      <c r="A256" s="109"/>
      <c r="B256" s="105"/>
      <c r="C256" s="104"/>
      <c r="D256" s="105"/>
      <c r="E256" s="105"/>
      <c r="F256" s="107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6"/>
    </row>
    <row r="257" ht="15.75" customHeight="1">
      <c r="A257" s="109"/>
      <c r="B257" s="105"/>
      <c r="C257" s="104"/>
      <c r="D257" s="105"/>
      <c r="E257" s="105"/>
      <c r="F257" s="107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6"/>
    </row>
    <row r="258" ht="15.75" customHeight="1">
      <c r="A258" s="109"/>
      <c r="B258" s="105"/>
      <c r="C258" s="104"/>
      <c r="D258" s="105"/>
      <c r="E258" s="105"/>
      <c r="F258" s="107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6"/>
    </row>
    <row r="259" ht="15.75" customHeight="1">
      <c r="A259" s="109"/>
      <c r="B259" s="105"/>
      <c r="C259" s="104"/>
      <c r="D259" s="105"/>
      <c r="E259" s="105"/>
      <c r="F259" s="107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6"/>
    </row>
    <row r="260" ht="15.75" customHeight="1">
      <c r="A260" s="109"/>
      <c r="B260" s="105"/>
      <c r="C260" s="104"/>
      <c r="D260" s="105"/>
      <c r="E260" s="105"/>
      <c r="F260" s="107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6"/>
    </row>
    <row r="261" ht="15.75" customHeight="1">
      <c r="A261" s="109"/>
      <c r="B261" s="105"/>
      <c r="C261" s="104"/>
      <c r="D261" s="105"/>
      <c r="E261" s="105"/>
      <c r="F261" s="107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6"/>
    </row>
    <row r="262" ht="15.75" customHeight="1">
      <c r="A262" s="109"/>
      <c r="B262" s="105"/>
      <c r="C262" s="104"/>
      <c r="D262" s="105"/>
      <c r="E262" s="105"/>
      <c r="F262" s="107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6"/>
    </row>
    <row r="263" ht="15.75" customHeight="1">
      <c r="A263" s="109"/>
      <c r="B263" s="105"/>
      <c r="C263" s="104"/>
      <c r="D263" s="105"/>
      <c r="E263" s="105"/>
      <c r="F263" s="107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6"/>
    </row>
    <row r="264" ht="15.75" customHeight="1">
      <c r="A264" s="109"/>
      <c r="B264" s="105"/>
      <c r="C264" s="104"/>
      <c r="D264" s="105"/>
      <c r="E264" s="105"/>
      <c r="F264" s="107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6"/>
    </row>
    <row r="265" ht="15.75" customHeight="1">
      <c r="A265" s="109"/>
      <c r="B265" s="105"/>
      <c r="C265" s="104"/>
      <c r="D265" s="105"/>
      <c r="E265" s="105"/>
      <c r="F265" s="107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6"/>
    </row>
    <row r="266" ht="15.75" customHeight="1">
      <c r="A266" s="109"/>
      <c r="B266" s="105"/>
      <c r="C266" s="104"/>
      <c r="D266" s="105"/>
      <c r="E266" s="105"/>
      <c r="F266" s="107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6"/>
    </row>
    <row r="267" ht="15.75" customHeight="1">
      <c r="A267" s="109"/>
      <c r="B267" s="105"/>
      <c r="C267" s="104"/>
      <c r="D267" s="105"/>
      <c r="E267" s="105"/>
      <c r="F267" s="107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6"/>
    </row>
    <row r="268" ht="15.75" customHeight="1">
      <c r="A268" s="109"/>
      <c r="B268" s="105"/>
      <c r="C268" s="104"/>
      <c r="D268" s="105"/>
      <c r="E268" s="105"/>
      <c r="F268" s="107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6"/>
    </row>
    <row r="269" ht="15.75" customHeight="1">
      <c r="A269" s="109"/>
      <c r="B269" s="105"/>
      <c r="C269" s="104"/>
      <c r="D269" s="105"/>
      <c r="E269" s="105"/>
      <c r="F269" s="107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6"/>
    </row>
    <row r="270" ht="15.75" customHeight="1">
      <c r="A270" s="109"/>
      <c r="B270" s="105"/>
      <c r="C270" s="104"/>
      <c r="D270" s="105"/>
      <c r="E270" s="105"/>
      <c r="F270" s="107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6"/>
    </row>
    <row r="271" ht="15.75" customHeight="1">
      <c r="A271" s="109"/>
      <c r="B271" s="105"/>
      <c r="C271" s="104"/>
      <c r="D271" s="105"/>
      <c r="E271" s="105"/>
      <c r="F271" s="107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6"/>
    </row>
    <row r="272" ht="15.75" customHeight="1">
      <c r="A272" s="109"/>
      <c r="B272" s="105"/>
      <c r="C272" s="104"/>
      <c r="D272" s="105"/>
      <c r="E272" s="105"/>
      <c r="F272" s="107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6"/>
    </row>
    <row r="273" ht="15.75" customHeight="1">
      <c r="A273" s="109"/>
      <c r="B273" s="105"/>
      <c r="C273" s="104"/>
      <c r="D273" s="105"/>
      <c r="E273" s="105"/>
      <c r="F273" s="107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6"/>
    </row>
    <row r="274" ht="15.75" customHeight="1">
      <c r="A274" s="109"/>
      <c r="B274" s="105"/>
      <c r="C274" s="104"/>
      <c r="D274" s="105"/>
      <c r="E274" s="105"/>
      <c r="F274" s="107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6"/>
    </row>
    <row r="275" ht="15.75" customHeight="1">
      <c r="A275" s="109"/>
      <c r="B275" s="105"/>
      <c r="C275" s="104"/>
      <c r="D275" s="105"/>
      <c r="E275" s="105"/>
      <c r="F275" s="107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6"/>
    </row>
    <row r="276" ht="15.75" customHeight="1">
      <c r="A276" s="109"/>
      <c r="B276" s="105"/>
      <c r="C276" s="104"/>
      <c r="D276" s="105"/>
      <c r="E276" s="105"/>
      <c r="F276" s="107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6"/>
    </row>
    <row r="277" ht="15.75" customHeight="1">
      <c r="A277" s="109"/>
      <c r="B277" s="105"/>
      <c r="C277" s="104"/>
      <c r="D277" s="105"/>
      <c r="E277" s="105"/>
      <c r="F277" s="107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6"/>
    </row>
    <row r="278" ht="15.75" customHeight="1">
      <c r="A278" s="109"/>
      <c r="B278" s="105"/>
      <c r="C278" s="104"/>
      <c r="D278" s="105"/>
      <c r="E278" s="105"/>
      <c r="F278" s="107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6"/>
    </row>
    <row r="279" ht="15.75" customHeight="1">
      <c r="A279" s="109"/>
      <c r="B279" s="105"/>
      <c r="C279" s="104"/>
      <c r="D279" s="105"/>
      <c r="E279" s="105"/>
      <c r="F279" s="107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6"/>
    </row>
    <row r="280" ht="15.75" customHeight="1">
      <c r="A280" s="109"/>
      <c r="B280" s="105"/>
      <c r="C280" s="104"/>
      <c r="D280" s="105"/>
      <c r="E280" s="105"/>
      <c r="F280" s="107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6"/>
    </row>
    <row r="281" ht="15.75" customHeight="1">
      <c r="A281" s="109"/>
      <c r="B281" s="105"/>
      <c r="C281" s="104"/>
      <c r="D281" s="105"/>
      <c r="E281" s="105"/>
      <c r="F281" s="107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6"/>
    </row>
    <row r="282" ht="15.75" customHeight="1">
      <c r="A282" s="109"/>
      <c r="B282" s="105"/>
      <c r="C282" s="104"/>
      <c r="D282" s="105"/>
      <c r="E282" s="105"/>
      <c r="F282" s="107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6"/>
    </row>
    <row r="283" ht="15.75" customHeight="1">
      <c r="A283" s="109"/>
      <c r="B283" s="105"/>
      <c r="C283" s="104"/>
      <c r="D283" s="105"/>
      <c r="E283" s="105"/>
      <c r="F283" s="107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6"/>
    </row>
    <row r="284" ht="15.75" customHeight="1">
      <c r="A284" s="109"/>
      <c r="B284" s="105"/>
      <c r="C284" s="104"/>
      <c r="D284" s="105"/>
      <c r="E284" s="105"/>
      <c r="F284" s="107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6"/>
    </row>
    <row r="285" ht="15.75" customHeight="1">
      <c r="A285" s="109"/>
      <c r="B285" s="105"/>
      <c r="C285" s="104"/>
      <c r="D285" s="105"/>
      <c r="E285" s="105"/>
      <c r="F285" s="107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6"/>
    </row>
    <row r="286" ht="15.75" customHeight="1">
      <c r="A286" s="109"/>
      <c r="B286" s="105"/>
      <c r="C286" s="104"/>
      <c r="D286" s="105"/>
      <c r="E286" s="105"/>
      <c r="F286" s="107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6"/>
    </row>
    <row r="287" ht="15.75" customHeight="1">
      <c r="A287" s="109"/>
      <c r="B287" s="105"/>
      <c r="C287" s="104"/>
      <c r="D287" s="105"/>
      <c r="E287" s="105"/>
      <c r="F287" s="107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6"/>
    </row>
    <row r="288" ht="15.75" customHeight="1">
      <c r="A288" s="109"/>
      <c r="B288" s="105"/>
      <c r="C288" s="104"/>
      <c r="D288" s="105"/>
      <c r="E288" s="105"/>
      <c r="F288" s="107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6"/>
    </row>
    <row r="289" ht="15.75" customHeight="1">
      <c r="A289" s="109"/>
      <c r="B289" s="105"/>
      <c r="C289" s="104"/>
      <c r="D289" s="105"/>
      <c r="E289" s="105"/>
      <c r="F289" s="107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6"/>
    </row>
    <row r="290" ht="15.75" customHeight="1">
      <c r="A290" s="109"/>
      <c r="B290" s="105"/>
      <c r="C290" s="104"/>
      <c r="D290" s="105"/>
      <c r="E290" s="105"/>
      <c r="F290" s="107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6"/>
    </row>
    <row r="291" ht="15.75" customHeight="1">
      <c r="A291" s="109"/>
      <c r="B291" s="105"/>
      <c r="C291" s="104"/>
      <c r="D291" s="105"/>
      <c r="E291" s="105"/>
      <c r="F291" s="107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6"/>
    </row>
    <row r="292" ht="15.75" customHeight="1">
      <c r="A292" s="109"/>
      <c r="B292" s="105"/>
      <c r="C292" s="104"/>
      <c r="D292" s="105"/>
      <c r="E292" s="105"/>
      <c r="F292" s="107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6"/>
    </row>
    <row r="293" ht="15.75" customHeight="1">
      <c r="A293" s="109"/>
      <c r="B293" s="105"/>
      <c r="C293" s="104"/>
      <c r="D293" s="105"/>
      <c r="E293" s="105"/>
      <c r="F293" s="107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6"/>
    </row>
    <row r="294" ht="15.75" customHeight="1">
      <c r="A294" s="109"/>
      <c r="B294" s="105"/>
      <c r="C294" s="104"/>
      <c r="D294" s="105"/>
      <c r="E294" s="105"/>
      <c r="F294" s="107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6"/>
    </row>
    <row r="295" ht="15.75" customHeight="1">
      <c r="A295" s="109"/>
      <c r="B295" s="105"/>
      <c r="C295" s="104"/>
      <c r="D295" s="105"/>
      <c r="E295" s="105"/>
      <c r="F295" s="107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6"/>
    </row>
    <row r="296" ht="15.75" customHeight="1">
      <c r="A296" s="109"/>
      <c r="B296" s="105"/>
      <c r="C296" s="104"/>
      <c r="D296" s="105"/>
      <c r="E296" s="105"/>
      <c r="F296" s="107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6"/>
    </row>
    <row r="297" ht="15.75" customHeight="1">
      <c r="A297" s="109"/>
      <c r="B297" s="105"/>
      <c r="C297" s="104"/>
      <c r="D297" s="105"/>
      <c r="E297" s="105"/>
      <c r="F297" s="107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6"/>
    </row>
    <row r="298" ht="15.75" customHeight="1">
      <c r="A298" s="109"/>
      <c r="B298" s="105"/>
      <c r="C298" s="104"/>
      <c r="D298" s="105"/>
      <c r="E298" s="105"/>
      <c r="F298" s="107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6"/>
    </row>
    <row r="299" ht="15.75" customHeight="1">
      <c r="A299" s="109"/>
      <c r="B299" s="105"/>
      <c r="C299" s="104"/>
      <c r="D299" s="105"/>
      <c r="E299" s="105"/>
      <c r="F299" s="107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6"/>
    </row>
    <row r="300" ht="15.75" customHeight="1">
      <c r="A300" s="109"/>
      <c r="B300" s="105"/>
      <c r="C300" s="104"/>
      <c r="D300" s="105"/>
      <c r="E300" s="105"/>
      <c r="F300" s="107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6"/>
    </row>
    <row r="301" ht="15.75" customHeight="1">
      <c r="A301" s="109"/>
      <c r="B301" s="105"/>
      <c r="C301" s="104"/>
      <c r="D301" s="105"/>
      <c r="E301" s="105"/>
      <c r="F301" s="107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6"/>
    </row>
    <row r="302" ht="15.75" customHeight="1">
      <c r="A302" s="109"/>
      <c r="B302" s="105"/>
      <c r="C302" s="104"/>
      <c r="D302" s="105"/>
      <c r="E302" s="105"/>
      <c r="F302" s="107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6"/>
    </row>
    <row r="303" ht="15.75" customHeight="1">
      <c r="A303" s="109"/>
      <c r="B303" s="105"/>
      <c r="C303" s="104"/>
      <c r="D303" s="105"/>
      <c r="E303" s="105"/>
      <c r="F303" s="107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6"/>
    </row>
    <row r="304" ht="15.75" customHeight="1">
      <c r="A304" s="109"/>
      <c r="B304" s="105"/>
      <c r="C304" s="104"/>
      <c r="D304" s="105"/>
      <c r="E304" s="105"/>
      <c r="F304" s="107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6"/>
    </row>
    <row r="305" ht="15.75" customHeight="1">
      <c r="A305" s="109"/>
      <c r="B305" s="105"/>
      <c r="C305" s="104"/>
      <c r="D305" s="105"/>
      <c r="E305" s="105"/>
      <c r="F305" s="107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6"/>
    </row>
    <row r="306" ht="15.75" customHeight="1">
      <c r="A306" s="109"/>
      <c r="B306" s="105"/>
      <c r="C306" s="104"/>
      <c r="D306" s="105"/>
      <c r="E306" s="105"/>
      <c r="F306" s="107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6"/>
    </row>
    <row r="307" ht="15.75" customHeight="1">
      <c r="A307" s="109"/>
      <c r="B307" s="105"/>
      <c r="C307" s="104"/>
      <c r="D307" s="105"/>
      <c r="E307" s="105"/>
      <c r="F307" s="107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6"/>
    </row>
    <row r="308" ht="15.75" customHeight="1">
      <c r="A308" s="109"/>
      <c r="B308" s="105"/>
      <c r="C308" s="104"/>
      <c r="D308" s="105"/>
      <c r="E308" s="105"/>
      <c r="F308" s="107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6"/>
    </row>
    <row r="309" ht="15.75" customHeight="1">
      <c r="A309" s="109"/>
      <c r="B309" s="105"/>
      <c r="C309" s="104"/>
      <c r="D309" s="105"/>
      <c r="E309" s="105"/>
      <c r="F309" s="107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6"/>
    </row>
    <row r="310" ht="15.75" customHeight="1">
      <c r="A310" s="109"/>
      <c r="B310" s="105"/>
      <c r="C310" s="104"/>
      <c r="D310" s="105"/>
      <c r="E310" s="105"/>
      <c r="F310" s="107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6"/>
    </row>
    <row r="311" ht="15.75" customHeight="1">
      <c r="A311" s="109"/>
      <c r="B311" s="105"/>
      <c r="C311" s="104"/>
      <c r="D311" s="105"/>
      <c r="E311" s="105"/>
      <c r="F311" s="107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6"/>
    </row>
    <row r="312" ht="15.75" customHeight="1">
      <c r="A312" s="109"/>
      <c r="B312" s="105"/>
      <c r="C312" s="104"/>
      <c r="D312" s="105"/>
      <c r="E312" s="105"/>
      <c r="F312" s="107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6"/>
    </row>
    <row r="313" ht="15.75" customHeight="1">
      <c r="A313" s="109"/>
      <c r="B313" s="105"/>
      <c r="C313" s="104"/>
      <c r="D313" s="105"/>
      <c r="E313" s="105"/>
      <c r="F313" s="107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6"/>
    </row>
    <row r="314" ht="15.75" customHeight="1">
      <c r="A314" s="109"/>
      <c r="B314" s="105"/>
      <c r="C314" s="104"/>
      <c r="D314" s="105"/>
      <c r="E314" s="105"/>
      <c r="F314" s="107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6"/>
    </row>
    <row r="315" ht="15.75" customHeight="1">
      <c r="A315" s="109"/>
      <c r="B315" s="105"/>
      <c r="C315" s="104"/>
      <c r="D315" s="105"/>
      <c r="E315" s="105"/>
      <c r="F315" s="107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6"/>
    </row>
    <row r="316" ht="15.75" customHeight="1">
      <c r="A316" s="109"/>
      <c r="B316" s="105"/>
      <c r="C316" s="104"/>
      <c r="D316" s="105"/>
      <c r="E316" s="105"/>
      <c r="F316" s="107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6"/>
    </row>
    <row r="317" ht="15.75" customHeight="1">
      <c r="A317" s="109"/>
      <c r="B317" s="105"/>
      <c r="C317" s="104"/>
      <c r="D317" s="105"/>
      <c r="E317" s="105"/>
      <c r="F317" s="107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6"/>
    </row>
    <row r="318" ht="15.75" customHeight="1">
      <c r="A318" s="109"/>
      <c r="B318" s="105"/>
      <c r="C318" s="104"/>
      <c r="D318" s="105"/>
      <c r="E318" s="105"/>
      <c r="F318" s="107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6"/>
    </row>
    <row r="319" ht="15.75" customHeight="1">
      <c r="A319" s="109"/>
      <c r="B319" s="105"/>
      <c r="C319" s="104"/>
      <c r="D319" s="105"/>
      <c r="E319" s="105"/>
      <c r="F319" s="107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6"/>
    </row>
    <row r="320" ht="15.75" customHeight="1">
      <c r="A320" s="109"/>
      <c r="B320" s="105"/>
      <c r="C320" s="104"/>
      <c r="D320" s="105"/>
      <c r="E320" s="105"/>
      <c r="F320" s="107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6"/>
    </row>
    <row r="321" ht="15.75" customHeight="1">
      <c r="A321" s="109"/>
      <c r="B321" s="105"/>
      <c r="C321" s="104"/>
      <c r="D321" s="105"/>
      <c r="E321" s="105"/>
      <c r="F321" s="107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6"/>
    </row>
    <row r="322" ht="15.75" customHeight="1">
      <c r="A322" s="109"/>
      <c r="B322" s="105"/>
      <c r="C322" s="104"/>
      <c r="D322" s="105"/>
      <c r="E322" s="105"/>
      <c r="F322" s="107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6"/>
    </row>
    <row r="323" ht="15.75" customHeight="1">
      <c r="A323" s="109"/>
      <c r="B323" s="105"/>
      <c r="C323" s="104"/>
      <c r="D323" s="105"/>
      <c r="E323" s="105"/>
      <c r="F323" s="107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6"/>
    </row>
    <row r="324" ht="15.75" customHeight="1">
      <c r="A324" s="109"/>
      <c r="B324" s="105"/>
      <c r="C324" s="104"/>
      <c r="D324" s="105"/>
      <c r="E324" s="105"/>
      <c r="F324" s="107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6"/>
    </row>
    <row r="325" ht="15.75" customHeight="1">
      <c r="A325" s="109"/>
      <c r="B325" s="105"/>
      <c r="C325" s="104"/>
      <c r="D325" s="105"/>
      <c r="E325" s="105"/>
      <c r="F325" s="107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6"/>
    </row>
    <row r="326" ht="15.75" customHeight="1">
      <c r="A326" s="109"/>
      <c r="B326" s="105"/>
      <c r="C326" s="104"/>
      <c r="D326" s="105"/>
      <c r="E326" s="105"/>
      <c r="F326" s="107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6"/>
    </row>
    <row r="327" ht="15.75" customHeight="1">
      <c r="A327" s="109"/>
      <c r="B327" s="105"/>
      <c r="C327" s="104"/>
      <c r="D327" s="105"/>
      <c r="E327" s="105"/>
      <c r="F327" s="107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6"/>
    </row>
    <row r="328" ht="15.75" customHeight="1">
      <c r="A328" s="109"/>
      <c r="B328" s="105"/>
      <c r="C328" s="104"/>
      <c r="D328" s="105"/>
      <c r="E328" s="105"/>
      <c r="F328" s="107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6"/>
    </row>
    <row r="329" ht="15.75" customHeight="1">
      <c r="A329" s="109"/>
      <c r="B329" s="105"/>
      <c r="C329" s="104"/>
      <c r="D329" s="105"/>
      <c r="E329" s="105"/>
      <c r="F329" s="107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6"/>
    </row>
    <row r="330" ht="15.75" customHeight="1">
      <c r="A330" s="109"/>
      <c r="B330" s="105"/>
      <c r="C330" s="104"/>
      <c r="D330" s="105"/>
      <c r="E330" s="105"/>
      <c r="F330" s="107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6"/>
    </row>
    <row r="331" ht="15.75" customHeight="1">
      <c r="A331" s="109"/>
      <c r="B331" s="105"/>
      <c r="C331" s="104"/>
      <c r="D331" s="105"/>
      <c r="E331" s="105"/>
      <c r="F331" s="107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6"/>
    </row>
    <row r="332" ht="15.75" customHeight="1">
      <c r="A332" s="109"/>
      <c r="B332" s="105"/>
      <c r="C332" s="104"/>
      <c r="D332" s="105"/>
      <c r="E332" s="105"/>
      <c r="F332" s="107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6"/>
    </row>
    <row r="333" ht="15.75" customHeight="1">
      <c r="A333" s="109"/>
      <c r="B333" s="105"/>
      <c r="C333" s="104"/>
      <c r="D333" s="105"/>
      <c r="E333" s="105"/>
      <c r="F333" s="107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6"/>
    </row>
    <row r="334" ht="15.75" customHeight="1">
      <c r="A334" s="109"/>
      <c r="B334" s="105"/>
      <c r="C334" s="104"/>
      <c r="D334" s="105"/>
      <c r="E334" s="105"/>
      <c r="F334" s="107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6"/>
    </row>
    <row r="335" ht="15.75" customHeight="1">
      <c r="A335" s="109"/>
      <c r="B335" s="105"/>
      <c r="C335" s="104"/>
      <c r="D335" s="105"/>
      <c r="E335" s="105"/>
      <c r="F335" s="107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6"/>
    </row>
    <row r="336" ht="15.75" customHeight="1">
      <c r="A336" s="109"/>
      <c r="B336" s="105"/>
      <c r="C336" s="104"/>
      <c r="D336" s="105"/>
      <c r="E336" s="105"/>
      <c r="F336" s="107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6"/>
    </row>
    <row r="337" ht="15.75" customHeight="1">
      <c r="A337" s="109"/>
      <c r="B337" s="105"/>
      <c r="C337" s="104"/>
      <c r="D337" s="105"/>
      <c r="E337" s="105"/>
      <c r="F337" s="107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6"/>
    </row>
    <row r="338" ht="15.75" customHeight="1">
      <c r="A338" s="109"/>
      <c r="B338" s="105"/>
      <c r="C338" s="104"/>
      <c r="D338" s="105"/>
      <c r="E338" s="105"/>
      <c r="F338" s="107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6"/>
    </row>
    <row r="339" ht="15.75" customHeight="1">
      <c r="A339" s="109"/>
      <c r="B339" s="105"/>
      <c r="C339" s="104"/>
      <c r="D339" s="105"/>
      <c r="E339" s="105"/>
      <c r="F339" s="107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6"/>
    </row>
    <row r="340" ht="15.75" customHeight="1">
      <c r="A340" s="109"/>
      <c r="B340" s="105"/>
      <c r="C340" s="104"/>
      <c r="D340" s="105"/>
      <c r="E340" s="105"/>
      <c r="F340" s="107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6"/>
    </row>
    <row r="341" ht="15.75" customHeight="1">
      <c r="A341" s="109"/>
      <c r="B341" s="105"/>
      <c r="C341" s="104"/>
      <c r="D341" s="105"/>
      <c r="E341" s="105"/>
      <c r="F341" s="107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6"/>
    </row>
    <row r="342" ht="15.75" customHeight="1">
      <c r="A342" s="109"/>
      <c r="B342" s="105"/>
      <c r="C342" s="104"/>
      <c r="D342" s="105"/>
      <c r="E342" s="105"/>
      <c r="F342" s="107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6"/>
    </row>
    <row r="343" ht="15.75" customHeight="1">
      <c r="A343" s="109"/>
      <c r="B343" s="105"/>
      <c r="C343" s="104"/>
      <c r="D343" s="105"/>
      <c r="E343" s="105"/>
      <c r="F343" s="107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6"/>
    </row>
    <row r="344" ht="15.75" customHeight="1">
      <c r="A344" s="109"/>
      <c r="B344" s="105"/>
      <c r="C344" s="104"/>
      <c r="D344" s="105"/>
      <c r="E344" s="105"/>
      <c r="F344" s="107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6"/>
    </row>
    <row r="345" ht="15.75" customHeight="1">
      <c r="A345" s="109"/>
      <c r="B345" s="105"/>
      <c r="C345" s="104"/>
      <c r="D345" s="105"/>
      <c r="E345" s="105"/>
      <c r="F345" s="107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6"/>
    </row>
    <row r="346" ht="15.75" customHeight="1">
      <c r="A346" s="109"/>
      <c r="B346" s="105"/>
      <c r="C346" s="104"/>
      <c r="D346" s="105"/>
      <c r="E346" s="105"/>
      <c r="F346" s="107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6"/>
    </row>
    <row r="347" ht="15.75" customHeight="1">
      <c r="A347" s="109"/>
      <c r="B347" s="105"/>
      <c r="C347" s="104"/>
      <c r="D347" s="105"/>
      <c r="E347" s="105"/>
      <c r="F347" s="107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6"/>
    </row>
    <row r="348" ht="15.75" customHeight="1">
      <c r="A348" s="109"/>
      <c r="B348" s="105"/>
      <c r="C348" s="104"/>
      <c r="D348" s="105"/>
      <c r="E348" s="105"/>
      <c r="F348" s="107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6"/>
    </row>
    <row r="349" ht="15.75" customHeight="1">
      <c r="A349" s="109"/>
      <c r="B349" s="105"/>
      <c r="C349" s="104"/>
      <c r="D349" s="105"/>
      <c r="E349" s="105"/>
      <c r="F349" s="107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6"/>
    </row>
    <row r="350" ht="15.75" customHeight="1">
      <c r="A350" s="109"/>
      <c r="B350" s="105"/>
      <c r="C350" s="104"/>
      <c r="D350" s="105"/>
      <c r="E350" s="105"/>
      <c r="F350" s="107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6"/>
    </row>
    <row r="351" ht="15.75" customHeight="1">
      <c r="A351" s="109"/>
      <c r="B351" s="105"/>
      <c r="C351" s="104"/>
      <c r="D351" s="105"/>
      <c r="E351" s="105"/>
      <c r="F351" s="107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6"/>
    </row>
    <row r="352" ht="15.75" customHeight="1">
      <c r="A352" s="109"/>
      <c r="B352" s="105"/>
      <c r="C352" s="104"/>
      <c r="D352" s="105"/>
      <c r="E352" s="105"/>
      <c r="F352" s="107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6"/>
    </row>
    <row r="353" ht="15.75" customHeight="1">
      <c r="A353" s="109"/>
      <c r="B353" s="105"/>
      <c r="C353" s="104"/>
      <c r="D353" s="105"/>
      <c r="E353" s="105"/>
      <c r="F353" s="107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6"/>
    </row>
    <row r="354" ht="15.75" customHeight="1">
      <c r="A354" s="109"/>
      <c r="B354" s="105"/>
      <c r="C354" s="104"/>
      <c r="D354" s="105"/>
      <c r="E354" s="105"/>
      <c r="F354" s="107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6"/>
    </row>
    <row r="355" ht="15.75" customHeight="1">
      <c r="A355" s="109"/>
      <c r="B355" s="105"/>
      <c r="C355" s="104"/>
      <c r="D355" s="105"/>
      <c r="E355" s="105"/>
      <c r="F355" s="107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6"/>
    </row>
    <row r="356" ht="15.75" customHeight="1">
      <c r="A356" s="109"/>
      <c r="B356" s="105"/>
      <c r="C356" s="104"/>
      <c r="D356" s="105"/>
      <c r="E356" s="105"/>
      <c r="F356" s="107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6"/>
    </row>
    <row r="357" ht="15.75" customHeight="1">
      <c r="A357" s="109"/>
      <c r="B357" s="105"/>
      <c r="C357" s="104"/>
      <c r="D357" s="105"/>
      <c r="E357" s="105"/>
      <c r="F357" s="107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6"/>
    </row>
    <row r="358" ht="15.75" customHeight="1">
      <c r="A358" s="109"/>
      <c r="B358" s="105"/>
      <c r="C358" s="104"/>
      <c r="D358" s="105"/>
      <c r="E358" s="105"/>
      <c r="F358" s="107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6"/>
    </row>
    <row r="359" ht="15.75" customHeight="1">
      <c r="A359" s="109"/>
      <c r="B359" s="105"/>
      <c r="C359" s="104"/>
      <c r="D359" s="105"/>
      <c r="E359" s="105"/>
      <c r="F359" s="107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6"/>
    </row>
    <row r="360" ht="15.75" customHeight="1">
      <c r="A360" s="109"/>
      <c r="B360" s="105"/>
      <c r="C360" s="104"/>
      <c r="D360" s="105"/>
      <c r="E360" s="105"/>
      <c r="F360" s="107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6"/>
    </row>
    <row r="361" ht="15.75" customHeight="1">
      <c r="A361" s="109"/>
      <c r="B361" s="105"/>
      <c r="C361" s="104"/>
      <c r="D361" s="105"/>
      <c r="E361" s="105"/>
      <c r="F361" s="107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6"/>
    </row>
    <row r="362" ht="15.75" customHeight="1">
      <c r="A362" s="109"/>
      <c r="B362" s="105"/>
      <c r="C362" s="104"/>
      <c r="D362" s="105"/>
      <c r="E362" s="105"/>
      <c r="F362" s="107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6"/>
    </row>
    <row r="363" ht="15.75" customHeight="1">
      <c r="A363" s="109"/>
      <c r="B363" s="105"/>
      <c r="C363" s="104"/>
      <c r="D363" s="105"/>
      <c r="E363" s="105"/>
      <c r="F363" s="107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6"/>
    </row>
    <row r="364" ht="15.75" customHeight="1">
      <c r="A364" s="109"/>
      <c r="B364" s="105"/>
      <c r="C364" s="104"/>
      <c r="D364" s="105"/>
      <c r="E364" s="105"/>
      <c r="F364" s="107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6"/>
    </row>
    <row r="365" ht="15.75" customHeight="1">
      <c r="A365" s="109"/>
      <c r="B365" s="105"/>
      <c r="C365" s="104"/>
      <c r="D365" s="105"/>
      <c r="E365" s="105"/>
      <c r="F365" s="107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6"/>
    </row>
    <row r="366" ht="15.75" customHeight="1">
      <c r="A366" s="109"/>
      <c r="B366" s="105"/>
      <c r="C366" s="104"/>
      <c r="D366" s="105"/>
      <c r="E366" s="105"/>
      <c r="F366" s="107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6"/>
    </row>
    <row r="367" ht="15.75" customHeight="1">
      <c r="A367" s="109"/>
      <c r="B367" s="105"/>
      <c r="C367" s="104"/>
      <c r="D367" s="105"/>
      <c r="E367" s="105"/>
      <c r="F367" s="107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6"/>
    </row>
    <row r="368" ht="15.75" customHeight="1">
      <c r="A368" s="109"/>
      <c r="B368" s="105"/>
      <c r="C368" s="104"/>
      <c r="D368" s="105"/>
      <c r="E368" s="105"/>
      <c r="F368" s="107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6"/>
    </row>
    <row r="369" ht="15.75" customHeight="1">
      <c r="A369" s="109"/>
      <c r="B369" s="105"/>
      <c r="C369" s="104"/>
      <c r="D369" s="105"/>
      <c r="E369" s="105"/>
      <c r="F369" s="107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6"/>
    </row>
    <row r="370" ht="15.75" customHeight="1">
      <c r="A370" s="109"/>
      <c r="B370" s="105"/>
      <c r="C370" s="104"/>
      <c r="D370" s="105"/>
      <c r="E370" s="105"/>
      <c r="F370" s="107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6"/>
    </row>
    <row r="371" ht="15.75" customHeight="1">
      <c r="A371" s="109"/>
      <c r="B371" s="105"/>
      <c r="C371" s="104"/>
      <c r="D371" s="105"/>
      <c r="E371" s="105"/>
      <c r="F371" s="107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6"/>
    </row>
    <row r="372" ht="15.75" customHeight="1">
      <c r="A372" s="109"/>
      <c r="B372" s="105"/>
      <c r="C372" s="104"/>
      <c r="D372" s="105"/>
      <c r="E372" s="105"/>
      <c r="F372" s="107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6"/>
    </row>
    <row r="373" ht="15.75" customHeight="1">
      <c r="A373" s="109"/>
      <c r="B373" s="105"/>
      <c r="C373" s="104"/>
      <c r="D373" s="105"/>
      <c r="E373" s="105"/>
      <c r="F373" s="107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6"/>
    </row>
    <row r="374" ht="15.75" customHeight="1">
      <c r="A374" s="109"/>
      <c r="B374" s="105"/>
      <c r="C374" s="104"/>
      <c r="D374" s="105"/>
      <c r="E374" s="105"/>
      <c r="F374" s="107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6"/>
    </row>
    <row r="375" ht="15.75" customHeight="1">
      <c r="A375" s="109"/>
      <c r="B375" s="105"/>
      <c r="C375" s="104"/>
      <c r="D375" s="105"/>
      <c r="E375" s="105"/>
      <c r="F375" s="107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6"/>
    </row>
    <row r="376" ht="15.75" customHeight="1">
      <c r="A376" s="109"/>
      <c r="B376" s="105"/>
      <c r="C376" s="104"/>
      <c r="D376" s="105"/>
      <c r="E376" s="105"/>
      <c r="F376" s="107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6"/>
    </row>
    <row r="377" ht="15.75" customHeight="1">
      <c r="A377" s="109"/>
      <c r="B377" s="105"/>
      <c r="C377" s="104"/>
      <c r="D377" s="105"/>
      <c r="E377" s="105"/>
      <c r="F377" s="107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6"/>
    </row>
    <row r="378" ht="15.75" customHeight="1">
      <c r="A378" s="109"/>
      <c r="B378" s="105"/>
      <c r="C378" s="104"/>
      <c r="D378" s="105"/>
      <c r="E378" s="105"/>
      <c r="F378" s="107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6"/>
    </row>
    <row r="379" ht="15.75" customHeight="1">
      <c r="A379" s="109"/>
      <c r="B379" s="105"/>
      <c r="C379" s="104"/>
      <c r="D379" s="105"/>
      <c r="E379" s="105"/>
      <c r="F379" s="107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6"/>
    </row>
    <row r="380" ht="15.75" customHeight="1">
      <c r="A380" s="109"/>
      <c r="B380" s="105"/>
      <c r="C380" s="104"/>
      <c r="D380" s="105"/>
      <c r="E380" s="105"/>
      <c r="F380" s="107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6"/>
    </row>
    <row r="381" ht="15.75" customHeight="1">
      <c r="A381" s="109"/>
      <c r="B381" s="105"/>
      <c r="C381" s="104"/>
      <c r="D381" s="105"/>
      <c r="E381" s="105"/>
      <c r="F381" s="107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6"/>
    </row>
    <row r="382" ht="15.75" customHeight="1">
      <c r="A382" s="109"/>
      <c r="B382" s="105"/>
      <c r="C382" s="104"/>
      <c r="D382" s="105"/>
      <c r="E382" s="105"/>
      <c r="F382" s="107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6"/>
    </row>
    <row r="383" ht="15.75" customHeight="1">
      <c r="A383" s="109"/>
      <c r="B383" s="105"/>
      <c r="C383" s="104"/>
      <c r="D383" s="105"/>
      <c r="E383" s="105"/>
      <c r="F383" s="107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6"/>
    </row>
    <row r="384" ht="15.75" customHeight="1">
      <c r="A384" s="109"/>
      <c r="B384" s="105"/>
      <c r="C384" s="104"/>
      <c r="D384" s="105"/>
      <c r="E384" s="105"/>
      <c r="F384" s="107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6"/>
    </row>
    <row r="385" ht="15.75" customHeight="1">
      <c r="A385" s="109"/>
      <c r="B385" s="105"/>
      <c r="C385" s="104"/>
      <c r="D385" s="105"/>
      <c r="E385" s="105"/>
      <c r="F385" s="107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6"/>
    </row>
    <row r="386" ht="15.75" customHeight="1">
      <c r="A386" s="109"/>
      <c r="B386" s="105"/>
      <c r="C386" s="104"/>
      <c r="D386" s="105"/>
      <c r="E386" s="105"/>
      <c r="F386" s="107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6"/>
    </row>
    <row r="387" ht="15.75" customHeight="1">
      <c r="A387" s="109"/>
      <c r="B387" s="105"/>
      <c r="C387" s="104"/>
      <c r="D387" s="105"/>
      <c r="E387" s="105"/>
      <c r="F387" s="107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6"/>
    </row>
    <row r="388" ht="15.75" customHeight="1">
      <c r="A388" s="109"/>
      <c r="B388" s="105"/>
      <c r="C388" s="104"/>
      <c r="D388" s="105"/>
      <c r="E388" s="105"/>
      <c r="F388" s="107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6"/>
    </row>
    <row r="389" ht="15.75" customHeight="1">
      <c r="A389" s="109"/>
      <c r="B389" s="105"/>
      <c r="C389" s="104"/>
      <c r="D389" s="105"/>
      <c r="E389" s="105"/>
      <c r="F389" s="107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6"/>
    </row>
    <row r="390" ht="15.75" customHeight="1">
      <c r="A390" s="109"/>
      <c r="B390" s="105"/>
      <c r="C390" s="104"/>
      <c r="D390" s="105"/>
      <c r="E390" s="105"/>
      <c r="F390" s="107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6"/>
    </row>
    <row r="391" ht="15.75" customHeight="1">
      <c r="A391" s="109"/>
      <c r="B391" s="105"/>
      <c r="C391" s="104"/>
      <c r="D391" s="105"/>
      <c r="E391" s="105"/>
      <c r="F391" s="107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6"/>
    </row>
    <row r="392" ht="15.75" customHeight="1">
      <c r="A392" s="109"/>
      <c r="B392" s="105"/>
      <c r="C392" s="104"/>
      <c r="D392" s="105"/>
      <c r="E392" s="105"/>
      <c r="F392" s="107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6"/>
    </row>
    <row r="393" ht="15.75" customHeight="1">
      <c r="A393" s="109"/>
      <c r="B393" s="105"/>
      <c r="C393" s="104"/>
      <c r="D393" s="105"/>
      <c r="E393" s="105"/>
      <c r="F393" s="107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6"/>
    </row>
    <row r="394" ht="15.75" customHeight="1">
      <c r="A394" s="109"/>
      <c r="B394" s="105"/>
      <c r="C394" s="104"/>
      <c r="D394" s="105"/>
      <c r="E394" s="105"/>
      <c r="F394" s="107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6"/>
    </row>
    <row r="395" ht="15.75" customHeight="1">
      <c r="A395" s="109"/>
      <c r="B395" s="105"/>
      <c r="C395" s="104"/>
      <c r="D395" s="105"/>
      <c r="E395" s="105"/>
      <c r="F395" s="107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6"/>
    </row>
    <row r="396" ht="15.75" customHeight="1">
      <c r="A396" s="109"/>
      <c r="B396" s="105"/>
      <c r="C396" s="104"/>
      <c r="D396" s="105"/>
      <c r="E396" s="105"/>
      <c r="F396" s="107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6"/>
    </row>
    <row r="397" ht="15.75" customHeight="1">
      <c r="A397" s="109"/>
      <c r="B397" s="105"/>
      <c r="C397" s="104"/>
      <c r="D397" s="105"/>
      <c r="E397" s="105"/>
      <c r="F397" s="107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6"/>
    </row>
    <row r="398" ht="15.75" customHeight="1">
      <c r="A398" s="109"/>
      <c r="B398" s="105"/>
      <c r="C398" s="104"/>
      <c r="D398" s="105"/>
      <c r="E398" s="105"/>
      <c r="F398" s="107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6"/>
    </row>
    <row r="399" ht="15.75" customHeight="1">
      <c r="A399" s="109"/>
      <c r="B399" s="105"/>
      <c r="C399" s="104"/>
      <c r="D399" s="105"/>
      <c r="E399" s="105"/>
      <c r="F399" s="107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6"/>
    </row>
    <row r="400" ht="15.75" customHeight="1">
      <c r="A400" s="109"/>
      <c r="B400" s="105"/>
      <c r="C400" s="104"/>
      <c r="D400" s="105"/>
      <c r="E400" s="105"/>
      <c r="F400" s="107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6"/>
    </row>
    <row r="401" ht="15.75" customHeight="1">
      <c r="A401" s="109"/>
      <c r="B401" s="105"/>
      <c r="C401" s="104"/>
      <c r="D401" s="105"/>
      <c r="E401" s="105"/>
      <c r="F401" s="107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6"/>
    </row>
    <row r="402" ht="15.75" customHeight="1">
      <c r="A402" s="109"/>
      <c r="B402" s="105"/>
      <c r="C402" s="104"/>
      <c r="D402" s="105"/>
      <c r="E402" s="105"/>
      <c r="F402" s="107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6"/>
    </row>
    <row r="403" ht="15.75" customHeight="1">
      <c r="A403" s="109"/>
      <c r="B403" s="105"/>
      <c r="C403" s="104"/>
      <c r="D403" s="105"/>
      <c r="E403" s="105"/>
      <c r="F403" s="107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6"/>
    </row>
    <row r="404" ht="15.75" customHeight="1">
      <c r="A404" s="109"/>
      <c r="B404" s="105"/>
      <c r="C404" s="104"/>
      <c r="D404" s="105"/>
      <c r="E404" s="105"/>
      <c r="F404" s="107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6"/>
    </row>
    <row r="405" ht="15.75" customHeight="1">
      <c r="A405" s="109"/>
      <c r="B405" s="105"/>
      <c r="C405" s="104"/>
      <c r="D405" s="105"/>
      <c r="E405" s="105"/>
      <c r="F405" s="107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6"/>
    </row>
    <row r="406" ht="15.75" customHeight="1">
      <c r="A406" s="109"/>
      <c r="B406" s="105"/>
      <c r="C406" s="104"/>
      <c r="D406" s="105"/>
      <c r="E406" s="105"/>
      <c r="F406" s="107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6"/>
    </row>
    <row r="407" ht="15.75" customHeight="1">
      <c r="A407" s="109"/>
      <c r="B407" s="105"/>
      <c r="C407" s="104"/>
      <c r="D407" s="105"/>
      <c r="E407" s="105"/>
      <c r="F407" s="107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6"/>
    </row>
    <row r="408" ht="15.75" customHeight="1">
      <c r="A408" s="109"/>
      <c r="B408" s="105"/>
      <c r="C408" s="104"/>
      <c r="D408" s="105"/>
      <c r="E408" s="105"/>
      <c r="F408" s="107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6"/>
    </row>
    <row r="409" ht="15.75" customHeight="1">
      <c r="A409" s="109"/>
      <c r="B409" s="105"/>
      <c r="C409" s="104"/>
      <c r="D409" s="105"/>
      <c r="E409" s="105"/>
      <c r="F409" s="107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6"/>
    </row>
    <row r="410" ht="15.75" customHeight="1">
      <c r="A410" s="109"/>
      <c r="B410" s="105"/>
      <c r="C410" s="104"/>
      <c r="D410" s="105"/>
      <c r="E410" s="105"/>
      <c r="F410" s="107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6"/>
    </row>
    <row r="411" ht="15.75" customHeight="1">
      <c r="A411" s="109"/>
      <c r="B411" s="105"/>
      <c r="C411" s="104"/>
      <c r="D411" s="105"/>
      <c r="E411" s="105"/>
      <c r="F411" s="107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6"/>
    </row>
    <row r="412" ht="15.75" customHeight="1">
      <c r="A412" s="109"/>
      <c r="B412" s="105"/>
      <c r="C412" s="104"/>
      <c r="D412" s="105"/>
      <c r="E412" s="105"/>
      <c r="F412" s="107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6"/>
    </row>
    <row r="413" ht="15.75" customHeight="1">
      <c r="A413" s="109"/>
      <c r="B413" s="105"/>
      <c r="C413" s="104"/>
      <c r="D413" s="105"/>
      <c r="E413" s="105"/>
      <c r="F413" s="107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6"/>
    </row>
    <row r="414" ht="15.75" customHeight="1">
      <c r="A414" s="109"/>
      <c r="B414" s="105"/>
      <c r="C414" s="104"/>
      <c r="D414" s="105"/>
      <c r="E414" s="105"/>
      <c r="F414" s="107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6"/>
    </row>
    <row r="415" ht="15.75" customHeight="1">
      <c r="A415" s="109"/>
      <c r="B415" s="105"/>
      <c r="C415" s="104"/>
      <c r="D415" s="105"/>
      <c r="E415" s="105"/>
      <c r="F415" s="107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6"/>
    </row>
    <row r="416" ht="15.75" customHeight="1">
      <c r="A416" s="109"/>
      <c r="B416" s="105"/>
      <c r="C416" s="104"/>
      <c r="D416" s="105"/>
      <c r="E416" s="105"/>
      <c r="F416" s="107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6"/>
    </row>
    <row r="417" ht="15.75" customHeight="1">
      <c r="A417" s="109"/>
      <c r="B417" s="105"/>
      <c r="C417" s="104"/>
      <c r="D417" s="105"/>
      <c r="E417" s="105"/>
      <c r="F417" s="107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6"/>
    </row>
    <row r="418" ht="15.75" customHeight="1">
      <c r="A418" s="109"/>
      <c r="B418" s="105"/>
      <c r="C418" s="104"/>
      <c r="D418" s="105"/>
      <c r="E418" s="105"/>
      <c r="F418" s="107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6"/>
    </row>
    <row r="419" ht="15.75" customHeight="1">
      <c r="A419" s="109"/>
      <c r="B419" s="105"/>
      <c r="C419" s="104"/>
      <c r="D419" s="105"/>
      <c r="E419" s="105"/>
      <c r="F419" s="107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6"/>
    </row>
    <row r="420" ht="15.75" customHeight="1">
      <c r="A420" s="109"/>
      <c r="B420" s="105"/>
      <c r="C420" s="104"/>
      <c r="D420" s="105"/>
      <c r="E420" s="105"/>
      <c r="F420" s="107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6"/>
    </row>
    <row r="421" ht="15.75" customHeight="1">
      <c r="A421" s="109"/>
      <c r="B421" s="105"/>
      <c r="C421" s="104"/>
      <c r="D421" s="105"/>
      <c r="E421" s="105"/>
      <c r="F421" s="107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6"/>
    </row>
    <row r="422" ht="15.75" customHeight="1">
      <c r="A422" s="109"/>
      <c r="B422" s="105"/>
      <c r="C422" s="104"/>
      <c r="D422" s="105"/>
      <c r="E422" s="105"/>
      <c r="F422" s="107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6"/>
    </row>
    <row r="423" ht="15.75" customHeight="1">
      <c r="A423" s="109"/>
      <c r="B423" s="105"/>
      <c r="C423" s="104"/>
      <c r="D423" s="105"/>
      <c r="E423" s="105"/>
      <c r="F423" s="107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6"/>
    </row>
    <row r="424" ht="15.75" customHeight="1">
      <c r="A424" s="109"/>
      <c r="B424" s="105"/>
      <c r="C424" s="104"/>
      <c r="D424" s="105"/>
      <c r="E424" s="105"/>
      <c r="F424" s="107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6"/>
    </row>
    <row r="425" ht="15.75" customHeight="1">
      <c r="A425" s="109"/>
      <c r="B425" s="105"/>
      <c r="C425" s="104"/>
      <c r="D425" s="105"/>
      <c r="E425" s="105"/>
      <c r="F425" s="107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6"/>
    </row>
    <row r="426" ht="15.75" customHeight="1">
      <c r="A426" s="109"/>
      <c r="B426" s="105"/>
      <c r="C426" s="104"/>
      <c r="D426" s="105"/>
      <c r="E426" s="105"/>
      <c r="F426" s="107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6"/>
    </row>
    <row r="427" ht="15.75" customHeight="1">
      <c r="A427" s="109"/>
      <c r="B427" s="105"/>
      <c r="C427" s="104"/>
      <c r="D427" s="105"/>
      <c r="E427" s="105"/>
      <c r="F427" s="107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6"/>
    </row>
    <row r="428" ht="15.75" customHeight="1">
      <c r="A428" s="109"/>
      <c r="B428" s="105"/>
      <c r="C428" s="104"/>
      <c r="D428" s="105"/>
      <c r="E428" s="105"/>
      <c r="F428" s="107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6"/>
    </row>
    <row r="429" ht="15.75" customHeight="1">
      <c r="A429" s="109"/>
      <c r="B429" s="105"/>
      <c r="C429" s="104"/>
      <c r="D429" s="105"/>
      <c r="E429" s="105"/>
      <c r="F429" s="107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6"/>
    </row>
    <row r="430" ht="15.75" customHeight="1">
      <c r="A430" s="109"/>
      <c r="B430" s="105"/>
      <c r="C430" s="104"/>
      <c r="D430" s="105"/>
      <c r="E430" s="105"/>
      <c r="F430" s="107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6"/>
    </row>
    <row r="431" ht="15.75" customHeight="1">
      <c r="A431" s="109"/>
      <c r="B431" s="105"/>
      <c r="C431" s="104"/>
      <c r="D431" s="105"/>
      <c r="E431" s="105"/>
      <c r="F431" s="107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6"/>
    </row>
    <row r="432" ht="15.75" customHeight="1">
      <c r="A432" s="109"/>
      <c r="B432" s="105"/>
      <c r="C432" s="104"/>
      <c r="D432" s="105"/>
      <c r="E432" s="105"/>
      <c r="F432" s="107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6"/>
    </row>
    <row r="433" ht="15.75" customHeight="1">
      <c r="A433" s="109"/>
      <c r="B433" s="105"/>
      <c r="C433" s="104"/>
      <c r="D433" s="105"/>
      <c r="E433" s="105"/>
      <c r="F433" s="107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6"/>
    </row>
    <row r="434" ht="15.75" customHeight="1">
      <c r="A434" s="109"/>
      <c r="B434" s="105"/>
      <c r="C434" s="104"/>
      <c r="D434" s="105"/>
      <c r="E434" s="105"/>
      <c r="F434" s="107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6"/>
    </row>
    <row r="435" ht="15.75" customHeight="1">
      <c r="A435" s="109"/>
      <c r="B435" s="105"/>
      <c r="C435" s="104"/>
      <c r="D435" s="105"/>
      <c r="E435" s="105"/>
      <c r="F435" s="107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6"/>
    </row>
    <row r="436" ht="15.75" customHeight="1">
      <c r="A436" s="109"/>
      <c r="B436" s="105"/>
      <c r="C436" s="104"/>
      <c r="D436" s="105"/>
      <c r="E436" s="105"/>
      <c r="F436" s="107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6"/>
    </row>
    <row r="437" ht="15.75" customHeight="1">
      <c r="A437" s="109"/>
      <c r="B437" s="105"/>
      <c r="C437" s="104"/>
      <c r="D437" s="105"/>
      <c r="E437" s="105"/>
      <c r="F437" s="107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6"/>
    </row>
    <row r="438" ht="15.75" customHeight="1">
      <c r="A438" s="109"/>
      <c r="B438" s="105"/>
      <c r="C438" s="104"/>
      <c r="D438" s="105"/>
      <c r="E438" s="105"/>
      <c r="F438" s="107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6"/>
    </row>
    <row r="439" ht="15.75" customHeight="1">
      <c r="A439" s="109"/>
      <c r="B439" s="105"/>
      <c r="C439" s="104"/>
      <c r="D439" s="105"/>
      <c r="E439" s="105"/>
      <c r="F439" s="107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6"/>
    </row>
    <row r="440" ht="15.75" customHeight="1">
      <c r="A440" s="109"/>
      <c r="B440" s="105"/>
      <c r="C440" s="104"/>
      <c r="D440" s="105"/>
      <c r="E440" s="105"/>
      <c r="F440" s="107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6"/>
    </row>
    <row r="441" ht="15.75" customHeight="1">
      <c r="A441" s="109"/>
      <c r="B441" s="105"/>
      <c r="C441" s="104"/>
      <c r="D441" s="105"/>
      <c r="E441" s="105"/>
      <c r="F441" s="107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6"/>
    </row>
    <row r="442" ht="15.75" customHeight="1">
      <c r="A442" s="109"/>
      <c r="B442" s="105"/>
      <c r="C442" s="104"/>
      <c r="D442" s="105"/>
      <c r="E442" s="105"/>
      <c r="F442" s="107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6"/>
    </row>
    <row r="443" ht="15.75" customHeight="1">
      <c r="A443" s="109"/>
      <c r="B443" s="105"/>
      <c r="C443" s="104"/>
      <c r="D443" s="105"/>
      <c r="E443" s="105"/>
      <c r="F443" s="107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6"/>
    </row>
    <row r="444" ht="15.75" customHeight="1">
      <c r="A444" s="109"/>
      <c r="B444" s="105"/>
      <c r="C444" s="104"/>
      <c r="D444" s="105"/>
      <c r="E444" s="105"/>
      <c r="F444" s="107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6"/>
    </row>
    <row r="445" ht="15.75" customHeight="1">
      <c r="A445" s="109"/>
      <c r="B445" s="105"/>
      <c r="C445" s="104"/>
      <c r="D445" s="105"/>
      <c r="E445" s="105"/>
      <c r="F445" s="107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6"/>
    </row>
    <row r="446" ht="15.75" customHeight="1">
      <c r="A446" s="109"/>
      <c r="B446" s="105"/>
      <c r="C446" s="104"/>
      <c r="D446" s="105"/>
      <c r="E446" s="105"/>
      <c r="F446" s="107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6"/>
    </row>
    <row r="447" ht="15.75" customHeight="1">
      <c r="A447" s="109"/>
      <c r="B447" s="105"/>
      <c r="C447" s="104"/>
      <c r="D447" s="105"/>
      <c r="E447" s="105"/>
      <c r="F447" s="107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6"/>
    </row>
    <row r="448" ht="15.75" customHeight="1">
      <c r="A448" s="109"/>
      <c r="B448" s="105"/>
      <c r="C448" s="104"/>
      <c r="D448" s="105"/>
      <c r="E448" s="105"/>
      <c r="F448" s="107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6"/>
    </row>
    <row r="449" ht="15.75" customHeight="1">
      <c r="A449" s="109"/>
      <c r="B449" s="105"/>
      <c r="C449" s="104"/>
      <c r="D449" s="105"/>
      <c r="E449" s="105"/>
      <c r="F449" s="107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6"/>
    </row>
    <row r="450" ht="15.75" customHeight="1">
      <c r="A450" s="109"/>
      <c r="B450" s="105"/>
      <c r="C450" s="104"/>
      <c r="D450" s="105"/>
      <c r="E450" s="105"/>
      <c r="F450" s="107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6"/>
    </row>
    <row r="451" ht="15.75" customHeight="1">
      <c r="A451" s="109"/>
      <c r="B451" s="105"/>
      <c r="C451" s="104"/>
      <c r="D451" s="105"/>
      <c r="E451" s="105"/>
      <c r="F451" s="107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6"/>
    </row>
    <row r="452" ht="15.75" customHeight="1">
      <c r="A452" s="109"/>
      <c r="B452" s="105"/>
      <c r="C452" s="104"/>
      <c r="D452" s="105"/>
      <c r="E452" s="105"/>
      <c r="F452" s="107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6"/>
    </row>
    <row r="453" ht="15.75" customHeight="1">
      <c r="A453" s="109"/>
      <c r="B453" s="105"/>
      <c r="C453" s="104"/>
      <c r="D453" s="105"/>
      <c r="E453" s="105"/>
      <c r="F453" s="107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6"/>
    </row>
    <row r="454" ht="15.75" customHeight="1">
      <c r="A454" s="109"/>
      <c r="B454" s="105"/>
      <c r="C454" s="104"/>
      <c r="D454" s="105"/>
      <c r="E454" s="105"/>
      <c r="F454" s="107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6"/>
    </row>
    <row r="455" ht="15.75" customHeight="1">
      <c r="A455" s="109"/>
      <c r="B455" s="105"/>
      <c r="C455" s="104"/>
      <c r="D455" s="105"/>
      <c r="E455" s="105"/>
      <c r="F455" s="107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6"/>
    </row>
    <row r="456" ht="15.75" customHeight="1">
      <c r="A456" s="109"/>
      <c r="B456" s="105"/>
      <c r="C456" s="104"/>
      <c r="D456" s="105"/>
      <c r="E456" s="105"/>
      <c r="F456" s="107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6"/>
    </row>
    <row r="457" ht="15.75" customHeight="1">
      <c r="A457" s="109"/>
      <c r="B457" s="105"/>
      <c r="C457" s="104"/>
      <c r="D457" s="105"/>
      <c r="E457" s="105"/>
      <c r="F457" s="107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6"/>
    </row>
    <row r="458" ht="15.75" customHeight="1">
      <c r="A458" s="109"/>
      <c r="B458" s="105"/>
      <c r="C458" s="104"/>
      <c r="D458" s="105"/>
      <c r="E458" s="105"/>
      <c r="F458" s="107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6"/>
    </row>
    <row r="459" ht="15.75" customHeight="1">
      <c r="A459" s="109"/>
      <c r="B459" s="105"/>
      <c r="C459" s="104"/>
      <c r="D459" s="105"/>
      <c r="E459" s="105"/>
      <c r="F459" s="107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6"/>
    </row>
    <row r="460" ht="15.75" customHeight="1">
      <c r="A460" s="109"/>
      <c r="B460" s="105"/>
      <c r="C460" s="104"/>
      <c r="D460" s="105"/>
      <c r="E460" s="105"/>
      <c r="F460" s="107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6"/>
    </row>
    <row r="461" ht="15.75" customHeight="1">
      <c r="A461" s="109"/>
      <c r="B461" s="105"/>
      <c r="C461" s="104"/>
      <c r="D461" s="105"/>
      <c r="E461" s="105"/>
      <c r="F461" s="107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6"/>
    </row>
    <row r="462" ht="15.75" customHeight="1">
      <c r="A462" s="109"/>
      <c r="B462" s="105"/>
      <c r="C462" s="104"/>
      <c r="D462" s="105"/>
      <c r="E462" s="105"/>
      <c r="F462" s="107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6"/>
    </row>
    <row r="463" ht="15.75" customHeight="1">
      <c r="A463" s="109"/>
      <c r="B463" s="105"/>
      <c r="C463" s="104"/>
      <c r="D463" s="105"/>
      <c r="E463" s="105"/>
      <c r="F463" s="107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6"/>
    </row>
    <row r="464" ht="15.75" customHeight="1">
      <c r="A464" s="109"/>
      <c r="B464" s="105"/>
      <c r="C464" s="104"/>
      <c r="D464" s="105"/>
      <c r="E464" s="105"/>
      <c r="F464" s="107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6"/>
    </row>
    <row r="465" ht="15.75" customHeight="1">
      <c r="A465" s="109"/>
      <c r="B465" s="105"/>
      <c r="C465" s="104"/>
      <c r="D465" s="105"/>
      <c r="E465" s="105"/>
      <c r="F465" s="107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6"/>
    </row>
    <row r="466" ht="15.75" customHeight="1">
      <c r="A466" s="109"/>
      <c r="B466" s="105"/>
      <c r="C466" s="104"/>
      <c r="D466" s="105"/>
      <c r="E466" s="105"/>
      <c r="F466" s="107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6"/>
    </row>
    <row r="467" ht="15.75" customHeight="1">
      <c r="A467" s="109"/>
      <c r="B467" s="105"/>
      <c r="C467" s="104"/>
      <c r="D467" s="105"/>
      <c r="E467" s="105"/>
      <c r="F467" s="107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6"/>
    </row>
    <row r="468" ht="15.75" customHeight="1">
      <c r="A468" s="109"/>
      <c r="B468" s="105"/>
      <c r="C468" s="104"/>
      <c r="D468" s="105"/>
      <c r="E468" s="105"/>
      <c r="F468" s="107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6"/>
    </row>
    <row r="469" ht="15.75" customHeight="1">
      <c r="A469" s="109"/>
      <c r="B469" s="105"/>
      <c r="C469" s="104"/>
      <c r="D469" s="105"/>
      <c r="E469" s="105"/>
      <c r="F469" s="107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6"/>
    </row>
    <row r="470" ht="15.75" customHeight="1">
      <c r="A470" s="109"/>
      <c r="B470" s="105"/>
      <c r="C470" s="104"/>
      <c r="D470" s="105"/>
      <c r="E470" s="105"/>
      <c r="F470" s="107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6"/>
    </row>
    <row r="471" ht="15.75" customHeight="1">
      <c r="A471" s="109"/>
      <c r="B471" s="105"/>
      <c r="C471" s="104"/>
      <c r="D471" s="105"/>
      <c r="E471" s="105"/>
      <c r="F471" s="107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6"/>
    </row>
    <row r="472" ht="15.75" customHeight="1">
      <c r="A472" s="109"/>
      <c r="B472" s="105"/>
      <c r="C472" s="104"/>
      <c r="D472" s="105"/>
      <c r="E472" s="105"/>
      <c r="F472" s="107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6"/>
    </row>
    <row r="473" ht="15.75" customHeight="1">
      <c r="A473" s="109"/>
      <c r="B473" s="105"/>
      <c r="C473" s="104"/>
      <c r="D473" s="105"/>
      <c r="E473" s="105"/>
      <c r="F473" s="107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6"/>
    </row>
    <row r="474" ht="15.75" customHeight="1">
      <c r="A474" s="109"/>
      <c r="B474" s="105"/>
      <c r="C474" s="104"/>
      <c r="D474" s="105"/>
      <c r="E474" s="105"/>
      <c r="F474" s="107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6"/>
    </row>
    <row r="475" ht="15.75" customHeight="1">
      <c r="A475" s="109"/>
      <c r="B475" s="105"/>
      <c r="C475" s="104"/>
      <c r="D475" s="105"/>
      <c r="E475" s="105"/>
      <c r="F475" s="107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6"/>
    </row>
    <row r="476" ht="15.75" customHeight="1">
      <c r="A476" s="109"/>
      <c r="B476" s="105"/>
      <c r="C476" s="104"/>
      <c r="D476" s="105"/>
      <c r="E476" s="105"/>
      <c r="F476" s="107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6"/>
    </row>
    <row r="477" ht="15.75" customHeight="1">
      <c r="A477" s="109"/>
      <c r="B477" s="105"/>
      <c r="C477" s="104"/>
      <c r="D477" s="105"/>
      <c r="E477" s="105"/>
      <c r="F477" s="107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6"/>
    </row>
    <row r="478" ht="15.75" customHeight="1">
      <c r="A478" s="109"/>
      <c r="B478" s="105"/>
      <c r="C478" s="104"/>
      <c r="D478" s="105"/>
      <c r="E478" s="105"/>
      <c r="F478" s="107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6"/>
    </row>
    <row r="479" ht="15.75" customHeight="1">
      <c r="A479" s="109"/>
      <c r="B479" s="105"/>
      <c r="C479" s="104"/>
      <c r="D479" s="105"/>
      <c r="E479" s="105"/>
      <c r="F479" s="107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6"/>
    </row>
    <row r="480" ht="15.75" customHeight="1">
      <c r="A480" s="109"/>
      <c r="B480" s="105"/>
      <c r="C480" s="104"/>
      <c r="D480" s="105"/>
      <c r="E480" s="105"/>
      <c r="F480" s="107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6"/>
    </row>
    <row r="481" ht="15.75" customHeight="1">
      <c r="A481" s="109"/>
      <c r="B481" s="105"/>
      <c r="C481" s="104"/>
      <c r="D481" s="105"/>
      <c r="E481" s="105"/>
      <c r="F481" s="107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6"/>
    </row>
    <row r="482" ht="15.75" customHeight="1">
      <c r="A482" s="109"/>
      <c r="B482" s="105"/>
      <c r="C482" s="104"/>
      <c r="D482" s="105"/>
      <c r="E482" s="105"/>
      <c r="F482" s="107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6"/>
    </row>
    <row r="483" ht="15.75" customHeight="1">
      <c r="A483" s="109"/>
      <c r="B483" s="105"/>
      <c r="C483" s="104"/>
      <c r="D483" s="105"/>
      <c r="E483" s="105"/>
      <c r="F483" s="107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6"/>
    </row>
    <row r="484" ht="15.75" customHeight="1">
      <c r="A484" s="109"/>
      <c r="B484" s="105"/>
      <c r="C484" s="104"/>
      <c r="D484" s="105"/>
      <c r="E484" s="105"/>
      <c r="F484" s="107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6"/>
    </row>
    <row r="485" ht="15.75" customHeight="1">
      <c r="A485" s="109"/>
      <c r="B485" s="105"/>
      <c r="C485" s="104"/>
      <c r="D485" s="105"/>
      <c r="E485" s="105"/>
      <c r="F485" s="107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6"/>
    </row>
    <row r="486" ht="15.75" customHeight="1">
      <c r="A486" s="109"/>
      <c r="B486" s="105"/>
      <c r="C486" s="104"/>
      <c r="D486" s="105"/>
      <c r="E486" s="105"/>
      <c r="F486" s="107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6"/>
    </row>
    <row r="487" ht="15.75" customHeight="1">
      <c r="A487" s="109"/>
      <c r="B487" s="105"/>
      <c r="C487" s="104"/>
      <c r="D487" s="105"/>
      <c r="E487" s="105"/>
      <c r="F487" s="107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6"/>
    </row>
    <row r="488" ht="15.75" customHeight="1">
      <c r="A488" s="109"/>
      <c r="B488" s="105"/>
      <c r="C488" s="104"/>
      <c r="D488" s="105"/>
      <c r="E488" s="105"/>
      <c r="F488" s="107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6"/>
    </row>
    <row r="489" ht="15.75" customHeight="1">
      <c r="A489" s="109"/>
      <c r="B489" s="105"/>
      <c r="C489" s="104"/>
      <c r="D489" s="105"/>
      <c r="E489" s="105"/>
      <c r="F489" s="107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6"/>
    </row>
    <row r="490" ht="15.75" customHeight="1">
      <c r="A490" s="109"/>
      <c r="B490" s="105"/>
      <c r="C490" s="104"/>
      <c r="D490" s="105"/>
      <c r="E490" s="105"/>
      <c r="F490" s="107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6"/>
    </row>
    <row r="491" ht="15.75" customHeight="1">
      <c r="A491" s="109"/>
      <c r="B491" s="105"/>
      <c r="C491" s="104"/>
      <c r="D491" s="105"/>
      <c r="E491" s="105"/>
      <c r="F491" s="107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6"/>
    </row>
    <row r="492" ht="15.75" customHeight="1">
      <c r="A492" s="109"/>
      <c r="B492" s="105"/>
      <c r="C492" s="104"/>
      <c r="D492" s="105"/>
      <c r="E492" s="105"/>
      <c r="F492" s="107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6"/>
    </row>
    <row r="493" ht="15.75" customHeight="1">
      <c r="A493" s="109"/>
      <c r="B493" s="105"/>
      <c r="C493" s="104"/>
      <c r="D493" s="105"/>
      <c r="E493" s="105"/>
      <c r="F493" s="107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6"/>
    </row>
    <row r="494" ht="15.75" customHeight="1">
      <c r="A494" s="109"/>
      <c r="B494" s="105"/>
      <c r="C494" s="104"/>
      <c r="D494" s="105"/>
      <c r="E494" s="105"/>
      <c r="F494" s="107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6"/>
    </row>
    <row r="495" ht="15.75" customHeight="1">
      <c r="A495" s="109"/>
      <c r="B495" s="105"/>
      <c r="C495" s="104"/>
      <c r="D495" s="105"/>
      <c r="E495" s="105"/>
      <c r="F495" s="107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6"/>
    </row>
    <row r="496" ht="15.75" customHeight="1">
      <c r="A496" s="109"/>
      <c r="B496" s="105"/>
      <c r="C496" s="104"/>
      <c r="D496" s="105"/>
      <c r="E496" s="105"/>
      <c r="F496" s="107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6"/>
    </row>
    <row r="497" ht="15.75" customHeight="1">
      <c r="A497" s="109"/>
      <c r="B497" s="105"/>
      <c r="C497" s="104"/>
      <c r="D497" s="105"/>
      <c r="E497" s="105"/>
      <c r="F497" s="107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6"/>
    </row>
    <row r="498" ht="15.75" customHeight="1">
      <c r="A498" s="109"/>
      <c r="B498" s="105"/>
      <c r="C498" s="104"/>
      <c r="D498" s="105"/>
      <c r="E498" s="105"/>
      <c r="F498" s="107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6"/>
    </row>
    <row r="499" ht="15.75" customHeight="1">
      <c r="A499" s="109"/>
      <c r="B499" s="105"/>
      <c r="C499" s="104"/>
      <c r="D499" s="105"/>
      <c r="E499" s="105"/>
      <c r="F499" s="107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6"/>
    </row>
    <row r="500" ht="15.75" customHeight="1">
      <c r="A500" s="109"/>
      <c r="B500" s="105"/>
      <c r="C500" s="104"/>
      <c r="D500" s="105"/>
      <c r="E500" s="105"/>
      <c r="F500" s="107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6"/>
    </row>
    <row r="501" ht="15.75" customHeight="1">
      <c r="A501" s="109"/>
      <c r="B501" s="105"/>
      <c r="C501" s="104"/>
      <c r="D501" s="105"/>
      <c r="E501" s="105"/>
      <c r="F501" s="107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6"/>
    </row>
    <row r="502" ht="15.75" customHeight="1">
      <c r="A502" s="109"/>
      <c r="B502" s="105"/>
      <c r="C502" s="104"/>
      <c r="D502" s="105"/>
      <c r="E502" s="105"/>
      <c r="F502" s="107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6"/>
    </row>
    <row r="503" ht="15.75" customHeight="1">
      <c r="A503" s="109"/>
      <c r="B503" s="105"/>
      <c r="C503" s="104"/>
      <c r="D503" s="105"/>
      <c r="E503" s="105"/>
      <c r="F503" s="107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6"/>
    </row>
    <row r="504" ht="15.75" customHeight="1">
      <c r="A504" s="109"/>
      <c r="B504" s="105"/>
      <c r="C504" s="104"/>
      <c r="D504" s="105"/>
      <c r="E504" s="105"/>
      <c r="F504" s="107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6"/>
    </row>
    <row r="505" ht="15.75" customHeight="1">
      <c r="A505" s="109"/>
      <c r="B505" s="105"/>
      <c r="C505" s="104"/>
      <c r="D505" s="105"/>
      <c r="E505" s="105"/>
      <c r="F505" s="107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6"/>
    </row>
    <row r="506" ht="15.75" customHeight="1">
      <c r="A506" s="109"/>
      <c r="B506" s="105"/>
      <c r="C506" s="104"/>
      <c r="D506" s="105"/>
      <c r="E506" s="105"/>
      <c r="F506" s="107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6"/>
    </row>
    <row r="507" ht="15.75" customHeight="1">
      <c r="A507" s="109"/>
      <c r="B507" s="105"/>
      <c r="C507" s="104"/>
      <c r="D507" s="105"/>
      <c r="E507" s="105"/>
      <c r="F507" s="107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6"/>
    </row>
    <row r="508" ht="15.75" customHeight="1">
      <c r="A508" s="109"/>
      <c r="B508" s="105"/>
      <c r="C508" s="104"/>
      <c r="D508" s="105"/>
      <c r="E508" s="105"/>
      <c r="F508" s="107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6"/>
    </row>
    <row r="509" ht="15.75" customHeight="1">
      <c r="A509" s="109"/>
      <c r="B509" s="105"/>
      <c r="C509" s="104"/>
      <c r="D509" s="105"/>
      <c r="E509" s="105"/>
      <c r="F509" s="107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6"/>
    </row>
    <row r="510" ht="15.75" customHeight="1">
      <c r="A510" s="109"/>
      <c r="B510" s="105"/>
      <c r="C510" s="104"/>
      <c r="D510" s="105"/>
      <c r="E510" s="105"/>
      <c r="F510" s="107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6"/>
    </row>
    <row r="511" ht="15.75" customHeight="1">
      <c r="A511" s="109"/>
      <c r="B511" s="105"/>
      <c r="C511" s="104"/>
      <c r="D511" s="105"/>
      <c r="E511" s="105"/>
      <c r="F511" s="107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6"/>
    </row>
    <row r="512" ht="15.75" customHeight="1">
      <c r="A512" s="109"/>
      <c r="B512" s="105"/>
      <c r="C512" s="104"/>
      <c r="D512" s="105"/>
      <c r="E512" s="105"/>
      <c r="F512" s="107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6"/>
    </row>
    <row r="513" ht="15.75" customHeight="1">
      <c r="A513" s="109"/>
      <c r="B513" s="105"/>
      <c r="C513" s="104"/>
      <c r="D513" s="105"/>
      <c r="E513" s="105"/>
      <c r="F513" s="107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6"/>
    </row>
    <row r="514" ht="15.75" customHeight="1">
      <c r="A514" s="109"/>
      <c r="B514" s="105"/>
      <c r="C514" s="104"/>
      <c r="D514" s="105"/>
      <c r="E514" s="105"/>
      <c r="F514" s="107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6"/>
    </row>
    <row r="515" ht="15.75" customHeight="1">
      <c r="A515" s="109"/>
      <c r="B515" s="105"/>
      <c r="C515" s="104"/>
      <c r="D515" s="105"/>
      <c r="E515" s="105"/>
      <c r="F515" s="107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6"/>
    </row>
    <row r="516" ht="15.75" customHeight="1">
      <c r="A516" s="109"/>
      <c r="B516" s="105"/>
      <c r="C516" s="104"/>
      <c r="D516" s="105"/>
      <c r="E516" s="105"/>
      <c r="F516" s="107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6"/>
    </row>
    <row r="517" ht="15.75" customHeight="1">
      <c r="A517" s="109"/>
      <c r="B517" s="105"/>
      <c r="C517" s="104"/>
      <c r="D517" s="105"/>
      <c r="E517" s="105"/>
      <c r="F517" s="107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6"/>
    </row>
    <row r="518" ht="15.75" customHeight="1">
      <c r="A518" s="109"/>
      <c r="B518" s="105"/>
      <c r="C518" s="104"/>
      <c r="D518" s="105"/>
      <c r="E518" s="105"/>
      <c r="F518" s="107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6"/>
    </row>
    <row r="519" ht="15.75" customHeight="1">
      <c r="A519" s="109"/>
      <c r="B519" s="105"/>
      <c r="C519" s="104"/>
      <c r="D519" s="105"/>
      <c r="E519" s="105"/>
      <c r="F519" s="107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6"/>
    </row>
    <row r="520" ht="15.75" customHeight="1">
      <c r="A520" s="109"/>
      <c r="B520" s="105"/>
      <c r="C520" s="104"/>
      <c r="D520" s="105"/>
      <c r="E520" s="105"/>
      <c r="F520" s="107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6"/>
    </row>
    <row r="521" ht="15.75" customHeight="1">
      <c r="A521" s="109"/>
      <c r="B521" s="105"/>
      <c r="C521" s="104"/>
      <c r="D521" s="105"/>
      <c r="E521" s="105"/>
      <c r="F521" s="107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6"/>
    </row>
    <row r="522" ht="15.75" customHeight="1">
      <c r="A522" s="109"/>
      <c r="B522" s="105"/>
      <c r="C522" s="104"/>
      <c r="D522" s="105"/>
      <c r="E522" s="105"/>
      <c r="F522" s="107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6"/>
    </row>
    <row r="523" ht="15.75" customHeight="1">
      <c r="A523" s="109"/>
      <c r="B523" s="105"/>
      <c r="C523" s="104"/>
      <c r="D523" s="105"/>
      <c r="E523" s="105"/>
      <c r="F523" s="107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6"/>
    </row>
    <row r="524" ht="15.75" customHeight="1">
      <c r="A524" s="109"/>
      <c r="B524" s="105"/>
      <c r="C524" s="104"/>
      <c r="D524" s="105"/>
      <c r="E524" s="105"/>
      <c r="F524" s="107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6"/>
    </row>
    <row r="525" ht="15.75" customHeight="1">
      <c r="A525" s="109"/>
      <c r="B525" s="105"/>
      <c r="C525" s="104"/>
      <c r="D525" s="105"/>
      <c r="E525" s="105"/>
      <c r="F525" s="107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6"/>
    </row>
    <row r="526" ht="15.75" customHeight="1">
      <c r="A526" s="109"/>
      <c r="B526" s="105"/>
      <c r="C526" s="104"/>
      <c r="D526" s="105"/>
      <c r="E526" s="105"/>
      <c r="F526" s="107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6"/>
    </row>
    <row r="527" ht="15.75" customHeight="1">
      <c r="A527" s="109"/>
      <c r="B527" s="105"/>
      <c r="C527" s="104"/>
      <c r="D527" s="105"/>
      <c r="E527" s="105"/>
      <c r="F527" s="107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6"/>
    </row>
    <row r="528" ht="15.75" customHeight="1">
      <c r="A528" s="109"/>
      <c r="B528" s="105"/>
      <c r="C528" s="104"/>
      <c r="D528" s="105"/>
      <c r="E528" s="105"/>
      <c r="F528" s="107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6"/>
    </row>
    <row r="529" ht="15.75" customHeight="1">
      <c r="A529" s="109"/>
      <c r="B529" s="105"/>
      <c r="C529" s="104"/>
      <c r="D529" s="105"/>
      <c r="E529" s="105"/>
      <c r="F529" s="107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6"/>
    </row>
    <row r="530" ht="15.75" customHeight="1">
      <c r="A530" s="109"/>
      <c r="B530" s="105"/>
      <c r="C530" s="104"/>
      <c r="D530" s="105"/>
      <c r="E530" s="105"/>
      <c r="F530" s="107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6"/>
    </row>
    <row r="531" ht="15.75" customHeight="1">
      <c r="A531" s="109"/>
      <c r="B531" s="105"/>
      <c r="C531" s="104"/>
      <c r="D531" s="105"/>
      <c r="E531" s="105"/>
      <c r="F531" s="107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6"/>
    </row>
    <row r="532" ht="15.75" customHeight="1">
      <c r="A532" s="109"/>
      <c r="B532" s="105"/>
      <c r="C532" s="104"/>
      <c r="D532" s="105"/>
      <c r="E532" s="105"/>
      <c r="F532" s="107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6"/>
    </row>
    <row r="533" ht="15.75" customHeight="1">
      <c r="A533" s="109"/>
      <c r="B533" s="105"/>
      <c r="C533" s="104"/>
      <c r="D533" s="105"/>
      <c r="E533" s="105"/>
      <c r="F533" s="107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6"/>
    </row>
    <row r="534" ht="15.75" customHeight="1">
      <c r="A534" s="109"/>
      <c r="B534" s="105"/>
      <c r="C534" s="104"/>
      <c r="D534" s="105"/>
      <c r="E534" s="105"/>
      <c r="F534" s="107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6"/>
    </row>
    <row r="535" ht="15.75" customHeight="1">
      <c r="A535" s="109"/>
      <c r="B535" s="105"/>
      <c r="C535" s="104"/>
      <c r="D535" s="105"/>
      <c r="E535" s="105"/>
      <c r="F535" s="107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6"/>
    </row>
    <row r="536" ht="15.75" customHeight="1">
      <c r="A536" s="109"/>
      <c r="B536" s="105"/>
      <c r="C536" s="104"/>
      <c r="D536" s="105"/>
      <c r="E536" s="105"/>
      <c r="F536" s="107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6"/>
    </row>
    <row r="537" ht="15.75" customHeight="1">
      <c r="A537" s="109"/>
      <c r="B537" s="105"/>
      <c r="C537" s="104"/>
      <c r="D537" s="105"/>
      <c r="E537" s="105"/>
      <c r="F537" s="107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6"/>
    </row>
    <row r="538" ht="15.75" customHeight="1">
      <c r="A538" s="109"/>
      <c r="B538" s="105"/>
      <c r="C538" s="104"/>
      <c r="D538" s="105"/>
      <c r="E538" s="105"/>
      <c r="F538" s="107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6"/>
    </row>
    <row r="539" ht="15.75" customHeight="1">
      <c r="A539" s="109"/>
      <c r="B539" s="105"/>
      <c r="C539" s="104"/>
      <c r="D539" s="105"/>
      <c r="E539" s="105"/>
      <c r="F539" s="107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6"/>
    </row>
    <row r="540" ht="15.75" customHeight="1">
      <c r="A540" s="109"/>
      <c r="B540" s="105"/>
      <c r="C540" s="104"/>
      <c r="D540" s="105"/>
      <c r="E540" s="105"/>
      <c r="F540" s="107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6"/>
    </row>
    <row r="541" ht="15.75" customHeight="1">
      <c r="A541" s="109"/>
      <c r="B541" s="105"/>
      <c r="C541" s="104"/>
      <c r="D541" s="105"/>
      <c r="E541" s="105"/>
      <c r="F541" s="107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6"/>
    </row>
    <row r="542" ht="15.75" customHeight="1">
      <c r="A542" s="109"/>
      <c r="B542" s="105"/>
      <c r="C542" s="104"/>
      <c r="D542" s="105"/>
      <c r="E542" s="105"/>
      <c r="F542" s="107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6"/>
    </row>
    <row r="543" ht="15.75" customHeight="1">
      <c r="A543" s="109"/>
      <c r="B543" s="105"/>
      <c r="C543" s="104"/>
      <c r="D543" s="105"/>
      <c r="E543" s="105"/>
      <c r="F543" s="107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6"/>
    </row>
    <row r="544" ht="15.75" customHeight="1">
      <c r="A544" s="109"/>
      <c r="B544" s="105"/>
      <c r="C544" s="104"/>
      <c r="D544" s="105"/>
      <c r="E544" s="105"/>
      <c r="F544" s="107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6"/>
    </row>
    <row r="545" ht="15.75" customHeight="1">
      <c r="A545" s="109"/>
      <c r="B545" s="105"/>
      <c r="C545" s="104"/>
      <c r="D545" s="105"/>
      <c r="E545" s="105"/>
      <c r="F545" s="107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6"/>
    </row>
    <row r="546" ht="15.75" customHeight="1">
      <c r="A546" s="109"/>
      <c r="B546" s="105"/>
      <c r="C546" s="104"/>
      <c r="D546" s="105"/>
      <c r="E546" s="105"/>
      <c r="F546" s="107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6"/>
    </row>
    <row r="547" ht="15.75" customHeight="1">
      <c r="A547" s="109"/>
      <c r="B547" s="105"/>
      <c r="C547" s="104"/>
      <c r="D547" s="105"/>
      <c r="E547" s="105"/>
      <c r="F547" s="107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6"/>
    </row>
    <row r="548" ht="15.75" customHeight="1">
      <c r="A548" s="109"/>
      <c r="B548" s="105"/>
      <c r="C548" s="104"/>
      <c r="D548" s="105"/>
      <c r="E548" s="105"/>
      <c r="F548" s="107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6"/>
    </row>
    <row r="549" ht="15.75" customHeight="1">
      <c r="A549" s="109"/>
      <c r="B549" s="105"/>
      <c r="C549" s="104"/>
      <c r="D549" s="105"/>
      <c r="E549" s="105"/>
      <c r="F549" s="107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6"/>
    </row>
    <row r="550" ht="15.75" customHeight="1">
      <c r="A550" s="109"/>
      <c r="B550" s="105"/>
      <c r="C550" s="104"/>
      <c r="D550" s="105"/>
      <c r="E550" s="105"/>
      <c r="F550" s="107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6"/>
    </row>
    <row r="551" ht="15.75" customHeight="1">
      <c r="A551" s="109"/>
      <c r="B551" s="105"/>
      <c r="C551" s="104"/>
      <c r="D551" s="105"/>
      <c r="E551" s="105"/>
      <c r="F551" s="107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6"/>
    </row>
    <row r="552" ht="15.75" customHeight="1">
      <c r="A552" s="109"/>
      <c r="B552" s="105"/>
      <c r="C552" s="104"/>
      <c r="D552" s="105"/>
      <c r="E552" s="105"/>
      <c r="F552" s="107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6"/>
    </row>
    <row r="553" ht="15.75" customHeight="1">
      <c r="A553" s="109"/>
      <c r="B553" s="105"/>
      <c r="C553" s="104"/>
      <c r="D553" s="105"/>
      <c r="E553" s="105"/>
      <c r="F553" s="107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6"/>
    </row>
    <row r="554" ht="15.75" customHeight="1">
      <c r="A554" s="109"/>
      <c r="B554" s="105"/>
      <c r="C554" s="104"/>
      <c r="D554" s="105"/>
      <c r="E554" s="105"/>
      <c r="F554" s="107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6"/>
    </row>
    <row r="555" ht="15.75" customHeight="1">
      <c r="A555" s="109"/>
      <c r="B555" s="105"/>
      <c r="C555" s="104"/>
      <c r="D555" s="105"/>
      <c r="E555" s="105"/>
      <c r="F555" s="107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6"/>
    </row>
    <row r="556" ht="15.75" customHeight="1">
      <c r="A556" s="109"/>
      <c r="B556" s="105"/>
      <c r="C556" s="104"/>
      <c r="D556" s="105"/>
      <c r="E556" s="105"/>
      <c r="F556" s="107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6"/>
    </row>
    <row r="557" ht="15.75" customHeight="1">
      <c r="A557" s="109"/>
      <c r="B557" s="105"/>
      <c r="C557" s="104"/>
      <c r="D557" s="105"/>
      <c r="E557" s="105"/>
      <c r="F557" s="107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6"/>
    </row>
    <row r="558" ht="15.75" customHeight="1">
      <c r="A558" s="109"/>
      <c r="B558" s="105"/>
      <c r="C558" s="104"/>
      <c r="D558" s="105"/>
      <c r="E558" s="105"/>
      <c r="F558" s="107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6"/>
    </row>
    <row r="559" ht="15.75" customHeight="1">
      <c r="A559" s="109"/>
      <c r="B559" s="105"/>
      <c r="C559" s="104"/>
      <c r="D559" s="105"/>
      <c r="E559" s="105"/>
      <c r="F559" s="107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6"/>
    </row>
    <row r="560" ht="15.75" customHeight="1">
      <c r="A560" s="109"/>
      <c r="B560" s="105"/>
      <c r="C560" s="104"/>
      <c r="D560" s="105"/>
      <c r="E560" s="105"/>
      <c r="F560" s="107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6"/>
    </row>
    <row r="561" ht="15.75" customHeight="1">
      <c r="A561" s="109"/>
      <c r="B561" s="105"/>
      <c r="C561" s="104"/>
      <c r="D561" s="105"/>
      <c r="E561" s="105"/>
      <c r="F561" s="107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6"/>
    </row>
    <row r="562" ht="15.75" customHeight="1">
      <c r="A562" s="109"/>
      <c r="B562" s="105"/>
      <c r="C562" s="104"/>
      <c r="D562" s="105"/>
      <c r="E562" s="105"/>
      <c r="F562" s="107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6"/>
    </row>
    <row r="563" ht="15.75" customHeight="1">
      <c r="A563" s="109"/>
      <c r="B563" s="105"/>
      <c r="C563" s="104"/>
      <c r="D563" s="105"/>
      <c r="E563" s="105"/>
      <c r="F563" s="107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6"/>
    </row>
    <row r="564" ht="15.75" customHeight="1">
      <c r="A564" s="109"/>
      <c r="B564" s="105"/>
      <c r="C564" s="104"/>
      <c r="D564" s="105"/>
      <c r="E564" s="105"/>
      <c r="F564" s="107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6"/>
    </row>
    <row r="565" ht="15.75" customHeight="1">
      <c r="A565" s="109"/>
      <c r="B565" s="105"/>
      <c r="C565" s="104"/>
      <c r="D565" s="105"/>
      <c r="E565" s="105"/>
      <c r="F565" s="107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6"/>
    </row>
    <row r="566" ht="15.75" customHeight="1">
      <c r="A566" s="109"/>
      <c r="B566" s="105"/>
      <c r="C566" s="104"/>
      <c r="D566" s="105"/>
      <c r="E566" s="105"/>
      <c r="F566" s="107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6"/>
    </row>
    <row r="567" ht="15.75" customHeight="1">
      <c r="A567" s="109"/>
      <c r="B567" s="105"/>
      <c r="C567" s="104"/>
      <c r="D567" s="105"/>
      <c r="E567" s="105"/>
      <c r="F567" s="107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6"/>
    </row>
    <row r="568" ht="15.75" customHeight="1">
      <c r="A568" s="109"/>
      <c r="B568" s="105"/>
      <c r="C568" s="104"/>
      <c r="D568" s="105"/>
      <c r="E568" s="105"/>
      <c r="F568" s="107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6"/>
    </row>
    <row r="569" ht="15.75" customHeight="1">
      <c r="A569" s="109"/>
      <c r="B569" s="105"/>
      <c r="C569" s="104"/>
      <c r="D569" s="105"/>
      <c r="E569" s="105"/>
      <c r="F569" s="107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6"/>
    </row>
    <row r="570" ht="15.75" customHeight="1">
      <c r="A570" s="109"/>
      <c r="B570" s="105"/>
      <c r="C570" s="104"/>
      <c r="D570" s="105"/>
      <c r="E570" s="105"/>
      <c r="F570" s="107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6"/>
    </row>
    <row r="571" ht="15.75" customHeight="1">
      <c r="A571" s="109"/>
      <c r="B571" s="105"/>
      <c r="C571" s="104"/>
      <c r="D571" s="105"/>
      <c r="E571" s="105"/>
      <c r="F571" s="107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6"/>
    </row>
    <row r="572" ht="15.75" customHeight="1">
      <c r="A572" s="109"/>
      <c r="B572" s="105"/>
      <c r="C572" s="104"/>
      <c r="D572" s="105"/>
      <c r="E572" s="105"/>
      <c r="F572" s="107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6"/>
    </row>
    <row r="573" ht="15.75" customHeight="1">
      <c r="A573" s="109"/>
      <c r="B573" s="105"/>
      <c r="C573" s="104"/>
      <c r="D573" s="105"/>
      <c r="E573" s="105"/>
      <c r="F573" s="107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6"/>
    </row>
    <row r="574" ht="15.75" customHeight="1">
      <c r="A574" s="109"/>
      <c r="B574" s="105"/>
      <c r="C574" s="104"/>
      <c r="D574" s="105"/>
      <c r="E574" s="105"/>
      <c r="F574" s="107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6"/>
    </row>
    <row r="575" ht="15.75" customHeight="1">
      <c r="A575" s="109"/>
      <c r="B575" s="105"/>
      <c r="C575" s="104"/>
      <c r="D575" s="105"/>
      <c r="E575" s="105"/>
      <c r="F575" s="107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6"/>
    </row>
    <row r="576" ht="15.75" customHeight="1">
      <c r="A576" s="109"/>
      <c r="B576" s="105"/>
      <c r="C576" s="104"/>
      <c r="D576" s="105"/>
      <c r="E576" s="105"/>
      <c r="F576" s="107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6"/>
    </row>
    <row r="577" ht="15.75" customHeight="1">
      <c r="A577" s="109"/>
      <c r="B577" s="105"/>
      <c r="C577" s="104"/>
      <c r="D577" s="105"/>
      <c r="E577" s="105"/>
      <c r="F577" s="107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6"/>
    </row>
    <row r="578" ht="15.75" customHeight="1">
      <c r="A578" s="109"/>
      <c r="B578" s="105"/>
      <c r="C578" s="104"/>
      <c r="D578" s="105"/>
      <c r="E578" s="105"/>
      <c r="F578" s="107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6"/>
    </row>
    <row r="579" ht="15.75" customHeight="1">
      <c r="A579" s="109"/>
      <c r="B579" s="105"/>
      <c r="C579" s="104"/>
      <c r="D579" s="105"/>
      <c r="E579" s="105"/>
      <c r="F579" s="107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6"/>
    </row>
    <row r="580" ht="15.75" customHeight="1">
      <c r="A580" s="109"/>
      <c r="B580" s="105"/>
      <c r="C580" s="104"/>
      <c r="D580" s="105"/>
      <c r="E580" s="105"/>
      <c r="F580" s="107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6"/>
    </row>
    <row r="581" ht="15.75" customHeight="1">
      <c r="A581" s="109"/>
      <c r="B581" s="105"/>
      <c r="C581" s="104"/>
      <c r="D581" s="105"/>
      <c r="E581" s="105"/>
      <c r="F581" s="107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6"/>
    </row>
    <row r="582" ht="15.75" customHeight="1">
      <c r="A582" s="109"/>
      <c r="B582" s="105"/>
      <c r="C582" s="104"/>
      <c r="D582" s="105"/>
      <c r="E582" s="105"/>
      <c r="F582" s="107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6"/>
    </row>
    <row r="583" ht="15.75" customHeight="1">
      <c r="A583" s="109"/>
      <c r="B583" s="105"/>
      <c r="C583" s="104"/>
      <c r="D583" s="105"/>
      <c r="E583" s="105"/>
      <c r="F583" s="107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6"/>
    </row>
    <row r="584" ht="15.75" customHeight="1">
      <c r="A584" s="109"/>
      <c r="B584" s="105"/>
      <c r="C584" s="104"/>
      <c r="D584" s="105"/>
      <c r="E584" s="105"/>
      <c r="F584" s="107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6"/>
    </row>
    <row r="585" ht="15.75" customHeight="1">
      <c r="A585" s="109"/>
      <c r="B585" s="105"/>
      <c r="C585" s="104"/>
      <c r="D585" s="105"/>
      <c r="E585" s="105"/>
      <c r="F585" s="107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6"/>
    </row>
    <row r="586" ht="15.75" customHeight="1">
      <c r="A586" s="109"/>
      <c r="B586" s="105"/>
      <c r="C586" s="104"/>
      <c r="D586" s="105"/>
      <c r="E586" s="105"/>
      <c r="F586" s="107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6"/>
    </row>
    <row r="587" ht="15.75" customHeight="1">
      <c r="A587" s="109"/>
      <c r="B587" s="105"/>
      <c r="C587" s="104"/>
      <c r="D587" s="105"/>
      <c r="E587" s="105"/>
      <c r="F587" s="107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6"/>
    </row>
    <row r="588" ht="15.75" customHeight="1">
      <c r="A588" s="109"/>
      <c r="B588" s="105"/>
      <c r="C588" s="104"/>
      <c r="D588" s="105"/>
      <c r="E588" s="105"/>
      <c r="F588" s="107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6"/>
    </row>
    <row r="589" ht="15.75" customHeight="1">
      <c r="A589" s="109"/>
      <c r="B589" s="105"/>
      <c r="C589" s="104"/>
      <c r="D589" s="105"/>
      <c r="E589" s="105"/>
      <c r="F589" s="107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6"/>
    </row>
    <row r="590" ht="15.75" customHeight="1">
      <c r="A590" s="109"/>
      <c r="B590" s="105"/>
      <c r="C590" s="104"/>
      <c r="D590" s="105"/>
      <c r="E590" s="105"/>
      <c r="F590" s="107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6"/>
    </row>
    <row r="591" ht="15.75" customHeight="1">
      <c r="A591" s="109"/>
      <c r="B591" s="105"/>
      <c r="C591" s="104"/>
      <c r="D591" s="105"/>
      <c r="E591" s="105"/>
      <c r="F591" s="107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6"/>
    </row>
    <row r="592" ht="15.75" customHeight="1">
      <c r="A592" s="109"/>
      <c r="B592" s="105"/>
      <c r="C592" s="104"/>
      <c r="D592" s="105"/>
      <c r="E592" s="105"/>
      <c r="F592" s="107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6"/>
    </row>
    <row r="593" ht="15.75" customHeight="1">
      <c r="A593" s="109"/>
      <c r="B593" s="105"/>
      <c r="C593" s="104"/>
      <c r="D593" s="105"/>
      <c r="E593" s="105"/>
      <c r="F593" s="107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6"/>
    </row>
    <row r="594" ht="15.75" customHeight="1">
      <c r="A594" s="109"/>
      <c r="B594" s="105"/>
      <c r="C594" s="104"/>
      <c r="D594" s="105"/>
      <c r="E594" s="105"/>
      <c r="F594" s="107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6"/>
    </row>
    <row r="595" ht="15.75" customHeight="1">
      <c r="A595" s="109"/>
      <c r="B595" s="105"/>
      <c r="C595" s="104"/>
      <c r="D595" s="105"/>
      <c r="E595" s="105"/>
      <c r="F595" s="107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6"/>
    </row>
    <row r="596" ht="15.75" customHeight="1">
      <c r="A596" s="109"/>
      <c r="B596" s="105"/>
      <c r="C596" s="104"/>
      <c r="D596" s="105"/>
      <c r="E596" s="105"/>
      <c r="F596" s="107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6"/>
    </row>
    <row r="597" ht="15.75" customHeight="1">
      <c r="A597" s="109"/>
      <c r="B597" s="105"/>
      <c r="C597" s="104"/>
      <c r="D597" s="105"/>
      <c r="E597" s="105"/>
      <c r="F597" s="107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6"/>
    </row>
    <row r="598" ht="15.75" customHeight="1">
      <c r="A598" s="109"/>
      <c r="B598" s="105"/>
      <c r="C598" s="104"/>
      <c r="D598" s="105"/>
      <c r="E598" s="105"/>
      <c r="F598" s="107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6"/>
    </row>
    <row r="599" ht="15.75" customHeight="1">
      <c r="A599" s="109"/>
      <c r="B599" s="105"/>
      <c r="C599" s="104"/>
      <c r="D599" s="105"/>
      <c r="E599" s="105"/>
      <c r="F599" s="107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6"/>
    </row>
    <row r="600" ht="15.75" customHeight="1">
      <c r="A600" s="109"/>
      <c r="B600" s="105"/>
      <c r="C600" s="104"/>
      <c r="D600" s="105"/>
      <c r="E600" s="105"/>
      <c r="F600" s="107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6"/>
    </row>
    <row r="601" ht="15.75" customHeight="1">
      <c r="A601" s="109"/>
      <c r="B601" s="105"/>
      <c r="C601" s="104"/>
      <c r="D601" s="105"/>
      <c r="E601" s="105"/>
      <c r="F601" s="107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6"/>
    </row>
    <row r="602" ht="15.75" customHeight="1">
      <c r="A602" s="109"/>
      <c r="B602" s="105"/>
      <c r="C602" s="104"/>
      <c r="D602" s="105"/>
      <c r="E602" s="105"/>
      <c r="F602" s="107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6"/>
    </row>
    <row r="603" ht="15.75" customHeight="1">
      <c r="A603" s="109"/>
      <c r="B603" s="105"/>
      <c r="C603" s="104"/>
      <c r="D603" s="105"/>
      <c r="E603" s="105"/>
      <c r="F603" s="107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6"/>
    </row>
    <row r="604" ht="15.75" customHeight="1">
      <c r="A604" s="109"/>
      <c r="B604" s="105"/>
      <c r="C604" s="104"/>
      <c r="D604" s="105"/>
      <c r="E604" s="105"/>
      <c r="F604" s="107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6"/>
    </row>
    <row r="605" ht="15.75" customHeight="1">
      <c r="A605" s="109"/>
      <c r="B605" s="105"/>
      <c r="C605" s="104"/>
      <c r="D605" s="105"/>
      <c r="E605" s="105"/>
      <c r="F605" s="107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6"/>
    </row>
    <row r="606" ht="15.75" customHeight="1">
      <c r="A606" s="109"/>
      <c r="B606" s="105"/>
      <c r="C606" s="104"/>
      <c r="D606" s="105"/>
      <c r="E606" s="105"/>
      <c r="F606" s="107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6"/>
    </row>
    <row r="607" ht="15.75" customHeight="1">
      <c r="A607" s="109"/>
      <c r="B607" s="105"/>
      <c r="C607" s="104"/>
      <c r="D607" s="105"/>
      <c r="E607" s="105"/>
      <c r="F607" s="107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6"/>
    </row>
    <row r="608" ht="15.75" customHeight="1">
      <c r="A608" s="109"/>
      <c r="B608" s="105"/>
      <c r="C608" s="104"/>
      <c r="D608" s="105"/>
      <c r="E608" s="105"/>
      <c r="F608" s="107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6"/>
    </row>
    <row r="609" ht="15.75" customHeight="1">
      <c r="A609" s="109"/>
      <c r="B609" s="105"/>
      <c r="C609" s="104"/>
      <c r="D609" s="105"/>
      <c r="E609" s="105"/>
      <c r="F609" s="107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6"/>
    </row>
    <row r="610" ht="15.75" customHeight="1">
      <c r="A610" s="109"/>
      <c r="B610" s="105"/>
      <c r="C610" s="104"/>
      <c r="D610" s="105"/>
      <c r="E610" s="105"/>
      <c r="F610" s="107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6"/>
    </row>
    <row r="611" ht="15.75" customHeight="1">
      <c r="A611" s="109"/>
      <c r="B611" s="105"/>
      <c r="C611" s="104"/>
      <c r="D611" s="105"/>
      <c r="E611" s="105"/>
      <c r="F611" s="107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6"/>
    </row>
    <row r="612" ht="15.75" customHeight="1">
      <c r="A612" s="109"/>
      <c r="B612" s="105"/>
      <c r="C612" s="104"/>
      <c r="D612" s="105"/>
      <c r="E612" s="105"/>
      <c r="F612" s="107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6"/>
    </row>
    <row r="613" ht="15.75" customHeight="1">
      <c r="A613" s="109"/>
      <c r="B613" s="105"/>
      <c r="C613" s="104"/>
      <c r="D613" s="105"/>
      <c r="E613" s="105"/>
      <c r="F613" s="107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6"/>
    </row>
    <row r="614" ht="15.75" customHeight="1">
      <c r="A614" s="109"/>
      <c r="B614" s="105"/>
      <c r="C614" s="104"/>
      <c r="D614" s="105"/>
      <c r="E614" s="105"/>
      <c r="F614" s="107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6"/>
    </row>
    <row r="615" ht="15.75" customHeight="1">
      <c r="A615" s="109"/>
      <c r="B615" s="105"/>
      <c r="C615" s="104"/>
      <c r="D615" s="105"/>
      <c r="E615" s="105"/>
      <c r="F615" s="107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6"/>
    </row>
    <row r="616" ht="15.75" customHeight="1">
      <c r="A616" s="109"/>
      <c r="B616" s="105"/>
      <c r="C616" s="104"/>
      <c r="D616" s="105"/>
      <c r="E616" s="105"/>
      <c r="F616" s="107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6"/>
    </row>
    <row r="617" ht="15.75" customHeight="1">
      <c r="A617" s="109"/>
      <c r="B617" s="105"/>
      <c r="C617" s="104"/>
      <c r="D617" s="105"/>
      <c r="E617" s="105"/>
      <c r="F617" s="107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6"/>
    </row>
    <row r="618" ht="15.75" customHeight="1">
      <c r="A618" s="109"/>
      <c r="B618" s="105"/>
      <c r="C618" s="104"/>
      <c r="D618" s="105"/>
      <c r="E618" s="105"/>
      <c r="F618" s="107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6"/>
    </row>
    <row r="619" ht="15.75" customHeight="1">
      <c r="A619" s="109"/>
      <c r="B619" s="105"/>
      <c r="C619" s="104"/>
      <c r="D619" s="105"/>
      <c r="E619" s="105"/>
      <c r="F619" s="107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6"/>
    </row>
    <row r="620" ht="15.75" customHeight="1">
      <c r="A620" s="109"/>
      <c r="B620" s="105"/>
      <c r="C620" s="104"/>
      <c r="D620" s="105"/>
      <c r="E620" s="105"/>
      <c r="F620" s="107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6"/>
    </row>
    <row r="621" ht="15.75" customHeight="1">
      <c r="A621" s="109"/>
      <c r="B621" s="105"/>
      <c r="C621" s="104"/>
      <c r="D621" s="105"/>
      <c r="E621" s="105"/>
      <c r="F621" s="107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6"/>
    </row>
    <row r="622" ht="15.75" customHeight="1">
      <c r="A622" s="109"/>
      <c r="B622" s="105"/>
      <c r="C622" s="104"/>
      <c r="D622" s="105"/>
      <c r="E622" s="105"/>
      <c r="F622" s="107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6"/>
    </row>
    <row r="623" ht="15.75" customHeight="1">
      <c r="A623" s="109"/>
      <c r="B623" s="105"/>
      <c r="C623" s="104"/>
      <c r="D623" s="105"/>
      <c r="E623" s="105"/>
      <c r="F623" s="107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6"/>
    </row>
    <row r="624" ht="15.75" customHeight="1">
      <c r="A624" s="109"/>
      <c r="B624" s="105"/>
      <c r="C624" s="104"/>
      <c r="D624" s="105"/>
      <c r="E624" s="105"/>
      <c r="F624" s="107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6"/>
    </row>
    <row r="625" ht="15.75" customHeight="1">
      <c r="A625" s="109"/>
      <c r="B625" s="105"/>
      <c r="C625" s="104"/>
      <c r="D625" s="105"/>
      <c r="E625" s="105"/>
      <c r="F625" s="107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6"/>
    </row>
    <row r="626" ht="15.75" customHeight="1">
      <c r="A626" s="109"/>
      <c r="B626" s="105"/>
      <c r="C626" s="104"/>
      <c r="D626" s="105"/>
      <c r="E626" s="105"/>
      <c r="F626" s="107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6"/>
    </row>
    <row r="627" ht="15.75" customHeight="1">
      <c r="A627" s="109"/>
      <c r="B627" s="105"/>
      <c r="C627" s="104"/>
      <c r="D627" s="105"/>
      <c r="E627" s="105"/>
      <c r="F627" s="107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6"/>
    </row>
    <row r="628" ht="15.75" customHeight="1">
      <c r="A628" s="109"/>
      <c r="B628" s="105"/>
      <c r="C628" s="104"/>
      <c r="D628" s="105"/>
      <c r="E628" s="105"/>
      <c r="F628" s="107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6"/>
    </row>
    <row r="629" ht="15.75" customHeight="1">
      <c r="A629" s="109"/>
      <c r="B629" s="105"/>
      <c r="C629" s="104"/>
      <c r="D629" s="105"/>
      <c r="E629" s="105"/>
      <c r="F629" s="107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6"/>
    </row>
    <row r="630" ht="15.75" customHeight="1">
      <c r="A630" s="109"/>
      <c r="B630" s="105"/>
      <c r="C630" s="104"/>
      <c r="D630" s="105"/>
      <c r="E630" s="105"/>
      <c r="F630" s="107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6"/>
    </row>
    <row r="631" ht="15.75" customHeight="1">
      <c r="A631" s="109"/>
      <c r="B631" s="105"/>
      <c r="C631" s="104"/>
      <c r="D631" s="105"/>
      <c r="E631" s="105"/>
      <c r="F631" s="107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6"/>
    </row>
    <row r="632" ht="15.75" customHeight="1">
      <c r="A632" s="109"/>
      <c r="B632" s="105"/>
      <c r="C632" s="104"/>
      <c r="D632" s="105"/>
      <c r="E632" s="105"/>
      <c r="F632" s="107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6"/>
    </row>
    <row r="633" ht="15.75" customHeight="1">
      <c r="A633" s="109"/>
      <c r="B633" s="105"/>
      <c r="C633" s="104"/>
      <c r="D633" s="105"/>
      <c r="E633" s="105"/>
      <c r="F633" s="107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6"/>
    </row>
    <row r="634" ht="15.75" customHeight="1">
      <c r="A634" s="109"/>
      <c r="B634" s="105"/>
      <c r="C634" s="104"/>
      <c r="D634" s="105"/>
      <c r="E634" s="105"/>
      <c r="F634" s="107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6"/>
    </row>
    <row r="635" ht="15.75" customHeight="1">
      <c r="A635" s="109"/>
      <c r="B635" s="105"/>
      <c r="C635" s="104"/>
      <c r="D635" s="105"/>
      <c r="E635" s="105"/>
      <c r="F635" s="107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6"/>
    </row>
    <row r="636" ht="15.75" customHeight="1">
      <c r="A636" s="109"/>
      <c r="B636" s="105"/>
      <c r="C636" s="104"/>
      <c r="D636" s="105"/>
      <c r="E636" s="105"/>
      <c r="F636" s="107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6"/>
    </row>
    <row r="637" ht="15.75" customHeight="1">
      <c r="A637" s="109"/>
      <c r="B637" s="105"/>
      <c r="C637" s="104"/>
      <c r="D637" s="105"/>
      <c r="E637" s="105"/>
      <c r="F637" s="107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6"/>
    </row>
    <row r="638" ht="15.75" customHeight="1">
      <c r="A638" s="109"/>
      <c r="B638" s="105"/>
      <c r="C638" s="104"/>
      <c r="D638" s="105"/>
      <c r="E638" s="105"/>
      <c r="F638" s="107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6"/>
    </row>
    <row r="639" ht="15.75" customHeight="1">
      <c r="A639" s="109"/>
      <c r="B639" s="105"/>
      <c r="C639" s="104"/>
      <c r="D639" s="105"/>
      <c r="E639" s="105"/>
      <c r="F639" s="107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6"/>
    </row>
    <row r="640" ht="15.75" customHeight="1">
      <c r="A640" s="109"/>
      <c r="B640" s="105"/>
      <c r="C640" s="104"/>
      <c r="D640" s="105"/>
      <c r="E640" s="105"/>
      <c r="F640" s="107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6"/>
    </row>
    <row r="641" ht="15.75" customHeight="1">
      <c r="A641" s="109"/>
      <c r="B641" s="105"/>
      <c r="C641" s="104"/>
      <c r="D641" s="105"/>
      <c r="E641" s="105"/>
      <c r="F641" s="107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6"/>
    </row>
    <row r="642" ht="15.75" customHeight="1">
      <c r="A642" s="109"/>
      <c r="B642" s="105"/>
      <c r="C642" s="104"/>
      <c r="D642" s="105"/>
      <c r="E642" s="105"/>
      <c r="F642" s="107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6"/>
    </row>
    <row r="643" ht="15.75" customHeight="1">
      <c r="A643" s="109"/>
      <c r="B643" s="105"/>
      <c r="C643" s="104"/>
      <c r="D643" s="105"/>
      <c r="E643" s="105"/>
      <c r="F643" s="107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6"/>
    </row>
    <row r="644" ht="15.75" customHeight="1">
      <c r="A644" s="109"/>
      <c r="B644" s="105"/>
      <c r="C644" s="104"/>
      <c r="D644" s="105"/>
      <c r="E644" s="105"/>
      <c r="F644" s="107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6"/>
    </row>
    <row r="645" ht="15.75" customHeight="1">
      <c r="A645" s="109"/>
      <c r="B645" s="105"/>
      <c r="C645" s="104"/>
      <c r="D645" s="105"/>
      <c r="E645" s="105"/>
      <c r="F645" s="107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6"/>
    </row>
    <row r="646" ht="15.75" customHeight="1">
      <c r="A646" s="109"/>
      <c r="B646" s="105"/>
      <c r="C646" s="104"/>
      <c r="D646" s="105"/>
      <c r="E646" s="105"/>
      <c r="F646" s="107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6"/>
    </row>
    <row r="647" ht="15.75" customHeight="1">
      <c r="A647" s="109"/>
      <c r="B647" s="105"/>
      <c r="C647" s="104"/>
      <c r="D647" s="105"/>
      <c r="E647" s="105"/>
      <c r="F647" s="107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6"/>
    </row>
    <row r="648" ht="15.75" customHeight="1">
      <c r="A648" s="109"/>
      <c r="B648" s="105"/>
      <c r="C648" s="104"/>
      <c r="D648" s="105"/>
      <c r="E648" s="105"/>
      <c r="F648" s="107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6"/>
    </row>
    <row r="649" ht="15.75" customHeight="1">
      <c r="A649" s="109"/>
      <c r="B649" s="105"/>
      <c r="C649" s="104"/>
      <c r="D649" s="105"/>
      <c r="E649" s="105"/>
      <c r="F649" s="107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6"/>
    </row>
    <row r="650" ht="15.75" customHeight="1">
      <c r="A650" s="109"/>
      <c r="B650" s="105"/>
      <c r="C650" s="104"/>
      <c r="D650" s="105"/>
      <c r="E650" s="105"/>
      <c r="F650" s="107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6"/>
    </row>
    <row r="651" ht="15.75" customHeight="1">
      <c r="A651" s="109"/>
      <c r="B651" s="105"/>
      <c r="C651" s="104"/>
      <c r="D651" s="105"/>
      <c r="E651" s="105"/>
      <c r="F651" s="107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6"/>
    </row>
    <row r="652" ht="15.75" customHeight="1">
      <c r="A652" s="109"/>
      <c r="B652" s="105"/>
      <c r="C652" s="104"/>
      <c r="D652" s="105"/>
      <c r="E652" s="105"/>
      <c r="F652" s="107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6"/>
    </row>
    <row r="653" ht="15.75" customHeight="1">
      <c r="A653" s="109"/>
      <c r="B653" s="105"/>
      <c r="C653" s="104"/>
      <c r="D653" s="105"/>
      <c r="E653" s="105"/>
      <c r="F653" s="107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6"/>
    </row>
    <row r="654" ht="15.75" customHeight="1">
      <c r="A654" s="109"/>
      <c r="B654" s="105"/>
      <c r="C654" s="104"/>
      <c r="D654" s="105"/>
      <c r="E654" s="105"/>
      <c r="F654" s="107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6"/>
    </row>
    <row r="655" ht="15.75" customHeight="1">
      <c r="A655" s="109"/>
      <c r="B655" s="105"/>
      <c r="C655" s="104"/>
      <c r="D655" s="105"/>
      <c r="E655" s="105"/>
      <c r="F655" s="107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6"/>
    </row>
    <row r="656" ht="15.75" customHeight="1">
      <c r="A656" s="109"/>
      <c r="B656" s="105"/>
      <c r="C656" s="104"/>
      <c r="D656" s="105"/>
      <c r="E656" s="105"/>
      <c r="F656" s="107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6"/>
    </row>
    <row r="657" ht="15.75" customHeight="1">
      <c r="A657" s="109"/>
      <c r="B657" s="105"/>
      <c r="C657" s="104"/>
      <c r="D657" s="105"/>
      <c r="E657" s="105"/>
      <c r="F657" s="107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6"/>
    </row>
    <row r="658" ht="15.75" customHeight="1">
      <c r="A658" s="109"/>
      <c r="B658" s="105"/>
      <c r="C658" s="104"/>
      <c r="D658" s="105"/>
      <c r="E658" s="105"/>
      <c r="F658" s="107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6"/>
    </row>
    <row r="659" ht="15.75" customHeight="1">
      <c r="A659" s="109"/>
      <c r="B659" s="105"/>
      <c r="C659" s="104"/>
      <c r="D659" s="105"/>
      <c r="E659" s="105"/>
      <c r="F659" s="107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6"/>
    </row>
    <row r="660" ht="15.75" customHeight="1">
      <c r="A660" s="109"/>
      <c r="B660" s="105"/>
      <c r="C660" s="104"/>
      <c r="D660" s="105"/>
      <c r="E660" s="105"/>
      <c r="F660" s="107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6"/>
    </row>
    <row r="661" ht="15.75" customHeight="1">
      <c r="A661" s="109"/>
      <c r="B661" s="105"/>
      <c r="C661" s="104"/>
      <c r="D661" s="105"/>
      <c r="E661" s="105"/>
      <c r="F661" s="107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6"/>
    </row>
    <row r="662" ht="15.75" customHeight="1">
      <c r="A662" s="109"/>
      <c r="B662" s="105"/>
      <c r="C662" s="104"/>
      <c r="D662" s="105"/>
      <c r="E662" s="105"/>
      <c r="F662" s="107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6"/>
    </row>
    <row r="663" ht="15.75" customHeight="1">
      <c r="A663" s="109"/>
      <c r="B663" s="105"/>
      <c r="C663" s="104"/>
      <c r="D663" s="105"/>
      <c r="E663" s="105"/>
      <c r="F663" s="107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6"/>
    </row>
    <row r="664" ht="15.75" customHeight="1">
      <c r="A664" s="109"/>
      <c r="B664" s="105"/>
      <c r="C664" s="104"/>
      <c r="D664" s="105"/>
      <c r="E664" s="105"/>
      <c r="F664" s="107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6"/>
    </row>
    <row r="665" ht="15.75" customHeight="1">
      <c r="A665" s="109"/>
      <c r="B665" s="105"/>
      <c r="C665" s="104"/>
      <c r="D665" s="105"/>
      <c r="E665" s="105"/>
      <c r="F665" s="107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6"/>
    </row>
    <row r="666" ht="15.75" customHeight="1">
      <c r="A666" s="109"/>
      <c r="B666" s="105"/>
      <c r="C666" s="104"/>
      <c r="D666" s="105"/>
      <c r="E666" s="105"/>
      <c r="F666" s="107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6"/>
    </row>
    <row r="667" ht="15.75" customHeight="1">
      <c r="A667" s="109"/>
      <c r="B667" s="105"/>
      <c r="C667" s="104"/>
      <c r="D667" s="105"/>
      <c r="E667" s="105"/>
      <c r="F667" s="107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6"/>
    </row>
    <row r="668" ht="15.75" customHeight="1">
      <c r="A668" s="109"/>
      <c r="B668" s="105"/>
      <c r="C668" s="104"/>
      <c r="D668" s="105"/>
      <c r="E668" s="105"/>
      <c r="F668" s="107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6"/>
    </row>
    <row r="669" ht="15.75" customHeight="1">
      <c r="A669" s="109"/>
      <c r="B669" s="105"/>
      <c r="C669" s="104"/>
      <c r="D669" s="105"/>
      <c r="E669" s="105"/>
      <c r="F669" s="107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6"/>
    </row>
    <row r="670" ht="15.75" customHeight="1">
      <c r="A670" s="109"/>
      <c r="B670" s="105"/>
      <c r="C670" s="104"/>
      <c r="D670" s="105"/>
      <c r="E670" s="105"/>
      <c r="F670" s="107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6"/>
    </row>
    <row r="671" ht="15.75" customHeight="1">
      <c r="A671" s="109"/>
      <c r="B671" s="105"/>
      <c r="C671" s="104"/>
      <c r="D671" s="105"/>
      <c r="E671" s="105"/>
      <c r="F671" s="107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6"/>
    </row>
    <row r="672" ht="15.75" customHeight="1">
      <c r="A672" s="109"/>
      <c r="B672" s="105"/>
      <c r="C672" s="104"/>
      <c r="D672" s="105"/>
      <c r="E672" s="105"/>
      <c r="F672" s="107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6"/>
    </row>
    <row r="673" ht="15.75" customHeight="1">
      <c r="A673" s="109"/>
      <c r="B673" s="105"/>
      <c r="C673" s="104"/>
      <c r="D673" s="105"/>
      <c r="E673" s="105"/>
      <c r="F673" s="107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6"/>
    </row>
    <row r="674" ht="15.75" customHeight="1">
      <c r="A674" s="109"/>
      <c r="B674" s="105"/>
      <c r="C674" s="104"/>
      <c r="D674" s="105"/>
      <c r="E674" s="105"/>
      <c r="F674" s="107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6"/>
    </row>
    <row r="675" ht="15.75" customHeight="1">
      <c r="A675" s="109"/>
      <c r="B675" s="105"/>
      <c r="C675" s="104"/>
      <c r="D675" s="105"/>
      <c r="E675" s="105"/>
      <c r="F675" s="107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6"/>
    </row>
    <row r="676" ht="15.75" customHeight="1">
      <c r="A676" s="109"/>
      <c r="B676" s="105"/>
      <c r="C676" s="104"/>
      <c r="D676" s="105"/>
      <c r="E676" s="105"/>
      <c r="F676" s="107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6"/>
    </row>
    <row r="677" ht="15.75" customHeight="1">
      <c r="A677" s="109"/>
      <c r="B677" s="105"/>
      <c r="C677" s="104"/>
      <c r="D677" s="105"/>
      <c r="E677" s="105"/>
      <c r="F677" s="107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6"/>
    </row>
    <row r="678" ht="15.75" customHeight="1">
      <c r="A678" s="109"/>
      <c r="B678" s="105"/>
      <c r="C678" s="104"/>
      <c r="D678" s="105"/>
      <c r="E678" s="105"/>
      <c r="F678" s="107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6"/>
    </row>
    <row r="679" ht="15.75" customHeight="1">
      <c r="A679" s="109"/>
      <c r="B679" s="105"/>
      <c r="C679" s="104"/>
      <c r="D679" s="105"/>
      <c r="E679" s="105"/>
      <c r="F679" s="107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6"/>
    </row>
    <row r="680" ht="15.75" customHeight="1">
      <c r="A680" s="109"/>
      <c r="B680" s="105"/>
      <c r="C680" s="104"/>
      <c r="D680" s="105"/>
      <c r="E680" s="105"/>
      <c r="F680" s="107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6"/>
    </row>
    <row r="681" ht="15.75" customHeight="1">
      <c r="A681" s="109"/>
      <c r="B681" s="105"/>
      <c r="C681" s="104"/>
      <c r="D681" s="105"/>
      <c r="E681" s="105"/>
      <c r="F681" s="107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6"/>
    </row>
    <row r="682" ht="15.75" customHeight="1">
      <c r="A682" s="109"/>
      <c r="B682" s="105"/>
      <c r="C682" s="104"/>
      <c r="D682" s="105"/>
      <c r="E682" s="105"/>
      <c r="F682" s="107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6"/>
    </row>
    <row r="683" ht="15.75" customHeight="1">
      <c r="A683" s="109"/>
      <c r="B683" s="105"/>
      <c r="C683" s="104"/>
      <c r="D683" s="105"/>
      <c r="E683" s="105"/>
      <c r="F683" s="107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6"/>
    </row>
    <row r="684" ht="15.75" customHeight="1">
      <c r="A684" s="109"/>
      <c r="B684" s="105"/>
      <c r="C684" s="104"/>
      <c r="D684" s="105"/>
      <c r="E684" s="105"/>
      <c r="F684" s="107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6"/>
    </row>
    <row r="685" ht="15.75" customHeight="1">
      <c r="A685" s="109"/>
      <c r="B685" s="105"/>
      <c r="C685" s="104"/>
      <c r="D685" s="105"/>
      <c r="E685" s="105"/>
      <c r="F685" s="107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6"/>
    </row>
    <row r="686" ht="15.75" customHeight="1">
      <c r="A686" s="109"/>
      <c r="B686" s="105"/>
      <c r="C686" s="104"/>
      <c r="D686" s="105"/>
      <c r="E686" s="105"/>
      <c r="F686" s="107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6"/>
    </row>
    <row r="687" ht="15.75" customHeight="1">
      <c r="A687" s="109"/>
      <c r="B687" s="105"/>
      <c r="C687" s="104"/>
      <c r="D687" s="105"/>
      <c r="E687" s="105"/>
      <c r="F687" s="107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6"/>
    </row>
    <row r="688" ht="15.75" customHeight="1">
      <c r="A688" s="109"/>
      <c r="B688" s="105"/>
      <c r="C688" s="104"/>
      <c r="D688" s="105"/>
      <c r="E688" s="105"/>
      <c r="F688" s="107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6"/>
    </row>
    <row r="689" ht="15.75" customHeight="1">
      <c r="A689" s="109"/>
      <c r="B689" s="105"/>
      <c r="C689" s="104"/>
      <c r="D689" s="105"/>
      <c r="E689" s="105"/>
      <c r="F689" s="107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6"/>
    </row>
    <row r="690" ht="15.75" customHeight="1">
      <c r="A690" s="109"/>
      <c r="B690" s="105"/>
      <c r="C690" s="104"/>
      <c r="D690" s="105"/>
      <c r="E690" s="105"/>
      <c r="F690" s="107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6"/>
    </row>
    <row r="691" ht="15.75" customHeight="1">
      <c r="A691" s="109"/>
      <c r="B691" s="105"/>
      <c r="C691" s="104"/>
      <c r="D691" s="105"/>
      <c r="E691" s="105"/>
      <c r="F691" s="107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6"/>
    </row>
    <row r="692" ht="15.75" customHeight="1">
      <c r="A692" s="109"/>
      <c r="B692" s="105"/>
      <c r="C692" s="104"/>
      <c r="D692" s="105"/>
      <c r="E692" s="105"/>
      <c r="F692" s="107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6"/>
    </row>
    <row r="693" ht="15.75" customHeight="1">
      <c r="A693" s="109"/>
      <c r="B693" s="105"/>
      <c r="C693" s="104"/>
      <c r="D693" s="105"/>
      <c r="E693" s="105"/>
      <c r="F693" s="107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6"/>
    </row>
    <row r="694" ht="15.75" customHeight="1">
      <c r="A694" s="109"/>
      <c r="B694" s="105"/>
      <c r="C694" s="104"/>
      <c r="D694" s="105"/>
      <c r="E694" s="105"/>
      <c r="F694" s="107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6"/>
    </row>
    <row r="695" ht="15.75" customHeight="1">
      <c r="A695" s="109"/>
      <c r="B695" s="105"/>
      <c r="C695" s="104"/>
      <c r="D695" s="105"/>
      <c r="E695" s="105"/>
      <c r="F695" s="107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6"/>
    </row>
    <row r="696" ht="15.75" customHeight="1">
      <c r="A696" s="109"/>
      <c r="B696" s="105"/>
      <c r="C696" s="104"/>
      <c r="D696" s="105"/>
      <c r="E696" s="105"/>
      <c r="F696" s="107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6"/>
    </row>
    <row r="697" ht="15.75" customHeight="1">
      <c r="A697" s="109"/>
      <c r="B697" s="105"/>
      <c r="C697" s="104"/>
      <c r="D697" s="105"/>
      <c r="E697" s="105"/>
      <c r="F697" s="107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6"/>
    </row>
    <row r="698" ht="15.75" customHeight="1">
      <c r="A698" s="109"/>
      <c r="B698" s="105"/>
      <c r="C698" s="104"/>
      <c r="D698" s="105"/>
      <c r="E698" s="105"/>
      <c r="F698" s="107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6"/>
    </row>
    <row r="699" ht="15.75" customHeight="1">
      <c r="A699" s="109"/>
      <c r="B699" s="105"/>
      <c r="C699" s="104"/>
      <c r="D699" s="105"/>
      <c r="E699" s="105"/>
      <c r="F699" s="107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6"/>
    </row>
    <row r="700" ht="15.75" customHeight="1">
      <c r="A700" s="109"/>
      <c r="B700" s="105"/>
      <c r="C700" s="104"/>
      <c r="D700" s="105"/>
      <c r="E700" s="105"/>
      <c r="F700" s="107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6"/>
    </row>
    <row r="701" ht="15.75" customHeight="1">
      <c r="A701" s="109"/>
      <c r="B701" s="105"/>
      <c r="C701" s="104"/>
      <c r="D701" s="105"/>
      <c r="E701" s="105"/>
      <c r="F701" s="107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6"/>
    </row>
    <row r="702" ht="15.75" customHeight="1">
      <c r="A702" s="109"/>
      <c r="B702" s="105"/>
      <c r="C702" s="104"/>
      <c r="D702" s="105"/>
      <c r="E702" s="105"/>
      <c r="F702" s="107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6"/>
    </row>
    <row r="703" ht="15.75" customHeight="1">
      <c r="A703" s="109"/>
      <c r="B703" s="105"/>
      <c r="C703" s="104"/>
      <c r="D703" s="105"/>
      <c r="E703" s="105"/>
      <c r="F703" s="107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6"/>
    </row>
    <row r="704" ht="15.75" customHeight="1">
      <c r="A704" s="109"/>
      <c r="B704" s="105"/>
      <c r="C704" s="104"/>
      <c r="D704" s="105"/>
      <c r="E704" s="105"/>
      <c r="F704" s="107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6"/>
    </row>
    <row r="705" ht="15.75" customHeight="1">
      <c r="A705" s="109"/>
      <c r="B705" s="105"/>
      <c r="C705" s="104"/>
      <c r="D705" s="105"/>
      <c r="E705" s="105"/>
      <c r="F705" s="107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6"/>
    </row>
    <row r="706" ht="15.75" customHeight="1">
      <c r="A706" s="109"/>
      <c r="B706" s="105"/>
      <c r="C706" s="104"/>
      <c r="D706" s="105"/>
      <c r="E706" s="105"/>
      <c r="F706" s="107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6"/>
    </row>
    <row r="707" ht="15.75" customHeight="1">
      <c r="A707" s="109"/>
      <c r="B707" s="105"/>
      <c r="C707" s="104"/>
      <c r="D707" s="105"/>
      <c r="E707" s="105"/>
      <c r="F707" s="107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6"/>
    </row>
    <row r="708" ht="15.75" customHeight="1">
      <c r="A708" s="109"/>
      <c r="B708" s="105"/>
      <c r="C708" s="104"/>
      <c r="D708" s="105"/>
      <c r="E708" s="105"/>
      <c r="F708" s="107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6"/>
    </row>
    <row r="709" ht="15.75" customHeight="1">
      <c r="A709" s="109"/>
      <c r="B709" s="105"/>
      <c r="C709" s="104"/>
      <c r="D709" s="105"/>
      <c r="E709" s="105"/>
      <c r="F709" s="107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6"/>
    </row>
    <row r="710" ht="15.75" customHeight="1">
      <c r="A710" s="109"/>
      <c r="B710" s="105"/>
      <c r="C710" s="104"/>
      <c r="D710" s="105"/>
      <c r="E710" s="105"/>
      <c r="F710" s="107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6"/>
    </row>
    <row r="711" ht="15.75" customHeight="1">
      <c r="A711" s="109"/>
      <c r="B711" s="105"/>
      <c r="C711" s="104"/>
      <c r="D711" s="105"/>
      <c r="E711" s="105"/>
      <c r="F711" s="107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6"/>
    </row>
    <row r="712" ht="15.75" customHeight="1">
      <c r="A712" s="109"/>
      <c r="B712" s="105"/>
      <c r="C712" s="104"/>
      <c r="D712" s="105"/>
      <c r="E712" s="105"/>
      <c r="F712" s="107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6"/>
    </row>
    <row r="713" ht="15.75" customHeight="1">
      <c r="A713" s="109"/>
      <c r="B713" s="105"/>
      <c r="C713" s="104"/>
      <c r="D713" s="105"/>
      <c r="E713" s="105"/>
      <c r="F713" s="107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6"/>
    </row>
    <row r="714" ht="15.75" customHeight="1">
      <c r="A714" s="109"/>
      <c r="B714" s="105"/>
      <c r="C714" s="104"/>
      <c r="D714" s="105"/>
      <c r="E714" s="105"/>
      <c r="F714" s="107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6"/>
    </row>
    <row r="715" ht="15.75" customHeight="1">
      <c r="A715" s="109"/>
      <c r="B715" s="105"/>
      <c r="C715" s="104"/>
      <c r="D715" s="105"/>
      <c r="E715" s="105"/>
      <c r="F715" s="107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6"/>
    </row>
    <row r="716" ht="15.75" customHeight="1">
      <c r="A716" s="109"/>
      <c r="B716" s="105"/>
      <c r="C716" s="104"/>
      <c r="D716" s="105"/>
      <c r="E716" s="105"/>
      <c r="F716" s="107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6"/>
    </row>
    <row r="717" ht="15.75" customHeight="1">
      <c r="A717" s="109"/>
      <c r="B717" s="105"/>
      <c r="C717" s="104"/>
      <c r="D717" s="105"/>
      <c r="E717" s="105"/>
      <c r="F717" s="107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6"/>
    </row>
    <row r="718" ht="15.75" customHeight="1">
      <c r="A718" s="109"/>
      <c r="B718" s="105"/>
      <c r="C718" s="104"/>
      <c r="D718" s="105"/>
      <c r="E718" s="105"/>
      <c r="F718" s="107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6"/>
    </row>
    <row r="719" ht="15.75" customHeight="1">
      <c r="A719" s="109"/>
      <c r="B719" s="105"/>
      <c r="C719" s="104"/>
      <c r="D719" s="105"/>
      <c r="E719" s="105"/>
      <c r="F719" s="107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6"/>
    </row>
    <row r="720" ht="15.75" customHeight="1">
      <c r="A720" s="109"/>
      <c r="B720" s="105"/>
      <c r="C720" s="104"/>
      <c r="D720" s="105"/>
      <c r="E720" s="105"/>
      <c r="F720" s="107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6"/>
    </row>
    <row r="721" ht="15.75" customHeight="1">
      <c r="A721" s="109"/>
      <c r="B721" s="105"/>
      <c r="C721" s="104"/>
      <c r="D721" s="105"/>
      <c r="E721" s="105"/>
      <c r="F721" s="107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6"/>
    </row>
    <row r="722" ht="15.75" customHeight="1">
      <c r="A722" s="109"/>
      <c r="B722" s="105"/>
      <c r="C722" s="104"/>
      <c r="D722" s="105"/>
      <c r="E722" s="105"/>
      <c r="F722" s="107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6"/>
    </row>
    <row r="723" ht="15.75" customHeight="1">
      <c r="A723" s="109"/>
      <c r="B723" s="105"/>
      <c r="C723" s="104"/>
      <c r="D723" s="105"/>
      <c r="E723" s="105"/>
      <c r="F723" s="107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6"/>
    </row>
    <row r="724" ht="15.75" customHeight="1">
      <c r="A724" s="109"/>
      <c r="B724" s="105"/>
      <c r="C724" s="104"/>
      <c r="D724" s="105"/>
      <c r="E724" s="105"/>
      <c r="F724" s="107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6"/>
    </row>
    <row r="725" ht="15.75" customHeight="1">
      <c r="A725" s="109"/>
      <c r="B725" s="105"/>
      <c r="C725" s="104"/>
      <c r="D725" s="105"/>
      <c r="E725" s="105"/>
      <c r="F725" s="107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6"/>
    </row>
    <row r="726" ht="15.75" customHeight="1">
      <c r="A726" s="109"/>
      <c r="B726" s="105"/>
      <c r="C726" s="104"/>
      <c r="D726" s="105"/>
      <c r="E726" s="105"/>
      <c r="F726" s="107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6"/>
    </row>
    <row r="727" ht="15.75" customHeight="1">
      <c r="A727" s="109"/>
      <c r="B727" s="105"/>
      <c r="C727" s="104"/>
      <c r="D727" s="105"/>
      <c r="E727" s="105"/>
      <c r="F727" s="107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6"/>
    </row>
    <row r="728" ht="15.75" customHeight="1">
      <c r="A728" s="109"/>
      <c r="B728" s="105"/>
      <c r="C728" s="104"/>
      <c r="D728" s="105"/>
      <c r="E728" s="105"/>
      <c r="F728" s="107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6"/>
    </row>
    <row r="729" ht="15.75" customHeight="1">
      <c r="A729" s="109"/>
      <c r="B729" s="105"/>
      <c r="C729" s="104"/>
      <c r="D729" s="105"/>
      <c r="E729" s="105"/>
      <c r="F729" s="107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6"/>
    </row>
    <row r="730" ht="15.75" customHeight="1">
      <c r="A730" s="109"/>
      <c r="B730" s="105"/>
      <c r="C730" s="104"/>
      <c r="D730" s="105"/>
      <c r="E730" s="105"/>
      <c r="F730" s="107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6"/>
    </row>
    <row r="731" ht="15.75" customHeight="1">
      <c r="A731" s="109"/>
      <c r="B731" s="105"/>
      <c r="C731" s="104"/>
      <c r="D731" s="105"/>
      <c r="E731" s="105"/>
      <c r="F731" s="107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6"/>
    </row>
    <row r="732" ht="15.75" customHeight="1">
      <c r="A732" s="109"/>
      <c r="B732" s="105"/>
      <c r="C732" s="104"/>
      <c r="D732" s="105"/>
      <c r="E732" s="105"/>
      <c r="F732" s="107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6"/>
    </row>
    <row r="733" ht="15.75" customHeight="1">
      <c r="A733" s="109"/>
      <c r="B733" s="105"/>
      <c r="C733" s="104"/>
      <c r="D733" s="105"/>
      <c r="E733" s="105"/>
      <c r="F733" s="107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6"/>
    </row>
    <row r="734" ht="15.75" customHeight="1">
      <c r="A734" s="109"/>
      <c r="B734" s="105"/>
      <c r="C734" s="104"/>
      <c r="D734" s="105"/>
      <c r="E734" s="105"/>
      <c r="F734" s="107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6"/>
    </row>
    <row r="735" ht="15.75" customHeight="1">
      <c r="A735" s="109"/>
      <c r="B735" s="105"/>
      <c r="C735" s="104"/>
      <c r="D735" s="105"/>
      <c r="E735" s="105"/>
      <c r="F735" s="107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6"/>
    </row>
    <row r="736" ht="15.75" customHeight="1">
      <c r="A736" s="109"/>
      <c r="B736" s="105"/>
      <c r="C736" s="104"/>
      <c r="D736" s="105"/>
      <c r="E736" s="105"/>
      <c r="F736" s="107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6"/>
    </row>
    <row r="737" ht="15.75" customHeight="1">
      <c r="A737" s="109"/>
      <c r="B737" s="105"/>
      <c r="C737" s="104"/>
      <c r="D737" s="105"/>
      <c r="E737" s="105"/>
      <c r="F737" s="107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6"/>
    </row>
    <row r="738" ht="15.75" customHeight="1">
      <c r="A738" s="109"/>
      <c r="B738" s="105"/>
      <c r="C738" s="104"/>
      <c r="D738" s="105"/>
      <c r="E738" s="105"/>
      <c r="F738" s="107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6"/>
    </row>
    <row r="739" ht="15.75" customHeight="1">
      <c r="A739" s="109"/>
      <c r="B739" s="105"/>
      <c r="C739" s="104"/>
      <c r="D739" s="105"/>
      <c r="E739" s="105"/>
      <c r="F739" s="107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6"/>
    </row>
    <row r="740" ht="15.75" customHeight="1">
      <c r="A740" s="109"/>
      <c r="B740" s="105"/>
      <c r="C740" s="104"/>
      <c r="D740" s="105"/>
      <c r="E740" s="105"/>
      <c r="F740" s="107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6"/>
    </row>
    <row r="741" ht="15.75" customHeight="1">
      <c r="A741" s="109"/>
      <c r="B741" s="105"/>
      <c r="C741" s="104"/>
      <c r="D741" s="105"/>
      <c r="E741" s="105"/>
      <c r="F741" s="107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6"/>
    </row>
    <row r="742" ht="15.75" customHeight="1">
      <c r="A742" s="109"/>
      <c r="B742" s="105"/>
      <c r="C742" s="104"/>
      <c r="D742" s="105"/>
      <c r="E742" s="105"/>
      <c r="F742" s="107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6"/>
    </row>
    <row r="743" ht="15.75" customHeight="1">
      <c r="A743" s="109"/>
      <c r="B743" s="105"/>
      <c r="C743" s="104"/>
      <c r="D743" s="105"/>
      <c r="E743" s="105"/>
      <c r="F743" s="107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6"/>
    </row>
    <row r="744" ht="15.75" customHeight="1">
      <c r="A744" s="109"/>
      <c r="B744" s="105"/>
      <c r="C744" s="104"/>
      <c r="D744" s="105"/>
      <c r="E744" s="105"/>
      <c r="F744" s="107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6"/>
    </row>
    <row r="745" ht="15.75" customHeight="1">
      <c r="A745" s="109"/>
      <c r="B745" s="105"/>
      <c r="C745" s="104"/>
      <c r="D745" s="105"/>
      <c r="E745" s="105"/>
      <c r="F745" s="107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6"/>
    </row>
    <row r="746" ht="15.75" customHeight="1">
      <c r="A746" s="109"/>
      <c r="B746" s="105"/>
      <c r="C746" s="104"/>
      <c r="D746" s="105"/>
      <c r="E746" s="105"/>
      <c r="F746" s="107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6"/>
    </row>
    <row r="747" ht="15.75" customHeight="1">
      <c r="A747" s="109"/>
      <c r="B747" s="105"/>
      <c r="C747" s="104"/>
      <c r="D747" s="105"/>
      <c r="E747" s="105"/>
      <c r="F747" s="107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6"/>
    </row>
    <row r="748" ht="15.75" customHeight="1">
      <c r="A748" s="109"/>
      <c r="B748" s="105"/>
      <c r="C748" s="104"/>
      <c r="D748" s="105"/>
      <c r="E748" s="105"/>
      <c r="F748" s="107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6"/>
    </row>
    <row r="749" ht="15.75" customHeight="1">
      <c r="A749" s="109"/>
      <c r="B749" s="105"/>
      <c r="C749" s="104"/>
      <c r="D749" s="105"/>
      <c r="E749" s="105"/>
      <c r="F749" s="107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6"/>
    </row>
    <row r="750" ht="15.75" customHeight="1">
      <c r="A750" s="109"/>
      <c r="B750" s="105"/>
      <c r="C750" s="104"/>
      <c r="D750" s="105"/>
      <c r="E750" s="105"/>
      <c r="F750" s="107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6"/>
    </row>
    <row r="751" ht="15.75" customHeight="1">
      <c r="A751" s="109"/>
      <c r="B751" s="105"/>
      <c r="C751" s="104"/>
      <c r="D751" s="105"/>
      <c r="E751" s="105"/>
      <c r="F751" s="107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6"/>
    </row>
    <row r="752" ht="15.75" customHeight="1">
      <c r="A752" s="109"/>
      <c r="B752" s="105"/>
      <c r="C752" s="104"/>
      <c r="D752" s="105"/>
      <c r="E752" s="105"/>
      <c r="F752" s="107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6"/>
    </row>
    <row r="753" ht="15.75" customHeight="1">
      <c r="A753" s="109"/>
      <c r="B753" s="105"/>
      <c r="C753" s="104"/>
      <c r="D753" s="105"/>
      <c r="E753" s="105"/>
      <c r="F753" s="107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6"/>
    </row>
    <row r="754" ht="15.75" customHeight="1">
      <c r="A754" s="109"/>
      <c r="B754" s="105"/>
      <c r="C754" s="104"/>
      <c r="D754" s="105"/>
      <c r="E754" s="105"/>
      <c r="F754" s="107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6"/>
    </row>
    <row r="755" ht="15.75" customHeight="1">
      <c r="A755" s="109"/>
      <c r="B755" s="105"/>
      <c r="C755" s="104"/>
      <c r="D755" s="105"/>
      <c r="E755" s="105"/>
      <c r="F755" s="107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6"/>
    </row>
    <row r="756" ht="15.75" customHeight="1">
      <c r="A756" s="109"/>
      <c r="B756" s="105"/>
      <c r="C756" s="104"/>
      <c r="D756" s="105"/>
      <c r="E756" s="105"/>
      <c r="F756" s="107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6"/>
    </row>
    <row r="757" ht="15.75" customHeight="1">
      <c r="A757" s="109"/>
      <c r="B757" s="105"/>
      <c r="C757" s="104"/>
      <c r="D757" s="105"/>
      <c r="E757" s="105"/>
      <c r="F757" s="107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6"/>
    </row>
    <row r="758" ht="15.75" customHeight="1">
      <c r="A758" s="109"/>
      <c r="B758" s="105"/>
      <c r="C758" s="104"/>
      <c r="D758" s="105"/>
      <c r="E758" s="105"/>
      <c r="F758" s="107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6"/>
    </row>
    <row r="759" ht="15.75" customHeight="1">
      <c r="A759" s="109"/>
      <c r="B759" s="105"/>
      <c r="C759" s="104"/>
      <c r="D759" s="105"/>
      <c r="E759" s="105"/>
      <c r="F759" s="107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6"/>
    </row>
    <row r="760" ht="15.75" customHeight="1">
      <c r="A760" s="109"/>
      <c r="B760" s="105"/>
      <c r="C760" s="104"/>
      <c r="D760" s="105"/>
      <c r="E760" s="105"/>
      <c r="F760" s="107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6"/>
    </row>
    <row r="761" ht="15.75" customHeight="1">
      <c r="A761" s="109"/>
      <c r="B761" s="105"/>
      <c r="C761" s="104"/>
      <c r="D761" s="105"/>
      <c r="E761" s="105"/>
      <c r="F761" s="107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6"/>
    </row>
    <row r="762" ht="15.75" customHeight="1">
      <c r="A762" s="109"/>
      <c r="B762" s="105"/>
      <c r="C762" s="104"/>
      <c r="D762" s="105"/>
      <c r="E762" s="105"/>
      <c r="F762" s="107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6"/>
    </row>
    <row r="763" ht="15.75" customHeight="1">
      <c r="A763" s="109"/>
      <c r="B763" s="105"/>
      <c r="C763" s="104"/>
      <c r="D763" s="105"/>
      <c r="E763" s="105"/>
      <c r="F763" s="107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6"/>
    </row>
    <row r="764" ht="15.75" customHeight="1">
      <c r="A764" s="109"/>
      <c r="B764" s="105"/>
      <c r="C764" s="104"/>
      <c r="D764" s="105"/>
      <c r="E764" s="105"/>
      <c r="F764" s="107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6"/>
    </row>
    <row r="765" ht="15.75" customHeight="1">
      <c r="A765" s="109"/>
      <c r="B765" s="105"/>
      <c r="C765" s="104"/>
      <c r="D765" s="105"/>
      <c r="E765" s="105"/>
      <c r="F765" s="107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6"/>
    </row>
    <row r="766" ht="15.75" customHeight="1">
      <c r="A766" s="109"/>
      <c r="B766" s="105"/>
      <c r="C766" s="104"/>
      <c r="D766" s="105"/>
      <c r="E766" s="105"/>
      <c r="F766" s="107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6"/>
    </row>
    <row r="767" ht="15.75" customHeight="1">
      <c r="A767" s="109"/>
      <c r="B767" s="105"/>
      <c r="C767" s="104"/>
      <c r="D767" s="105"/>
      <c r="E767" s="105"/>
      <c r="F767" s="107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6"/>
    </row>
    <row r="768" ht="15.75" customHeight="1">
      <c r="A768" s="109"/>
      <c r="B768" s="105"/>
      <c r="C768" s="104"/>
      <c r="D768" s="105"/>
      <c r="E768" s="105"/>
      <c r="F768" s="107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6"/>
    </row>
    <row r="769" ht="15.75" customHeight="1">
      <c r="A769" s="109"/>
      <c r="B769" s="105"/>
      <c r="C769" s="104"/>
      <c r="D769" s="105"/>
      <c r="E769" s="105"/>
      <c r="F769" s="107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6"/>
    </row>
    <row r="770" ht="15.75" customHeight="1">
      <c r="A770" s="109"/>
      <c r="B770" s="105"/>
      <c r="C770" s="104"/>
      <c r="D770" s="105"/>
      <c r="E770" s="105"/>
      <c r="F770" s="107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6"/>
    </row>
    <row r="771" ht="15.75" customHeight="1">
      <c r="A771" s="109"/>
      <c r="B771" s="105"/>
      <c r="C771" s="104"/>
      <c r="D771" s="105"/>
      <c r="E771" s="105"/>
      <c r="F771" s="107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6"/>
    </row>
    <row r="772" ht="15.75" customHeight="1">
      <c r="A772" s="109"/>
      <c r="B772" s="105"/>
      <c r="C772" s="104"/>
      <c r="D772" s="105"/>
      <c r="E772" s="105"/>
      <c r="F772" s="107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6"/>
    </row>
    <row r="773" ht="15.75" customHeight="1">
      <c r="A773" s="109"/>
      <c r="B773" s="105"/>
      <c r="C773" s="104"/>
      <c r="D773" s="105"/>
      <c r="E773" s="105"/>
      <c r="F773" s="107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6"/>
    </row>
    <row r="774" ht="15.75" customHeight="1">
      <c r="A774" s="109"/>
      <c r="B774" s="105"/>
      <c r="C774" s="104"/>
      <c r="D774" s="105"/>
      <c r="E774" s="105"/>
      <c r="F774" s="107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6"/>
    </row>
    <row r="775" ht="15.75" customHeight="1">
      <c r="A775" s="109"/>
      <c r="B775" s="105"/>
      <c r="C775" s="104"/>
      <c r="D775" s="105"/>
      <c r="E775" s="105"/>
      <c r="F775" s="107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6"/>
    </row>
    <row r="776" ht="15.75" customHeight="1">
      <c r="A776" s="109"/>
      <c r="B776" s="105"/>
      <c r="C776" s="104"/>
      <c r="D776" s="105"/>
      <c r="E776" s="105"/>
      <c r="F776" s="107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6"/>
    </row>
    <row r="777" ht="15.75" customHeight="1">
      <c r="A777" s="109"/>
      <c r="B777" s="105"/>
      <c r="C777" s="104"/>
      <c r="D777" s="105"/>
      <c r="E777" s="105"/>
      <c r="F777" s="107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6"/>
    </row>
    <row r="778" ht="15.75" customHeight="1">
      <c r="A778" s="109"/>
      <c r="B778" s="105"/>
      <c r="C778" s="104"/>
      <c r="D778" s="105"/>
      <c r="E778" s="105"/>
      <c r="F778" s="107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6"/>
    </row>
    <row r="779" ht="15.75" customHeight="1">
      <c r="A779" s="109"/>
      <c r="B779" s="105"/>
      <c r="C779" s="104"/>
      <c r="D779" s="105"/>
      <c r="E779" s="105"/>
      <c r="F779" s="107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6"/>
    </row>
    <row r="780" ht="15.75" customHeight="1">
      <c r="A780" s="109"/>
      <c r="B780" s="105"/>
      <c r="C780" s="104"/>
      <c r="D780" s="105"/>
      <c r="E780" s="105"/>
      <c r="F780" s="107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6"/>
    </row>
    <row r="781" ht="15.75" customHeight="1">
      <c r="A781" s="109"/>
      <c r="B781" s="105"/>
      <c r="C781" s="104"/>
      <c r="D781" s="105"/>
      <c r="E781" s="105"/>
      <c r="F781" s="107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6"/>
    </row>
    <row r="782" ht="15.75" customHeight="1">
      <c r="A782" s="109"/>
      <c r="B782" s="105"/>
      <c r="C782" s="104"/>
      <c r="D782" s="105"/>
      <c r="E782" s="105"/>
      <c r="F782" s="107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6"/>
    </row>
    <row r="783" ht="15.75" customHeight="1">
      <c r="A783" s="109"/>
      <c r="B783" s="105"/>
      <c r="C783" s="104"/>
      <c r="D783" s="105"/>
      <c r="E783" s="105"/>
      <c r="F783" s="107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6"/>
    </row>
    <row r="784" ht="15.75" customHeight="1">
      <c r="A784" s="109"/>
      <c r="B784" s="105"/>
      <c r="C784" s="104"/>
      <c r="D784" s="105"/>
      <c r="E784" s="105"/>
      <c r="F784" s="107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6"/>
    </row>
    <row r="785" ht="15.75" customHeight="1">
      <c r="A785" s="109"/>
      <c r="B785" s="105"/>
      <c r="C785" s="104"/>
      <c r="D785" s="105"/>
      <c r="E785" s="105"/>
      <c r="F785" s="107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6"/>
    </row>
    <row r="786" ht="15.75" customHeight="1">
      <c r="A786" s="109"/>
      <c r="B786" s="105"/>
      <c r="C786" s="104"/>
      <c r="D786" s="105"/>
      <c r="E786" s="105"/>
      <c r="F786" s="107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6"/>
    </row>
    <row r="787" ht="15.75" customHeight="1">
      <c r="A787" s="109"/>
      <c r="B787" s="105"/>
      <c r="C787" s="104"/>
      <c r="D787" s="105"/>
      <c r="E787" s="105"/>
      <c r="F787" s="107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6"/>
    </row>
    <row r="788" ht="15.75" customHeight="1">
      <c r="A788" s="109"/>
      <c r="B788" s="105"/>
      <c r="C788" s="104"/>
      <c r="D788" s="105"/>
      <c r="E788" s="105"/>
      <c r="F788" s="107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6"/>
    </row>
    <row r="789" ht="15.75" customHeight="1">
      <c r="A789" s="109"/>
      <c r="B789" s="105"/>
      <c r="C789" s="104"/>
      <c r="D789" s="105"/>
      <c r="E789" s="105"/>
      <c r="F789" s="107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6"/>
    </row>
    <row r="790" ht="15.75" customHeight="1">
      <c r="A790" s="109"/>
      <c r="B790" s="105"/>
      <c r="C790" s="104"/>
      <c r="D790" s="105"/>
      <c r="E790" s="105"/>
      <c r="F790" s="107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6"/>
    </row>
    <row r="791" ht="15.75" customHeight="1">
      <c r="A791" s="109"/>
      <c r="B791" s="105"/>
      <c r="C791" s="104"/>
      <c r="D791" s="105"/>
      <c r="E791" s="105"/>
      <c r="F791" s="107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6"/>
    </row>
    <row r="792" ht="15.75" customHeight="1">
      <c r="A792" s="109"/>
      <c r="B792" s="105"/>
      <c r="C792" s="104"/>
      <c r="D792" s="105"/>
      <c r="E792" s="105"/>
      <c r="F792" s="107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6"/>
    </row>
    <row r="793" ht="15.75" customHeight="1">
      <c r="A793" s="109"/>
      <c r="B793" s="105"/>
      <c r="C793" s="104"/>
      <c r="D793" s="105"/>
      <c r="E793" s="105"/>
      <c r="F793" s="107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6"/>
    </row>
    <row r="794" ht="15.75" customHeight="1">
      <c r="A794" s="109"/>
      <c r="B794" s="105"/>
      <c r="C794" s="104"/>
      <c r="D794" s="105"/>
      <c r="E794" s="105"/>
      <c r="F794" s="107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6"/>
    </row>
    <row r="795" ht="15.75" customHeight="1">
      <c r="A795" s="109"/>
      <c r="B795" s="105"/>
      <c r="C795" s="104"/>
      <c r="D795" s="105"/>
      <c r="E795" s="105"/>
      <c r="F795" s="107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6"/>
    </row>
    <row r="796" ht="15.75" customHeight="1">
      <c r="A796" s="109"/>
      <c r="B796" s="105"/>
      <c r="C796" s="104"/>
      <c r="D796" s="105"/>
      <c r="E796" s="105"/>
      <c r="F796" s="107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6"/>
    </row>
    <row r="797" ht="15.75" customHeight="1">
      <c r="A797" s="109"/>
      <c r="B797" s="105"/>
      <c r="C797" s="104"/>
      <c r="D797" s="105"/>
      <c r="E797" s="105"/>
      <c r="F797" s="107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6"/>
    </row>
    <row r="798" ht="15.75" customHeight="1">
      <c r="A798" s="109"/>
      <c r="B798" s="105"/>
      <c r="C798" s="104"/>
      <c r="D798" s="105"/>
      <c r="E798" s="105"/>
      <c r="F798" s="107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6"/>
    </row>
    <row r="799" ht="15.75" customHeight="1">
      <c r="A799" s="109"/>
      <c r="B799" s="105"/>
      <c r="C799" s="104"/>
      <c r="D799" s="105"/>
      <c r="E799" s="105"/>
      <c r="F799" s="107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6"/>
    </row>
    <row r="800" ht="15.75" customHeight="1">
      <c r="A800" s="109"/>
      <c r="B800" s="105"/>
      <c r="C800" s="104"/>
      <c r="D800" s="105"/>
      <c r="E800" s="105"/>
      <c r="F800" s="107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6"/>
    </row>
    <row r="801" ht="15.75" customHeight="1">
      <c r="A801" s="109"/>
      <c r="B801" s="105"/>
      <c r="C801" s="104"/>
      <c r="D801" s="105"/>
      <c r="E801" s="105"/>
      <c r="F801" s="107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6"/>
    </row>
    <row r="802" ht="15.75" customHeight="1">
      <c r="A802" s="109"/>
      <c r="B802" s="105"/>
      <c r="C802" s="104"/>
      <c r="D802" s="105"/>
      <c r="E802" s="105"/>
      <c r="F802" s="107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6"/>
    </row>
    <row r="803" ht="15.75" customHeight="1">
      <c r="A803" s="109"/>
      <c r="B803" s="105"/>
      <c r="C803" s="104"/>
      <c r="D803" s="105"/>
      <c r="E803" s="105"/>
      <c r="F803" s="107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6"/>
    </row>
    <row r="804" ht="15.75" customHeight="1">
      <c r="A804" s="109"/>
      <c r="B804" s="105"/>
      <c r="C804" s="104"/>
      <c r="D804" s="105"/>
      <c r="E804" s="105"/>
      <c r="F804" s="107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6"/>
    </row>
    <row r="805" ht="15.75" customHeight="1">
      <c r="A805" s="109"/>
      <c r="B805" s="105"/>
      <c r="C805" s="104"/>
      <c r="D805" s="105"/>
      <c r="E805" s="105"/>
      <c r="F805" s="107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6"/>
    </row>
    <row r="806" ht="15.75" customHeight="1">
      <c r="A806" s="109"/>
      <c r="B806" s="105"/>
      <c r="C806" s="104"/>
      <c r="D806" s="105"/>
      <c r="E806" s="105"/>
      <c r="F806" s="107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6"/>
    </row>
    <row r="807" ht="15.75" customHeight="1">
      <c r="A807" s="109"/>
      <c r="B807" s="105"/>
      <c r="C807" s="104"/>
      <c r="D807" s="105"/>
      <c r="E807" s="105"/>
      <c r="F807" s="107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6"/>
    </row>
    <row r="808" ht="15.75" customHeight="1">
      <c r="A808" s="109"/>
      <c r="B808" s="105"/>
      <c r="C808" s="104"/>
      <c r="D808" s="105"/>
      <c r="E808" s="105"/>
      <c r="F808" s="107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6"/>
    </row>
    <row r="809" ht="15.75" customHeight="1">
      <c r="A809" s="109"/>
      <c r="B809" s="105"/>
      <c r="C809" s="104"/>
      <c r="D809" s="105"/>
      <c r="E809" s="105"/>
      <c r="F809" s="107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6"/>
    </row>
    <row r="810" ht="15.75" customHeight="1">
      <c r="A810" s="109"/>
      <c r="B810" s="105"/>
      <c r="C810" s="104"/>
      <c r="D810" s="105"/>
      <c r="E810" s="105"/>
      <c r="F810" s="107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6"/>
    </row>
    <row r="811" ht="15.75" customHeight="1">
      <c r="A811" s="109"/>
      <c r="B811" s="105"/>
      <c r="C811" s="104"/>
      <c r="D811" s="105"/>
      <c r="E811" s="105"/>
      <c r="F811" s="107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6"/>
    </row>
    <row r="812" ht="15.75" customHeight="1">
      <c r="A812" s="109"/>
      <c r="B812" s="105"/>
      <c r="C812" s="104"/>
      <c r="D812" s="105"/>
      <c r="E812" s="105"/>
      <c r="F812" s="107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6"/>
    </row>
    <row r="813" ht="15.75" customHeight="1">
      <c r="A813" s="109"/>
      <c r="B813" s="105"/>
      <c r="C813" s="104"/>
      <c r="D813" s="105"/>
      <c r="E813" s="105"/>
      <c r="F813" s="107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6"/>
    </row>
    <row r="814" ht="15.75" customHeight="1">
      <c r="A814" s="109"/>
      <c r="B814" s="105"/>
      <c r="C814" s="104"/>
      <c r="D814" s="105"/>
      <c r="E814" s="105"/>
      <c r="F814" s="107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6"/>
    </row>
    <row r="815" ht="15.75" customHeight="1">
      <c r="A815" s="109"/>
      <c r="B815" s="105"/>
      <c r="C815" s="104"/>
      <c r="D815" s="105"/>
      <c r="E815" s="105"/>
      <c r="F815" s="107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6"/>
    </row>
    <row r="816" ht="15.75" customHeight="1">
      <c r="A816" s="109"/>
      <c r="B816" s="105"/>
      <c r="C816" s="104"/>
      <c r="D816" s="105"/>
      <c r="E816" s="105"/>
      <c r="F816" s="107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6"/>
    </row>
    <row r="817" ht="15.75" customHeight="1">
      <c r="A817" s="109"/>
      <c r="B817" s="105"/>
      <c r="C817" s="104"/>
      <c r="D817" s="105"/>
      <c r="E817" s="105"/>
      <c r="F817" s="107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6"/>
    </row>
    <row r="818" ht="15.75" customHeight="1">
      <c r="A818" s="109"/>
      <c r="B818" s="105"/>
      <c r="C818" s="104"/>
      <c r="D818" s="105"/>
      <c r="E818" s="105"/>
      <c r="F818" s="107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6"/>
    </row>
    <row r="819" ht="15.75" customHeight="1">
      <c r="A819" s="109"/>
      <c r="B819" s="105"/>
      <c r="C819" s="104"/>
      <c r="D819" s="105"/>
      <c r="E819" s="105"/>
      <c r="F819" s="107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6"/>
    </row>
    <row r="820" ht="15.75" customHeight="1">
      <c r="A820" s="109"/>
      <c r="B820" s="105"/>
      <c r="C820" s="104"/>
      <c r="D820" s="105"/>
      <c r="E820" s="105"/>
      <c r="F820" s="107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6"/>
    </row>
    <row r="821" ht="15.75" customHeight="1">
      <c r="A821" s="109"/>
      <c r="B821" s="105"/>
      <c r="C821" s="104"/>
      <c r="D821" s="105"/>
      <c r="E821" s="105"/>
      <c r="F821" s="107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6"/>
    </row>
    <row r="822" ht="15.75" customHeight="1">
      <c r="A822" s="109"/>
      <c r="B822" s="105"/>
      <c r="C822" s="104"/>
      <c r="D822" s="105"/>
      <c r="E822" s="105"/>
      <c r="F822" s="107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6"/>
    </row>
    <row r="823" ht="15.75" customHeight="1">
      <c r="A823" s="109"/>
      <c r="B823" s="105"/>
      <c r="C823" s="104"/>
      <c r="D823" s="105"/>
      <c r="E823" s="105"/>
      <c r="F823" s="107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6"/>
    </row>
    <row r="824" ht="15.75" customHeight="1">
      <c r="A824" s="109"/>
      <c r="B824" s="105"/>
      <c r="C824" s="104"/>
      <c r="D824" s="105"/>
      <c r="E824" s="105"/>
      <c r="F824" s="107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6"/>
    </row>
    <row r="825" ht="15.75" customHeight="1">
      <c r="A825" s="109"/>
      <c r="B825" s="105"/>
      <c r="C825" s="104"/>
      <c r="D825" s="105"/>
      <c r="E825" s="105"/>
      <c r="F825" s="107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6"/>
    </row>
    <row r="826" ht="15.75" customHeight="1">
      <c r="A826" s="109"/>
      <c r="B826" s="105"/>
      <c r="C826" s="104"/>
      <c r="D826" s="105"/>
      <c r="E826" s="105"/>
      <c r="F826" s="107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6"/>
    </row>
    <row r="827" ht="15.75" customHeight="1">
      <c r="A827" s="109"/>
      <c r="B827" s="105"/>
      <c r="C827" s="104"/>
      <c r="D827" s="105"/>
      <c r="E827" s="105"/>
      <c r="F827" s="107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6"/>
    </row>
    <row r="828" ht="15.75" customHeight="1">
      <c r="A828" s="109"/>
      <c r="B828" s="105"/>
      <c r="C828" s="104"/>
      <c r="D828" s="105"/>
      <c r="E828" s="105"/>
      <c r="F828" s="107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6"/>
    </row>
    <row r="829" ht="15.75" customHeight="1">
      <c r="A829" s="109"/>
      <c r="B829" s="105"/>
      <c r="C829" s="104"/>
      <c r="D829" s="105"/>
      <c r="E829" s="105"/>
      <c r="F829" s="107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6"/>
    </row>
    <row r="830" ht="15.75" customHeight="1">
      <c r="A830" s="109"/>
      <c r="B830" s="105"/>
      <c r="C830" s="104"/>
      <c r="D830" s="105"/>
      <c r="E830" s="105"/>
      <c r="F830" s="107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6"/>
    </row>
    <row r="831" ht="15.75" customHeight="1">
      <c r="A831" s="109"/>
      <c r="B831" s="105"/>
      <c r="C831" s="104"/>
      <c r="D831" s="105"/>
      <c r="E831" s="105"/>
      <c r="F831" s="107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6"/>
    </row>
    <row r="832" ht="15.75" customHeight="1">
      <c r="A832" s="109"/>
      <c r="B832" s="105"/>
      <c r="C832" s="104"/>
      <c r="D832" s="105"/>
      <c r="E832" s="105"/>
      <c r="F832" s="107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6"/>
    </row>
    <row r="833" ht="15.75" customHeight="1">
      <c r="A833" s="109"/>
      <c r="B833" s="105"/>
      <c r="C833" s="104"/>
      <c r="D833" s="105"/>
      <c r="E833" s="105"/>
      <c r="F833" s="107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6"/>
    </row>
    <row r="834" ht="15.75" customHeight="1">
      <c r="A834" s="109"/>
      <c r="B834" s="105"/>
      <c r="C834" s="104"/>
      <c r="D834" s="105"/>
      <c r="E834" s="105"/>
      <c r="F834" s="107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6"/>
    </row>
    <row r="835" ht="15.75" customHeight="1">
      <c r="A835" s="109"/>
      <c r="B835" s="105"/>
      <c r="C835" s="104"/>
      <c r="D835" s="105"/>
      <c r="E835" s="105"/>
      <c r="F835" s="107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6"/>
    </row>
    <row r="836" ht="15.75" customHeight="1">
      <c r="A836" s="109"/>
      <c r="B836" s="105"/>
      <c r="C836" s="104"/>
      <c r="D836" s="105"/>
      <c r="E836" s="105"/>
      <c r="F836" s="107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6"/>
    </row>
    <row r="837" ht="15.75" customHeight="1">
      <c r="A837" s="109"/>
      <c r="B837" s="105"/>
      <c r="C837" s="104"/>
      <c r="D837" s="105"/>
      <c r="E837" s="105"/>
      <c r="F837" s="107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6"/>
    </row>
    <row r="838" ht="15.75" customHeight="1">
      <c r="A838" s="109"/>
      <c r="B838" s="105"/>
      <c r="C838" s="104"/>
      <c r="D838" s="105"/>
      <c r="E838" s="105"/>
      <c r="F838" s="107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6"/>
    </row>
    <row r="839" ht="15.75" customHeight="1">
      <c r="A839" s="109"/>
      <c r="B839" s="105"/>
      <c r="C839" s="104"/>
      <c r="D839" s="105"/>
      <c r="E839" s="105"/>
      <c r="F839" s="107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6"/>
    </row>
    <row r="840" ht="15.75" customHeight="1">
      <c r="A840" s="109"/>
      <c r="B840" s="105"/>
      <c r="C840" s="104"/>
      <c r="D840" s="105"/>
      <c r="E840" s="105"/>
      <c r="F840" s="107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6"/>
    </row>
    <row r="841" ht="15.75" customHeight="1">
      <c r="A841" s="109"/>
      <c r="B841" s="105"/>
      <c r="C841" s="104"/>
      <c r="D841" s="105"/>
      <c r="E841" s="105"/>
      <c r="F841" s="107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6"/>
    </row>
    <row r="842" ht="15.75" customHeight="1">
      <c r="A842" s="109"/>
      <c r="B842" s="105"/>
      <c r="C842" s="104"/>
      <c r="D842" s="105"/>
      <c r="E842" s="105"/>
      <c r="F842" s="107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6"/>
    </row>
    <row r="843" ht="15.75" customHeight="1">
      <c r="A843" s="109"/>
      <c r="B843" s="105"/>
      <c r="C843" s="104"/>
      <c r="D843" s="105"/>
      <c r="E843" s="105"/>
      <c r="F843" s="107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6"/>
    </row>
    <row r="844" ht="15.75" customHeight="1">
      <c r="A844" s="109"/>
      <c r="B844" s="105"/>
      <c r="C844" s="104"/>
      <c r="D844" s="105"/>
      <c r="E844" s="105"/>
      <c r="F844" s="107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6"/>
    </row>
    <row r="845" ht="15.75" customHeight="1">
      <c r="A845" s="109"/>
      <c r="B845" s="105"/>
      <c r="C845" s="104"/>
      <c r="D845" s="105"/>
      <c r="E845" s="105"/>
      <c r="F845" s="107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6"/>
    </row>
    <row r="846" ht="15.75" customHeight="1">
      <c r="A846" s="109"/>
      <c r="B846" s="105"/>
      <c r="C846" s="104"/>
      <c r="D846" s="105"/>
      <c r="E846" s="105"/>
      <c r="F846" s="107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6"/>
    </row>
    <row r="847" ht="15.75" customHeight="1">
      <c r="A847" s="109"/>
      <c r="B847" s="105"/>
      <c r="C847" s="104"/>
      <c r="D847" s="105"/>
      <c r="E847" s="105"/>
      <c r="F847" s="107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6"/>
    </row>
    <row r="848" ht="15.75" customHeight="1">
      <c r="A848" s="109"/>
      <c r="B848" s="105"/>
      <c r="C848" s="104"/>
      <c r="D848" s="105"/>
      <c r="E848" s="105"/>
      <c r="F848" s="107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6"/>
    </row>
    <row r="849" ht="15.75" customHeight="1">
      <c r="A849" s="109"/>
      <c r="B849" s="105"/>
      <c r="C849" s="104"/>
      <c r="D849" s="105"/>
      <c r="E849" s="105"/>
      <c r="F849" s="107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6"/>
    </row>
    <row r="850" ht="15.75" customHeight="1">
      <c r="A850" s="109"/>
      <c r="B850" s="105"/>
      <c r="C850" s="104"/>
      <c r="D850" s="105"/>
      <c r="E850" s="105"/>
      <c r="F850" s="107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6"/>
    </row>
    <row r="851" ht="15.75" customHeight="1">
      <c r="A851" s="109"/>
      <c r="B851" s="105"/>
      <c r="C851" s="104"/>
      <c r="D851" s="105"/>
      <c r="E851" s="105"/>
      <c r="F851" s="107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6"/>
    </row>
    <row r="852" ht="15.75" customHeight="1">
      <c r="A852" s="109"/>
      <c r="B852" s="105"/>
      <c r="C852" s="104"/>
      <c r="D852" s="105"/>
      <c r="E852" s="105"/>
      <c r="F852" s="107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6"/>
    </row>
    <row r="853" ht="15.75" customHeight="1">
      <c r="A853" s="109"/>
      <c r="B853" s="105"/>
      <c r="C853" s="104"/>
      <c r="D853" s="105"/>
      <c r="E853" s="105"/>
      <c r="F853" s="107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6"/>
    </row>
    <row r="854" ht="15.75" customHeight="1">
      <c r="A854" s="109"/>
      <c r="B854" s="105"/>
      <c r="C854" s="104"/>
      <c r="D854" s="105"/>
      <c r="E854" s="105"/>
      <c r="F854" s="107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6"/>
    </row>
    <row r="855" ht="15.75" customHeight="1">
      <c r="A855" s="109"/>
      <c r="B855" s="105"/>
      <c r="C855" s="104"/>
      <c r="D855" s="105"/>
      <c r="E855" s="105"/>
      <c r="F855" s="107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6"/>
    </row>
    <row r="856" ht="15.75" customHeight="1">
      <c r="A856" s="109"/>
      <c r="B856" s="105"/>
      <c r="C856" s="104"/>
      <c r="D856" s="105"/>
      <c r="E856" s="105"/>
      <c r="F856" s="107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6"/>
    </row>
    <row r="857" ht="15.75" customHeight="1">
      <c r="A857" s="109"/>
      <c r="B857" s="105"/>
      <c r="C857" s="104"/>
      <c r="D857" s="105"/>
      <c r="E857" s="105"/>
      <c r="F857" s="107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6"/>
    </row>
    <row r="858" ht="15.75" customHeight="1">
      <c r="A858" s="109"/>
      <c r="B858" s="105"/>
      <c r="C858" s="104"/>
      <c r="D858" s="105"/>
      <c r="E858" s="105"/>
      <c r="F858" s="107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6"/>
    </row>
    <row r="859" ht="15.75" customHeight="1">
      <c r="A859" s="109"/>
      <c r="B859" s="105"/>
      <c r="C859" s="104"/>
      <c r="D859" s="105"/>
      <c r="E859" s="105"/>
      <c r="F859" s="107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6"/>
    </row>
    <row r="860" ht="15.75" customHeight="1">
      <c r="A860" s="109"/>
      <c r="B860" s="105"/>
      <c r="C860" s="104"/>
      <c r="D860" s="105"/>
      <c r="E860" s="105"/>
      <c r="F860" s="107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6"/>
    </row>
    <row r="861" ht="15.75" customHeight="1">
      <c r="A861" s="109"/>
      <c r="B861" s="105"/>
      <c r="C861" s="104"/>
      <c r="D861" s="105"/>
      <c r="E861" s="105"/>
      <c r="F861" s="107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6"/>
    </row>
    <row r="862" ht="15.75" customHeight="1">
      <c r="A862" s="109"/>
      <c r="B862" s="105"/>
      <c r="C862" s="104"/>
      <c r="D862" s="105"/>
      <c r="E862" s="105"/>
      <c r="F862" s="107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6"/>
    </row>
    <row r="863" ht="15.75" customHeight="1">
      <c r="A863" s="109"/>
      <c r="B863" s="105"/>
      <c r="C863" s="104"/>
      <c r="D863" s="105"/>
      <c r="E863" s="105"/>
      <c r="F863" s="107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6"/>
    </row>
    <row r="864" ht="15.75" customHeight="1">
      <c r="A864" s="109"/>
      <c r="B864" s="105"/>
      <c r="C864" s="104"/>
      <c r="D864" s="105"/>
      <c r="E864" s="105"/>
      <c r="F864" s="107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6"/>
    </row>
    <row r="865" ht="15.75" customHeight="1">
      <c r="A865" s="109"/>
      <c r="B865" s="105"/>
      <c r="C865" s="104"/>
      <c r="D865" s="105"/>
      <c r="E865" s="105"/>
      <c r="F865" s="107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6"/>
    </row>
    <row r="866" ht="15.75" customHeight="1">
      <c r="A866" s="109"/>
      <c r="B866" s="105"/>
      <c r="C866" s="104"/>
      <c r="D866" s="105"/>
      <c r="E866" s="105"/>
      <c r="F866" s="107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6"/>
    </row>
    <row r="867" ht="15.75" customHeight="1">
      <c r="A867" s="109"/>
      <c r="B867" s="105"/>
      <c r="C867" s="104"/>
      <c r="D867" s="105"/>
      <c r="E867" s="105"/>
      <c r="F867" s="107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6"/>
    </row>
    <row r="868" ht="15.75" customHeight="1">
      <c r="A868" s="109"/>
      <c r="B868" s="105"/>
      <c r="C868" s="104"/>
      <c r="D868" s="105"/>
      <c r="E868" s="105"/>
      <c r="F868" s="107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6"/>
    </row>
    <row r="869" ht="15.75" customHeight="1">
      <c r="A869" s="109"/>
      <c r="B869" s="105"/>
      <c r="C869" s="104"/>
      <c r="D869" s="105"/>
      <c r="E869" s="105"/>
      <c r="F869" s="107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6"/>
    </row>
    <row r="870" ht="15.75" customHeight="1">
      <c r="A870" s="109"/>
      <c r="B870" s="105"/>
      <c r="C870" s="104"/>
      <c r="D870" s="105"/>
      <c r="E870" s="105"/>
      <c r="F870" s="107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6"/>
    </row>
    <row r="871" ht="15.75" customHeight="1">
      <c r="A871" s="109"/>
      <c r="B871" s="105"/>
      <c r="C871" s="104"/>
      <c r="D871" s="105"/>
      <c r="E871" s="105"/>
      <c r="F871" s="107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6"/>
    </row>
    <row r="872" ht="15.75" customHeight="1">
      <c r="A872" s="109"/>
      <c r="B872" s="105"/>
      <c r="C872" s="104"/>
      <c r="D872" s="105"/>
      <c r="E872" s="105"/>
      <c r="F872" s="107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6"/>
    </row>
    <row r="873" ht="15.75" customHeight="1">
      <c r="A873" s="109"/>
      <c r="B873" s="105"/>
      <c r="C873" s="104"/>
      <c r="D873" s="105"/>
      <c r="E873" s="105"/>
      <c r="F873" s="107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6"/>
    </row>
    <row r="874" ht="15.75" customHeight="1">
      <c r="A874" s="109"/>
      <c r="B874" s="105"/>
      <c r="C874" s="104"/>
      <c r="D874" s="105"/>
      <c r="E874" s="105"/>
      <c r="F874" s="107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6"/>
    </row>
    <row r="875" ht="15.75" customHeight="1">
      <c r="A875" s="109"/>
      <c r="B875" s="105"/>
      <c r="C875" s="104"/>
      <c r="D875" s="105"/>
      <c r="E875" s="105"/>
      <c r="F875" s="107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6"/>
    </row>
    <row r="876" ht="15.75" customHeight="1">
      <c r="A876" s="109"/>
      <c r="B876" s="105"/>
      <c r="C876" s="104"/>
      <c r="D876" s="105"/>
      <c r="E876" s="105"/>
      <c r="F876" s="107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6"/>
    </row>
    <row r="877" ht="15.75" customHeight="1">
      <c r="A877" s="109"/>
      <c r="B877" s="105"/>
      <c r="C877" s="104"/>
      <c r="D877" s="105"/>
      <c r="E877" s="105"/>
      <c r="F877" s="107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6"/>
    </row>
    <row r="878" ht="15.75" customHeight="1">
      <c r="A878" s="109"/>
      <c r="B878" s="105"/>
      <c r="C878" s="104"/>
      <c r="D878" s="105"/>
      <c r="E878" s="105"/>
      <c r="F878" s="107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6"/>
    </row>
    <row r="879" ht="15.75" customHeight="1">
      <c r="A879" s="109"/>
      <c r="B879" s="105"/>
      <c r="C879" s="104"/>
      <c r="D879" s="105"/>
      <c r="E879" s="105"/>
      <c r="F879" s="107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6"/>
    </row>
    <row r="880" ht="15.75" customHeight="1">
      <c r="A880" s="109"/>
      <c r="B880" s="105"/>
      <c r="C880" s="104"/>
      <c r="D880" s="105"/>
      <c r="E880" s="105"/>
      <c r="F880" s="107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6"/>
    </row>
    <row r="881" ht="15.75" customHeight="1">
      <c r="A881" s="109"/>
      <c r="B881" s="105"/>
      <c r="C881" s="104"/>
      <c r="D881" s="105"/>
      <c r="E881" s="105"/>
      <c r="F881" s="107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6"/>
    </row>
    <row r="882" ht="15.75" customHeight="1">
      <c r="A882" s="109"/>
      <c r="B882" s="105"/>
      <c r="C882" s="104"/>
      <c r="D882" s="105"/>
      <c r="E882" s="105"/>
      <c r="F882" s="107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6"/>
    </row>
    <row r="883" ht="15.75" customHeight="1">
      <c r="A883" s="109"/>
      <c r="B883" s="105"/>
      <c r="C883" s="104"/>
      <c r="D883" s="105"/>
      <c r="E883" s="105"/>
      <c r="F883" s="107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6"/>
    </row>
    <row r="884" ht="15.75" customHeight="1">
      <c r="A884" s="109"/>
      <c r="B884" s="105"/>
      <c r="C884" s="104"/>
      <c r="D884" s="105"/>
      <c r="E884" s="105"/>
      <c r="F884" s="107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6"/>
    </row>
    <row r="885" ht="15.75" customHeight="1">
      <c r="A885" s="109"/>
      <c r="B885" s="105"/>
      <c r="C885" s="104"/>
      <c r="D885" s="105"/>
      <c r="E885" s="105"/>
      <c r="F885" s="107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6"/>
    </row>
    <row r="886" ht="15.75" customHeight="1">
      <c r="A886" s="109"/>
      <c r="B886" s="105"/>
      <c r="C886" s="104"/>
      <c r="D886" s="105"/>
      <c r="E886" s="105"/>
      <c r="F886" s="107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6"/>
    </row>
    <row r="887" ht="15.75" customHeight="1">
      <c r="A887" s="109"/>
      <c r="B887" s="105"/>
      <c r="C887" s="104"/>
      <c r="D887" s="105"/>
      <c r="E887" s="105"/>
      <c r="F887" s="107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6"/>
    </row>
    <row r="888" ht="15.75" customHeight="1">
      <c r="A888" s="109"/>
      <c r="B888" s="105"/>
      <c r="C888" s="104"/>
      <c r="D888" s="105"/>
      <c r="E888" s="105"/>
      <c r="F888" s="107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6"/>
    </row>
    <row r="889" ht="15.75" customHeight="1">
      <c r="A889" s="109"/>
      <c r="B889" s="105"/>
      <c r="C889" s="104"/>
      <c r="D889" s="105"/>
      <c r="E889" s="105"/>
      <c r="F889" s="107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6"/>
    </row>
    <row r="890" ht="15.75" customHeight="1">
      <c r="A890" s="109"/>
      <c r="B890" s="105"/>
      <c r="C890" s="104"/>
      <c r="D890" s="105"/>
      <c r="E890" s="105"/>
      <c r="F890" s="107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6"/>
    </row>
    <row r="891" ht="15.75" customHeight="1">
      <c r="A891" s="109"/>
      <c r="B891" s="105"/>
      <c r="C891" s="104"/>
      <c r="D891" s="105"/>
      <c r="E891" s="105"/>
      <c r="F891" s="107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6"/>
    </row>
    <row r="892" ht="15.75" customHeight="1">
      <c r="A892" s="109"/>
      <c r="B892" s="105"/>
      <c r="C892" s="104"/>
      <c r="D892" s="105"/>
      <c r="E892" s="105"/>
      <c r="F892" s="107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6"/>
    </row>
    <row r="893" ht="15.75" customHeight="1">
      <c r="A893" s="109"/>
      <c r="B893" s="105"/>
      <c r="C893" s="104"/>
      <c r="D893" s="105"/>
      <c r="E893" s="105"/>
      <c r="F893" s="107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6"/>
    </row>
    <row r="894" ht="15.75" customHeight="1">
      <c r="A894" s="109"/>
      <c r="B894" s="105"/>
      <c r="C894" s="104"/>
      <c r="D894" s="105"/>
      <c r="E894" s="105"/>
      <c r="F894" s="107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6"/>
    </row>
    <row r="895" ht="15.75" customHeight="1">
      <c r="A895" s="109"/>
      <c r="B895" s="105"/>
      <c r="C895" s="104"/>
      <c r="D895" s="105"/>
      <c r="E895" s="105"/>
      <c r="F895" s="107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6"/>
    </row>
    <row r="896" ht="15.75" customHeight="1">
      <c r="A896" s="109"/>
      <c r="B896" s="105"/>
      <c r="C896" s="104"/>
      <c r="D896" s="105"/>
      <c r="E896" s="105"/>
      <c r="F896" s="107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6"/>
    </row>
    <row r="897" ht="15.75" customHeight="1">
      <c r="A897" s="109"/>
      <c r="B897" s="105"/>
      <c r="C897" s="104"/>
      <c r="D897" s="105"/>
      <c r="E897" s="105"/>
      <c r="F897" s="107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6"/>
    </row>
    <row r="898" ht="15.75" customHeight="1">
      <c r="A898" s="109"/>
      <c r="B898" s="105"/>
      <c r="C898" s="104"/>
      <c r="D898" s="105"/>
      <c r="E898" s="105"/>
      <c r="F898" s="107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6"/>
    </row>
    <row r="899" ht="15.75" customHeight="1">
      <c r="A899" s="109"/>
      <c r="B899" s="105"/>
      <c r="C899" s="104"/>
      <c r="D899" s="105"/>
      <c r="E899" s="105"/>
      <c r="F899" s="107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6"/>
    </row>
    <row r="900" ht="15.75" customHeight="1">
      <c r="A900" s="109"/>
      <c r="B900" s="105"/>
      <c r="C900" s="104"/>
      <c r="D900" s="105"/>
      <c r="E900" s="105"/>
      <c r="F900" s="107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6"/>
    </row>
    <row r="901" ht="15.75" customHeight="1">
      <c r="A901" s="109"/>
      <c r="B901" s="105"/>
      <c r="C901" s="104"/>
      <c r="D901" s="105"/>
      <c r="E901" s="105"/>
      <c r="F901" s="107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6"/>
    </row>
    <row r="902" ht="15.75" customHeight="1">
      <c r="A902" s="109"/>
      <c r="B902" s="105"/>
      <c r="C902" s="104"/>
      <c r="D902" s="105"/>
      <c r="E902" s="105"/>
      <c r="F902" s="107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6"/>
    </row>
    <row r="903" ht="15.75" customHeight="1">
      <c r="A903" s="109"/>
      <c r="B903" s="105"/>
      <c r="C903" s="104"/>
      <c r="D903" s="105"/>
      <c r="E903" s="105"/>
      <c r="F903" s="107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6"/>
    </row>
    <row r="904" ht="15.75" customHeight="1">
      <c r="A904" s="109"/>
      <c r="B904" s="105"/>
      <c r="C904" s="104"/>
      <c r="D904" s="105"/>
      <c r="E904" s="105"/>
      <c r="F904" s="107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6"/>
    </row>
    <row r="905" ht="15.75" customHeight="1">
      <c r="A905" s="109"/>
      <c r="B905" s="105"/>
      <c r="C905" s="104"/>
      <c r="D905" s="105"/>
      <c r="E905" s="105"/>
      <c r="F905" s="107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6"/>
    </row>
    <row r="906" ht="15.75" customHeight="1">
      <c r="A906" s="109"/>
      <c r="B906" s="105"/>
      <c r="C906" s="104"/>
      <c r="D906" s="105"/>
      <c r="E906" s="105"/>
      <c r="F906" s="107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6"/>
    </row>
    <row r="907" ht="15.75" customHeight="1">
      <c r="A907" s="109"/>
      <c r="B907" s="105"/>
      <c r="C907" s="104"/>
      <c r="D907" s="105"/>
      <c r="E907" s="105"/>
      <c r="F907" s="107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6"/>
    </row>
    <row r="908" ht="15.75" customHeight="1">
      <c r="A908" s="109"/>
      <c r="B908" s="105"/>
      <c r="C908" s="104"/>
      <c r="D908" s="105"/>
      <c r="E908" s="105"/>
      <c r="F908" s="107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6"/>
    </row>
    <row r="909" ht="15.75" customHeight="1">
      <c r="A909" s="109"/>
      <c r="B909" s="105"/>
      <c r="C909" s="104"/>
      <c r="D909" s="105"/>
      <c r="E909" s="105"/>
      <c r="F909" s="107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6"/>
    </row>
    <row r="910" ht="15.75" customHeight="1">
      <c r="A910" s="109"/>
      <c r="B910" s="105"/>
      <c r="C910" s="104"/>
      <c r="D910" s="105"/>
      <c r="E910" s="105"/>
      <c r="F910" s="107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6"/>
    </row>
    <row r="911" ht="15.75" customHeight="1">
      <c r="A911" s="109"/>
      <c r="B911" s="105"/>
      <c r="C911" s="104"/>
      <c r="D911" s="105"/>
      <c r="E911" s="105"/>
      <c r="F911" s="107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6"/>
    </row>
    <row r="912" ht="15.75" customHeight="1">
      <c r="A912" s="109"/>
      <c r="B912" s="105"/>
      <c r="C912" s="104"/>
      <c r="D912" s="105"/>
      <c r="E912" s="105"/>
      <c r="F912" s="107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6"/>
    </row>
    <row r="913" ht="15.75" customHeight="1">
      <c r="A913" s="109"/>
      <c r="B913" s="105"/>
      <c r="C913" s="104"/>
      <c r="D913" s="105"/>
      <c r="E913" s="105"/>
      <c r="F913" s="107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6"/>
    </row>
    <row r="914" ht="15.75" customHeight="1">
      <c r="A914" s="109"/>
      <c r="B914" s="105"/>
      <c r="C914" s="104"/>
      <c r="D914" s="105"/>
      <c r="E914" s="105"/>
      <c r="F914" s="107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6"/>
    </row>
    <row r="915" ht="15.75" customHeight="1">
      <c r="A915" s="109"/>
      <c r="B915" s="105"/>
      <c r="C915" s="104"/>
      <c r="D915" s="105"/>
      <c r="E915" s="105"/>
      <c r="F915" s="107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6"/>
    </row>
    <row r="916" ht="15.75" customHeight="1">
      <c r="A916" s="109"/>
      <c r="B916" s="105"/>
      <c r="C916" s="104"/>
      <c r="D916" s="105"/>
      <c r="E916" s="105"/>
      <c r="F916" s="107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6"/>
    </row>
    <row r="917" ht="15.75" customHeight="1">
      <c r="A917" s="109"/>
      <c r="B917" s="105"/>
      <c r="C917" s="104"/>
      <c r="D917" s="105"/>
      <c r="E917" s="105"/>
      <c r="F917" s="107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6"/>
    </row>
    <row r="918" ht="15.75" customHeight="1">
      <c r="A918" s="109"/>
      <c r="B918" s="105"/>
      <c r="C918" s="104"/>
      <c r="D918" s="105"/>
      <c r="E918" s="105"/>
      <c r="F918" s="107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6"/>
    </row>
    <row r="919" ht="15.75" customHeight="1">
      <c r="A919" s="109"/>
      <c r="B919" s="105"/>
      <c r="C919" s="104"/>
      <c r="D919" s="105"/>
      <c r="E919" s="105"/>
      <c r="F919" s="107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6"/>
    </row>
    <row r="920" ht="15.75" customHeight="1">
      <c r="A920" s="109"/>
      <c r="B920" s="105"/>
      <c r="C920" s="104"/>
      <c r="D920" s="105"/>
      <c r="E920" s="105"/>
      <c r="F920" s="107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6"/>
    </row>
    <row r="921" ht="15.75" customHeight="1">
      <c r="A921" s="109"/>
      <c r="B921" s="105"/>
      <c r="C921" s="104"/>
      <c r="D921" s="105"/>
      <c r="E921" s="105"/>
      <c r="F921" s="107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6"/>
    </row>
    <row r="922" ht="15.75" customHeight="1">
      <c r="A922" s="109"/>
      <c r="B922" s="105"/>
      <c r="C922" s="104"/>
      <c r="D922" s="105"/>
      <c r="E922" s="105"/>
      <c r="F922" s="107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6"/>
    </row>
    <row r="923" ht="15.75" customHeight="1">
      <c r="A923" s="109"/>
      <c r="B923" s="105"/>
      <c r="C923" s="104"/>
      <c r="D923" s="105"/>
      <c r="E923" s="105"/>
      <c r="F923" s="107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6"/>
    </row>
    <row r="924" ht="15.75" customHeight="1">
      <c r="A924" s="109"/>
      <c r="B924" s="105"/>
      <c r="C924" s="104"/>
      <c r="D924" s="105"/>
      <c r="E924" s="105"/>
      <c r="F924" s="107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6"/>
    </row>
    <row r="925" ht="15.75" customHeight="1">
      <c r="A925" s="109"/>
      <c r="B925" s="105"/>
      <c r="C925" s="104"/>
      <c r="D925" s="105"/>
      <c r="E925" s="105"/>
      <c r="F925" s="107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6"/>
    </row>
    <row r="926" ht="15.75" customHeight="1">
      <c r="A926" s="109"/>
      <c r="B926" s="105"/>
      <c r="C926" s="104"/>
      <c r="D926" s="105"/>
      <c r="E926" s="105"/>
      <c r="F926" s="107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6"/>
    </row>
    <row r="927" ht="15.75" customHeight="1">
      <c r="A927" s="109"/>
      <c r="B927" s="105"/>
      <c r="C927" s="104"/>
      <c r="D927" s="105"/>
      <c r="E927" s="105"/>
      <c r="F927" s="107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6"/>
    </row>
    <row r="928" ht="15.75" customHeight="1">
      <c r="A928" s="109"/>
      <c r="B928" s="105"/>
      <c r="C928" s="104"/>
      <c r="D928" s="105"/>
      <c r="E928" s="105"/>
      <c r="F928" s="107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6"/>
    </row>
    <row r="929" ht="15.75" customHeight="1">
      <c r="A929" s="109"/>
      <c r="B929" s="105"/>
      <c r="C929" s="104"/>
      <c r="D929" s="105"/>
      <c r="E929" s="105"/>
      <c r="F929" s="107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6"/>
    </row>
    <row r="930" ht="15.75" customHeight="1">
      <c r="A930" s="109"/>
      <c r="B930" s="105"/>
      <c r="C930" s="104"/>
      <c r="D930" s="105"/>
      <c r="E930" s="105"/>
      <c r="F930" s="107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6"/>
    </row>
    <row r="931" ht="15.75" customHeight="1">
      <c r="A931" s="109"/>
      <c r="B931" s="105"/>
      <c r="C931" s="104"/>
      <c r="D931" s="105"/>
      <c r="E931" s="105"/>
      <c r="F931" s="107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6"/>
    </row>
    <row r="932" ht="15.75" customHeight="1">
      <c r="A932" s="109"/>
      <c r="B932" s="105"/>
      <c r="C932" s="104"/>
      <c r="D932" s="105"/>
      <c r="E932" s="105"/>
      <c r="F932" s="107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6"/>
    </row>
    <row r="933" ht="15.75" customHeight="1">
      <c r="A933" s="109"/>
      <c r="B933" s="105"/>
      <c r="C933" s="104"/>
      <c r="D933" s="105"/>
      <c r="E933" s="105"/>
      <c r="F933" s="107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6"/>
    </row>
    <row r="934" ht="15.75" customHeight="1">
      <c r="A934" s="109"/>
      <c r="B934" s="105"/>
      <c r="C934" s="104"/>
      <c r="D934" s="105"/>
      <c r="E934" s="105"/>
      <c r="F934" s="107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6"/>
    </row>
    <row r="935" ht="15.75" customHeight="1">
      <c r="A935" s="109"/>
      <c r="B935" s="105"/>
      <c r="C935" s="104"/>
      <c r="D935" s="105"/>
      <c r="E935" s="105"/>
      <c r="F935" s="107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6"/>
    </row>
    <row r="936" ht="15.75" customHeight="1">
      <c r="A936" s="109"/>
      <c r="B936" s="105"/>
      <c r="C936" s="104"/>
      <c r="D936" s="105"/>
      <c r="E936" s="105"/>
      <c r="F936" s="107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6"/>
    </row>
    <row r="937" ht="15.75" customHeight="1">
      <c r="A937" s="109"/>
      <c r="B937" s="105"/>
      <c r="C937" s="104"/>
      <c r="D937" s="105"/>
      <c r="E937" s="105"/>
      <c r="F937" s="107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6"/>
    </row>
    <row r="938" ht="15.75" customHeight="1">
      <c r="A938" s="109"/>
      <c r="B938" s="105"/>
      <c r="C938" s="104"/>
      <c r="D938" s="105"/>
      <c r="E938" s="105"/>
      <c r="F938" s="107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6"/>
    </row>
    <row r="939" ht="15.75" customHeight="1">
      <c r="A939" s="109"/>
      <c r="B939" s="105"/>
      <c r="C939" s="104"/>
      <c r="D939" s="105"/>
      <c r="E939" s="105"/>
      <c r="F939" s="107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6"/>
    </row>
    <row r="940" ht="15.75" customHeight="1">
      <c r="A940" s="109"/>
      <c r="B940" s="105"/>
      <c r="C940" s="104"/>
      <c r="D940" s="105"/>
      <c r="E940" s="105"/>
      <c r="F940" s="107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6"/>
    </row>
    <row r="941" ht="15.75" customHeight="1">
      <c r="A941" s="109"/>
      <c r="B941" s="105"/>
      <c r="C941" s="104"/>
      <c r="D941" s="105"/>
      <c r="E941" s="105"/>
      <c r="F941" s="107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6"/>
    </row>
    <row r="942" ht="15.75" customHeight="1">
      <c r="A942" s="109"/>
      <c r="B942" s="105"/>
      <c r="C942" s="104"/>
      <c r="D942" s="105"/>
      <c r="E942" s="105"/>
      <c r="F942" s="107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6"/>
    </row>
    <row r="943" ht="15.75" customHeight="1">
      <c r="A943" s="109"/>
      <c r="B943" s="105"/>
      <c r="C943" s="104"/>
      <c r="D943" s="105"/>
      <c r="E943" s="105"/>
      <c r="F943" s="107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6"/>
    </row>
    <row r="944" ht="15.75" customHeight="1">
      <c r="A944" s="109"/>
      <c r="B944" s="105"/>
      <c r="C944" s="104"/>
      <c r="D944" s="105"/>
      <c r="E944" s="105"/>
      <c r="F944" s="107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6"/>
    </row>
    <row r="945" ht="15.75" customHeight="1">
      <c r="A945" s="109"/>
      <c r="B945" s="105"/>
      <c r="C945" s="104"/>
      <c r="D945" s="105"/>
      <c r="E945" s="105"/>
      <c r="F945" s="107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6"/>
    </row>
    <row r="946" ht="15.75" customHeight="1">
      <c r="A946" s="109"/>
      <c r="B946" s="105"/>
      <c r="C946" s="104"/>
      <c r="D946" s="105"/>
      <c r="E946" s="105"/>
      <c r="F946" s="107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6"/>
    </row>
    <row r="947" ht="15.75" customHeight="1">
      <c r="A947" s="109"/>
      <c r="B947" s="105"/>
      <c r="C947" s="104"/>
      <c r="D947" s="105"/>
      <c r="E947" s="105"/>
      <c r="F947" s="107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6"/>
    </row>
    <row r="948" ht="15.75" customHeight="1">
      <c r="A948" s="109"/>
      <c r="B948" s="105"/>
      <c r="C948" s="104"/>
      <c r="D948" s="105"/>
      <c r="E948" s="105"/>
      <c r="F948" s="107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6"/>
    </row>
    <row r="949" ht="15.75" customHeight="1">
      <c r="A949" s="109"/>
      <c r="B949" s="105"/>
      <c r="C949" s="104"/>
      <c r="D949" s="105"/>
      <c r="E949" s="105"/>
      <c r="F949" s="107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6"/>
    </row>
    <row r="950" ht="15.75" customHeight="1">
      <c r="A950" s="109"/>
      <c r="B950" s="105"/>
      <c r="C950" s="104"/>
      <c r="D950" s="105"/>
      <c r="E950" s="105"/>
      <c r="F950" s="107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6"/>
    </row>
    <row r="951" ht="15.75" customHeight="1">
      <c r="A951" s="109"/>
      <c r="B951" s="105"/>
      <c r="C951" s="104"/>
      <c r="D951" s="105"/>
      <c r="E951" s="105"/>
      <c r="F951" s="107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6"/>
    </row>
    <row r="952" ht="15.75" customHeight="1">
      <c r="A952" s="109"/>
      <c r="B952" s="105"/>
      <c r="C952" s="104"/>
      <c r="D952" s="105"/>
      <c r="E952" s="105"/>
      <c r="F952" s="107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6"/>
    </row>
    <row r="953" ht="15.75" customHeight="1">
      <c r="A953" s="109"/>
      <c r="B953" s="105"/>
      <c r="C953" s="104"/>
      <c r="D953" s="105"/>
      <c r="E953" s="105"/>
      <c r="F953" s="107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6"/>
    </row>
    <row r="954" ht="15.75" customHeight="1">
      <c r="A954" s="109"/>
      <c r="B954" s="105"/>
      <c r="C954" s="104"/>
      <c r="D954" s="105"/>
      <c r="E954" s="105"/>
      <c r="F954" s="107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6"/>
    </row>
    <row r="955" ht="15.75" customHeight="1">
      <c r="A955" s="109"/>
      <c r="B955" s="105"/>
      <c r="C955" s="104"/>
      <c r="D955" s="105"/>
      <c r="E955" s="105"/>
      <c r="F955" s="107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6"/>
    </row>
    <row r="956" ht="15.75" customHeight="1">
      <c r="A956" s="109"/>
      <c r="B956" s="105"/>
      <c r="C956" s="104"/>
      <c r="D956" s="105"/>
      <c r="E956" s="105"/>
      <c r="F956" s="107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6"/>
    </row>
    <row r="957" ht="15.75" customHeight="1">
      <c r="A957" s="109"/>
      <c r="B957" s="105"/>
      <c r="C957" s="104"/>
      <c r="D957" s="105"/>
      <c r="E957" s="105"/>
      <c r="F957" s="107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6"/>
    </row>
    <row r="958" ht="15.75" customHeight="1">
      <c r="A958" s="109"/>
      <c r="B958" s="105"/>
      <c r="C958" s="104"/>
      <c r="D958" s="105"/>
      <c r="E958" s="105"/>
      <c r="F958" s="107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6"/>
    </row>
    <row r="959" ht="15.75" customHeight="1">
      <c r="A959" s="109"/>
      <c r="B959" s="105"/>
      <c r="C959" s="104"/>
      <c r="D959" s="105"/>
      <c r="E959" s="105"/>
      <c r="F959" s="107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6"/>
    </row>
    <row r="960" ht="15.75" customHeight="1">
      <c r="A960" s="109"/>
      <c r="B960" s="105"/>
      <c r="C960" s="104"/>
      <c r="D960" s="105"/>
      <c r="E960" s="105"/>
      <c r="F960" s="107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6"/>
    </row>
    <row r="961" ht="15.75" customHeight="1">
      <c r="A961" s="109"/>
      <c r="B961" s="105"/>
      <c r="C961" s="104"/>
      <c r="D961" s="105"/>
      <c r="E961" s="105"/>
      <c r="F961" s="107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6"/>
    </row>
    <row r="962" ht="15.75" customHeight="1">
      <c r="A962" s="109"/>
      <c r="B962" s="105"/>
      <c r="C962" s="104"/>
      <c r="D962" s="105"/>
      <c r="E962" s="105"/>
      <c r="F962" s="107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6"/>
    </row>
    <row r="963" ht="15.75" customHeight="1">
      <c r="A963" s="109"/>
      <c r="B963" s="105"/>
      <c r="C963" s="104"/>
      <c r="D963" s="105"/>
      <c r="E963" s="105"/>
      <c r="F963" s="107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6"/>
    </row>
    <row r="964" ht="15.75" customHeight="1">
      <c r="A964" s="109"/>
      <c r="B964" s="105"/>
      <c r="C964" s="104"/>
      <c r="D964" s="105"/>
      <c r="E964" s="105"/>
      <c r="F964" s="107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6"/>
    </row>
    <row r="965" ht="15.75" customHeight="1">
      <c r="A965" s="109"/>
      <c r="B965" s="105"/>
      <c r="C965" s="104"/>
      <c r="D965" s="105"/>
      <c r="E965" s="105"/>
      <c r="F965" s="107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6"/>
    </row>
    <row r="966" ht="15.75" customHeight="1">
      <c r="A966" s="109"/>
      <c r="B966" s="105"/>
      <c r="C966" s="104"/>
      <c r="D966" s="105"/>
      <c r="E966" s="105"/>
      <c r="F966" s="107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6"/>
    </row>
    <row r="967" ht="15.75" customHeight="1">
      <c r="A967" s="109"/>
      <c r="B967" s="105"/>
      <c r="C967" s="104"/>
      <c r="D967" s="105"/>
      <c r="E967" s="105"/>
      <c r="F967" s="107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6"/>
    </row>
    <row r="968" ht="15.75" customHeight="1">
      <c r="A968" s="109"/>
      <c r="B968" s="105"/>
      <c r="C968" s="104"/>
      <c r="D968" s="105"/>
      <c r="E968" s="105"/>
      <c r="F968" s="107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6"/>
    </row>
    <row r="969" ht="15.75" customHeight="1">
      <c r="A969" s="109"/>
      <c r="B969" s="105"/>
      <c r="C969" s="104"/>
      <c r="D969" s="105"/>
      <c r="E969" s="105"/>
      <c r="F969" s="107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6"/>
    </row>
    <row r="970" ht="15.75" customHeight="1">
      <c r="A970" s="109"/>
      <c r="B970" s="105"/>
      <c r="C970" s="104"/>
      <c r="D970" s="105"/>
      <c r="E970" s="105"/>
      <c r="F970" s="107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6"/>
    </row>
    <row r="971" ht="15.75" customHeight="1">
      <c r="A971" s="109"/>
      <c r="B971" s="105"/>
      <c r="C971" s="104"/>
      <c r="D971" s="105"/>
      <c r="E971" s="105"/>
      <c r="F971" s="107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6"/>
    </row>
    <row r="972" ht="15.75" customHeight="1">
      <c r="A972" s="109"/>
      <c r="B972" s="105"/>
      <c r="C972" s="104"/>
      <c r="D972" s="105"/>
      <c r="E972" s="105"/>
      <c r="F972" s="107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6"/>
    </row>
    <row r="973" ht="15.75" customHeight="1">
      <c r="A973" s="109"/>
      <c r="B973" s="105"/>
      <c r="C973" s="104"/>
      <c r="D973" s="105"/>
      <c r="E973" s="105"/>
      <c r="F973" s="107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6"/>
    </row>
    <row r="974" ht="15.75" customHeight="1">
      <c r="A974" s="109"/>
      <c r="B974" s="105"/>
      <c r="C974" s="104"/>
      <c r="D974" s="105"/>
      <c r="E974" s="105"/>
      <c r="F974" s="107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6"/>
    </row>
    <row r="975" ht="15.75" customHeight="1">
      <c r="A975" s="109"/>
      <c r="B975" s="105"/>
      <c r="C975" s="104"/>
      <c r="D975" s="105"/>
      <c r="E975" s="105"/>
      <c r="F975" s="107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6"/>
    </row>
    <row r="976" ht="15.75" customHeight="1">
      <c r="A976" s="109"/>
      <c r="B976" s="105"/>
      <c r="C976" s="104"/>
      <c r="D976" s="105"/>
      <c r="E976" s="105"/>
      <c r="F976" s="107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6"/>
    </row>
    <row r="977" ht="15.75" customHeight="1">
      <c r="A977" s="109"/>
      <c r="B977" s="105"/>
      <c r="C977" s="104"/>
      <c r="D977" s="105"/>
      <c r="E977" s="105"/>
      <c r="F977" s="107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6"/>
    </row>
    <row r="978" ht="15.75" customHeight="1">
      <c r="A978" s="109"/>
      <c r="B978" s="105"/>
      <c r="C978" s="104"/>
      <c r="D978" s="105"/>
      <c r="E978" s="105"/>
      <c r="F978" s="107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6"/>
    </row>
    <row r="979" ht="15.75" customHeight="1">
      <c r="A979" s="109"/>
      <c r="B979" s="105"/>
      <c r="C979" s="104"/>
      <c r="D979" s="105"/>
      <c r="E979" s="105"/>
      <c r="F979" s="107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6"/>
    </row>
    <row r="980" ht="15.75" customHeight="1">
      <c r="A980" s="109"/>
      <c r="B980" s="105"/>
      <c r="C980" s="104"/>
      <c r="D980" s="105"/>
      <c r="E980" s="105"/>
      <c r="F980" s="107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6"/>
    </row>
    <row r="981" ht="15.75" customHeight="1">
      <c r="A981" s="109"/>
      <c r="B981" s="105"/>
      <c r="C981" s="104"/>
      <c r="D981" s="105"/>
      <c r="E981" s="105"/>
      <c r="F981" s="107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6"/>
    </row>
    <row r="982" ht="15.75" customHeight="1">
      <c r="A982" s="109"/>
      <c r="B982" s="105"/>
      <c r="C982" s="104"/>
      <c r="D982" s="105"/>
      <c r="E982" s="105"/>
      <c r="F982" s="107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6"/>
    </row>
    <row r="983" ht="15.75" customHeight="1">
      <c r="A983" s="109"/>
      <c r="B983" s="105"/>
      <c r="C983" s="104"/>
      <c r="D983" s="105"/>
      <c r="E983" s="105"/>
      <c r="F983" s="107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6"/>
    </row>
    <row r="984" ht="15.75" customHeight="1">
      <c r="A984" s="109"/>
      <c r="B984" s="105"/>
      <c r="C984" s="104"/>
      <c r="D984" s="105"/>
      <c r="E984" s="105"/>
      <c r="F984" s="107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6"/>
    </row>
    <row r="985" ht="15.75" customHeight="1">
      <c r="A985" s="109"/>
      <c r="B985" s="105"/>
      <c r="C985" s="104"/>
      <c r="D985" s="105"/>
      <c r="E985" s="105"/>
      <c r="F985" s="107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6"/>
    </row>
    <row r="986" ht="15.75" customHeight="1">
      <c r="A986" s="109"/>
      <c r="B986" s="105"/>
      <c r="C986" s="104"/>
      <c r="D986" s="105"/>
      <c r="E986" s="105"/>
      <c r="F986" s="107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6"/>
    </row>
    <row r="987" ht="15.75" customHeight="1">
      <c r="A987" s="109"/>
      <c r="B987" s="105"/>
      <c r="C987" s="104"/>
      <c r="D987" s="105"/>
      <c r="E987" s="105"/>
      <c r="F987" s="107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6"/>
    </row>
    <row r="988" ht="15.75" customHeight="1">
      <c r="A988" s="109"/>
      <c r="B988" s="105"/>
      <c r="C988" s="104"/>
      <c r="D988" s="105"/>
      <c r="E988" s="105"/>
      <c r="F988" s="107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6"/>
    </row>
    <row r="989" ht="15.75" customHeight="1">
      <c r="A989" s="109"/>
      <c r="B989" s="105"/>
      <c r="C989" s="104"/>
      <c r="D989" s="105"/>
      <c r="E989" s="105"/>
      <c r="F989" s="107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6"/>
    </row>
    <row r="990" ht="15.75" customHeight="1">
      <c r="A990" s="109"/>
      <c r="B990" s="105"/>
      <c r="C990" s="104"/>
      <c r="D990" s="105"/>
      <c r="E990" s="105"/>
      <c r="F990" s="107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6"/>
    </row>
    <row r="991" ht="15.75" customHeight="1">
      <c r="A991" s="109"/>
      <c r="B991" s="105"/>
      <c r="C991" s="104"/>
      <c r="D991" s="105"/>
      <c r="E991" s="105"/>
      <c r="F991" s="107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6"/>
    </row>
    <row r="992" ht="15.75" customHeight="1">
      <c r="A992" s="109"/>
      <c r="B992" s="105"/>
      <c r="C992" s="104"/>
      <c r="D992" s="105"/>
      <c r="E992" s="105"/>
      <c r="F992" s="107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6"/>
    </row>
    <row r="993" ht="15.75" customHeight="1">
      <c r="A993" s="109"/>
      <c r="B993" s="105"/>
      <c r="C993" s="104"/>
      <c r="D993" s="105"/>
      <c r="E993" s="105"/>
      <c r="F993" s="107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6"/>
    </row>
    <row r="994" ht="15.75" customHeight="1">
      <c r="A994" s="109"/>
      <c r="B994" s="105"/>
      <c r="C994" s="104"/>
      <c r="D994" s="105"/>
      <c r="E994" s="105"/>
      <c r="F994" s="107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6"/>
    </row>
    <row r="995" ht="15.75" customHeight="1">
      <c r="A995" s="109"/>
      <c r="B995" s="105"/>
      <c r="C995" s="104"/>
      <c r="D995" s="105"/>
      <c r="E995" s="105"/>
      <c r="F995" s="107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6"/>
    </row>
    <row r="996" ht="15.75" customHeight="1">
      <c r="A996" s="109"/>
      <c r="B996" s="105"/>
      <c r="C996" s="104"/>
      <c r="D996" s="105"/>
      <c r="E996" s="105"/>
      <c r="F996" s="107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6"/>
    </row>
    <row r="997" ht="15.75" customHeight="1">
      <c r="A997" s="109"/>
      <c r="B997" s="105"/>
      <c r="C997" s="104"/>
      <c r="D997" s="105"/>
      <c r="E997" s="105"/>
      <c r="F997" s="107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6"/>
    </row>
    <row r="998" ht="15.75" customHeight="1">
      <c r="A998" s="109"/>
      <c r="B998" s="105"/>
      <c r="C998" s="104"/>
      <c r="D998" s="105"/>
      <c r="E998" s="105"/>
      <c r="F998" s="107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6"/>
    </row>
    <row r="999" ht="15.75" customHeight="1">
      <c r="A999" s="109"/>
      <c r="B999" s="105"/>
      <c r="C999" s="104"/>
      <c r="D999" s="105"/>
      <c r="E999" s="105"/>
      <c r="F999" s="107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6"/>
    </row>
    <row r="1000" ht="15.75" customHeight="1">
      <c r="A1000" s="109"/>
      <c r="B1000" s="105"/>
      <c r="C1000" s="104"/>
      <c r="D1000" s="105"/>
      <c r="E1000" s="105"/>
      <c r="F1000" s="107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1.22" defaultRowHeight="15.0"/>
  <cols>
    <col customWidth="1" min="1" max="1" width="22.78"/>
    <col customWidth="1" min="2" max="2" width="16.44"/>
    <col customWidth="1" min="3" max="3" width="13.44"/>
    <col customWidth="1" min="4" max="4" width="14.11"/>
    <col customWidth="1" min="5" max="7" width="16.78"/>
    <col customWidth="1" min="8" max="8" width="17.33"/>
    <col customWidth="1" min="9" max="11" width="16.78"/>
    <col customWidth="1" min="12" max="12" width="20.0"/>
    <col customWidth="1" min="13" max="16" width="16.78"/>
    <col customWidth="1" min="17" max="17" width="26.56"/>
    <col customWidth="1" min="18" max="18" width="98.89"/>
    <col customWidth="1" min="19" max="28" width="10.78"/>
  </cols>
  <sheetData>
    <row r="1" ht="15.75" customHeight="1">
      <c r="A1" s="25" t="s">
        <v>28</v>
      </c>
      <c r="B1" s="26"/>
      <c r="C1" s="26"/>
      <c r="D1" s="27"/>
      <c r="E1" s="127"/>
      <c r="F1" s="29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28"/>
      <c r="S1" s="128"/>
      <c r="T1" s="128"/>
      <c r="U1" s="128"/>
      <c r="V1" s="128"/>
      <c r="W1" s="128"/>
      <c r="X1" s="128"/>
      <c r="Y1" s="128"/>
      <c r="Z1" s="128"/>
      <c r="AA1" s="128"/>
      <c r="AB1" s="128"/>
    </row>
    <row r="2" ht="15.75" customHeight="1">
      <c r="A2" s="31" t="s">
        <v>29</v>
      </c>
      <c r="B2" s="26"/>
      <c r="C2" s="26"/>
      <c r="D2" s="27"/>
      <c r="E2" s="127"/>
      <c r="F2" s="29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28"/>
      <c r="S2" s="128"/>
      <c r="T2" s="128"/>
      <c r="U2" s="128"/>
      <c r="V2" s="128"/>
      <c r="W2" s="128"/>
      <c r="X2" s="128"/>
      <c r="Y2" s="128"/>
      <c r="Z2" s="128"/>
      <c r="AA2" s="128"/>
      <c r="AB2" s="128"/>
    </row>
    <row r="3" ht="15.75" customHeight="1">
      <c r="A3" s="32" t="s">
        <v>30</v>
      </c>
      <c r="B3" s="26"/>
      <c r="C3" s="26"/>
      <c r="D3" s="27"/>
      <c r="E3" s="127"/>
      <c r="F3" s="29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28"/>
      <c r="S3" s="128"/>
      <c r="T3" s="128"/>
      <c r="U3" s="128"/>
      <c r="V3" s="128"/>
      <c r="W3" s="128"/>
      <c r="X3" s="128"/>
      <c r="Y3" s="128"/>
      <c r="Z3" s="128"/>
      <c r="AA3" s="128"/>
      <c r="AB3" s="128"/>
    </row>
    <row r="4" ht="21.75" customHeight="1">
      <c r="A4" s="33" t="s">
        <v>31</v>
      </c>
      <c r="B4" s="34" t="s">
        <v>76</v>
      </c>
      <c r="C4" s="26"/>
      <c r="D4" s="27"/>
      <c r="E4" s="127"/>
      <c r="F4" s="29"/>
      <c r="G4" s="30"/>
      <c r="H4" s="30"/>
      <c r="I4" s="35"/>
      <c r="J4" s="30"/>
      <c r="K4" s="30"/>
      <c r="L4" s="30"/>
      <c r="M4" s="30"/>
      <c r="N4" s="30"/>
      <c r="O4" s="30"/>
      <c r="P4" s="30"/>
      <c r="Q4" s="30"/>
      <c r="R4" s="28"/>
      <c r="S4" s="128"/>
      <c r="T4" s="128"/>
      <c r="U4" s="128"/>
      <c r="V4" s="128"/>
      <c r="W4" s="128"/>
      <c r="X4" s="128"/>
      <c r="Y4" s="128"/>
      <c r="Z4" s="128"/>
      <c r="AA4" s="128"/>
      <c r="AB4" s="128"/>
    </row>
    <row r="5" ht="24.0" customHeight="1">
      <c r="A5" s="36"/>
      <c r="B5" s="37" t="s">
        <v>32</v>
      </c>
      <c r="C5" s="113">
        <v>20.0</v>
      </c>
      <c r="D5" s="27"/>
      <c r="E5" s="127"/>
      <c r="F5" s="29"/>
      <c r="G5" s="30"/>
      <c r="H5" s="39"/>
      <c r="I5" s="35" t="s">
        <v>33</v>
      </c>
      <c r="J5" s="30"/>
      <c r="K5" s="30"/>
      <c r="L5" s="30"/>
      <c r="M5" s="30"/>
      <c r="N5" s="30"/>
      <c r="O5" s="30"/>
      <c r="P5" s="30"/>
      <c r="Q5" s="30"/>
      <c r="R5" s="39"/>
      <c r="S5" s="128"/>
      <c r="T5" s="128"/>
      <c r="U5" s="128"/>
      <c r="V5" s="128"/>
      <c r="W5" s="128"/>
      <c r="X5" s="128"/>
      <c r="Y5" s="128"/>
      <c r="Z5" s="128"/>
      <c r="AA5" s="128"/>
      <c r="AB5" s="128"/>
    </row>
    <row r="6" ht="15.75" customHeight="1">
      <c r="A6" s="40"/>
      <c r="B6" s="26"/>
      <c r="C6" s="26"/>
      <c r="D6" s="27"/>
      <c r="E6" s="127"/>
      <c r="F6" s="29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28"/>
      <c r="S6" s="128"/>
      <c r="T6" s="128"/>
      <c r="U6" s="128"/>
      <c r="V6" s="128"/>
      <c r="W6" s="128"/>
      <c r="X6" s="128"/>
      <c r="Y6" s="128"/>
      <c r="Z6" s="128"/>
      <c r="AA6" s="128"/>
      <c r="AB6" s="128"/>
    </row>
    <row r="7" ht="15.75" customHeight="1">
      <c r="A7" s="40"/>
      <c r="B7" s="26"/>
      <c r="C7" s="26"/>
      <c r="D7" s="27"/>
      <c r="E7" s="127"/>
      <c r="F7" s="29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28"/>
      <c r="S7" s="128"/>
      <c r="T7" s="128"/>
      <c r="U7" s="128"/>
      <c r="V7" s="128"/>
      <c r="W7" s="128"/>
      <c r="X7" s="128"/>
      <c r="Y7" s="128"/>
      <c r="Z7" s="128"/>
      <c r="AA7" s="128"/>
      <c r="AB7" s="128"/>
    </row>
    <row r="8" ht="15.75" customHeight="1">
      <c r="A8" s="40"/>
      <c r="B8" s="26"/>
      <c r="C8" s="26"/>
      <c r="D8" s="27"/>
      <c r="E8" s="127"/>
      <c r="F8" s="29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28"/>
      <c r="S8" s="128"/>
      <c r="T8" s="128"/>
      <c r="U8" s="128"/>
      <c r="V8" s="128"/>
      <c r="W8" s="128"/>
      <c r="X8" s="128"/>
      <c r="Y8" s="128"/>
      <c r="Z8" s="128"/>
      <c r="AA8" s="128"/>
      <c r="AB8" s="128"/>
    </row>
    <row r="9" ht="15.75" customHeight="1">
      <c r="A9" s="40"/>
      <c r="B9" s="26"/>
      <c r="C9" s="26"/>
      <c r="D9" s="27"/>
      <c r="E9" s="127"/>
      <c r="F9" s="29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28"/>
      <c r="S9" s="128"/>
      <c r="T9" s="128"/>
      <c r="U9" s="128"/>
      <c r="V9" s="128"/>
      <c r="W9" s="128"/>
      <c r="X9" s="128"/>
      <c r="Y9" s="128"/>
      <c r="Z9" s="128"/>
      <c r="AA9" s="128"/>
      <c r="AB9" s="128"/>
    </row>
    <row r="10" ht="78.75" customHeight="1">
      <c r="A10" s="41" t="s">
        <v>34</v>
      </c>
      <c r="B10" s="42" t="s">
        <v>35</v>
      </c>
      <c r="C10" s="42" t="s">
        <v>36</v>
      </c>
      <c r="D10" s="42" t="s">
        <v>37</v>
      </c>
      <c r="E10" s="43" t="s">
        <v>38</v>
      </c>
      <c r="F10" s="44" t="s">
        <v>39</v>
      </c>
      <c r="G10" s="45" t="s">
        <v>40</v>
      </c>
      <c r="H10" s="45" t="s">
        <v>41</v>
      </c>
      <c r="I10" s="45" t="s">
        <v>42</v>
      </c>
      <c r="J10" s="45" t="s">
        <v>43</v>
      </c>
      <c r="K10" s="45" t="s">
        <v>44</v>
      </c>
      <c r="L10" s="45" t="s">
        <v>45</v>
      </c>
      <c r="M10" s="45" t="s">
        <v>46</v>
      </c>
      <c r="N10" s="45" t="s">
        <v>43</v>
      </c>
      <c r="O10" s="45" t="s">
        <v>44</v>
      </c>
      <c r="P10" s="46" t="s">
        <v>47</v>
      </c>
      <c r="Q10" s="46" t="s">
        <v>64</v>
      </c>
      <c r="R10" s="44" t="s">
        <v>65</v>
      </c>
      <c r="S10" s="129"/>
      <c r="T10" s="129"/>
      <c r="U10" s="129"/>
      <c r="V10" s="129"/>
      <c r="W10" s="129"/>
      <c r="X10" s="129"/>
      <c r="Y10" s="129"/>
      <c r="Z10" s="129"/>
      <c r="AA10" s="129"/>
      <c r="AB10" s="129"/>
    </row>
    <row r="11" ht="15.75" customHeight="1">
      <c r="A11" s="47">
        <v>45662.0</v>
      </c>
      <c r="B11" s="48">
        <v>18.0</v>
      </c>
      <c r="C11" s="49">
        <f t="shared" ref="C11:C74" si="1">IF(B11=0,"",B11/C$5)</f>
        <v>0.9</v>
      </c>
      <c r="D11" s="50">
        <v>17000.0</v>
      </c>
      <c r="E11" s="130">
        <f t="shared" ref="E11:E14" si="2">IFERROR(D11/B11,"")</f>
        <v>944.4444444</v>
      </c>
      <c r="F11" s="50">
        <v>18045.0</v>
      </c>
      <c r="G11" s="52">
        <f t="shared" ref="G11:G75" si="3">IFERROR(F11/D11,"")</f>
        <v>1.061470588</v>
      </c>
      <c r="H11" s="53"/>
      <c r="I11" s="53"/>
      <c r="J11" s="54"/>
      <c r="K11" s="55"/>
      <c r="L11" s="53"/>
      <c r="M11" s="53"/>
      <c r="N11" s="55"/>
      <c r="O11" s="55"/>
      <c r="P11" s="115"/>
      <c r="Q11" s="115"/>
      <c r="R11" s="56" t="s">
        <v>77</v>
      </c>
      <c r="S11" s="106"/>
      <c r="T11" s="106"/>
      <c r="U11" s="106"/>
      <c r="V11" s="106"/>
      <c r="W11" s="106"/>
      <c r="X11" s="106"/>
      <c r="Y11" s="106"/>
      <c r="Z11" s="106"/>
      <c r="AA11" s="106"/>
      <c r="AB11" s="106"/>
    </row>
    <row r="12" ht="15.75" customHeight="1">
      <c r="A12" s="57">
        <f t="shared" ref="A12:A14" si="4">A11+7</f>
        <v>45669</v>
      </c>
      <c r="B12" s="48">
        <v>18.0</v>
      </c>
      <c r="C12" s="49">
        <f t="shared" si="1"/>
        <v>0.9</v>
      </c>
      <c r="D12" s="50">
        <v>17000.0</v>
      </c>
      <c r="E12" s="130">
        <f t="shared" si="2"/>
        <v>944.4444444</v>
      </c>
      <c r="F12" s="50">
        <v>19095.0</v>
      </c>
      <c r="G12" s="52">
        <f t="shared" si="3"/>
        <v>1.123235294</v>
      </c>
      <c r="H12" s="58"/>
      <c r="I12" s="58"/>
      <c r="J12" s="54"/>
      <c r="K12" s="55"/>
      <c r="L12" s="58"/>
      <c r="M12" s="58"/>
      <c r="N12" s="55"/>
      <c r="O12" s="55"/>
      <c r="P12" s="74"/>
      <c r="Q12" s="74"/>
      <c r="R12" s="59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</row>
    <row r="13" ht="15.75" customHeight="1">
      <c r="A13" s="57">
        <f t="shared" si="4"/>
        <v>45676</v>
      </c>
      <c r="B13" s="48">
        <v>18.0</v>
      </c>
      <c r="C13" s="49">
        <f t="shared" si="1"/>
        <v>0.9</v>
      </c>
      <c r="D13" s="50">
        <v>17000.0</v>
      </c>
      <c r="E13" s="130">
        <f t="shared" si="2"/>
        <v>944.4444444</v>
      </c>
      <c r="F13" s="50">
        <v>19095.0</v>
      </c>
      <c r="G13" s="52">
        <f t="shared" si="3"/>
        <v>1.123235294</v>
      </c>
      <c r="H13" s="58"/>
      <c r="I13" s="58"/>
      <c r="J13" s="54"/>
      <c r="K13" s="55"/>
      <c r="L13" s="58"/>
      <c r="M13" s="58"/>
      <c r="N13" s="55"/>
      <c r="O13" s="55"/>
      <c r="P13" s="74"/>
      <c r="Q13" s="74"/>
      <c r="R13" s="59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</row>
    <row r="14" ht="15.75" customHeight="1">
      <c r="A14" s="57">
        <f t="shared" si="4"/>
        <v>45683</v>
      </c>
      <c r="B14" s="48">
        <v>18.0</v>
      </c>
      <c r="C14" s="49">
        <f t="shared" si="1"/>
        <v>0.9</v>
      </c>
      <c r="D14" s="50">
        <v>17000.0</v>
      </c>
      <c r="E14" s="130">
        <f t="shared" si="2"/>
        <v>944.4444444</v>
      </c>
      <c r="F14" s="50">
        <v>19095.0</v>
      </c>
      <c r="G14" s="52">
        <f t="shared" si="3"/>
        <v>1.123235294</v>
      </c>
      <c r="H14" s="60"/>
      <c r="I14" s="60"/>
      <c r="J14" s="54"/>
      <c r="K14" s="55"/>
      <c r="L14" s="58"/>
      <c r="M14" s="58"/>
      <c r="N14" s="55"/>
      <c r="O14" s="55"/>
      <c r="P14" s="74"/>
      <c r="Q14" s="74"/>
      <c r="R14" s="59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</row>
    <row r="15" ht="15.75" customHeight="1">
      <c r="A15" s="61" t="s">
        <v>51</v>
      </c>
      <c r="B15" s="120">
        <v>19.0</v>
      </c>
      <c r="C15" s="63">
        <f t="shared" si="1"/>
        <v>0.95</v>
      </c>
      <c r="D15" s="64">
        <v>18000.0</v>
      </c>
      <c r="E15" s="131">
        <f>D15/B15</f>
        <v>947.3684211</v>
      </c>
      <c r="F15" s="68">
        <v>18000.0</v>
      </c>
      <c r="G15" s="66">
        <f t="shared" si="3"/>
        <v>1</v>
      </c>
      <c r="H15" s="67">
        <v>21040.0</v>
      </c>
      <c r="I15" s="70">
        <v>18000.0</v>
      </c>
      <c r="J15" s="68">
        <f>IF(H15=0,"",H15-I15)</f>
        <v>3040</v>
      </c>
      <c r="K15" s="69">
        <f>IFERROR((H15-I15)/H15,"")</f>
        <v>0.144486692</v>
      </c>
      <c r="L15" s="67">
        <v>15803.0</v>
      </c>
      <c r="M15" s="67">
        <v>16100.0</v>
      </c>
      <c r="N15" s="68">
        <f>IF(L15=0,"",L15-M15)</f>
        <v>-297</v>
      </c>
      <c r="O15" s="69">
        <f>IFERROR((L15-M15)/L15,"")</f>
        <v>-0.01879389989</v>
      </c>
      <c r="P15" s="70">
        <f t="shared" ref="P15:Q15" si="5">H15-L15</f>
        <v>5237</v>
      </c>
      <c r="Q15" s="67">
        <f t="shared" si="5"/>
        <v>1900</v>
      </c>
      <c r="R15" s="87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</row>
    <row r="16" ht="15.75" customHeight="1">
      <c r="A16" s="57">
        <f>A14+7</f>
        <v>45690</v>
      </c>
      <c r="B16" s="48">
        <v>20.0</v>
      </c>
      <c r="C16" s="49">
        <f t="shared" si="1"/>
        <v>1</v>
      </c>
      <c r="D16" s="50">
        <v>19025.0</v>
      </c>
      <c r="E16" s="130">
        <f t="shared" ref="E16:E19" si="6">IFERROR(D16/B16,"")</f>
        <v>951.25</v>
      </c>
      <c r="F16" s="50">
        <v>10870.0</v>
      </c>
      <c r="G16" s="72">
        <f t="shared" si="3"/>
        <v>0.5713534823</v>
      </c>
      <c r="H16" s="73"/>
      <c r="I16" s="74"/>
      <c r="J16" s="75"/>
      <c r="K16" s="76"/>
      <c r="L16" s="74"/>
      <c r="M16" s="74"/>
      <c r="N16" s="77"/>
      <c r="O16" s="55"/>
      <c r="P16" s="74"/>
      <c r="Q16" s="74"/>
      <c r="R16" s="59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</row>
    <row r="17" ht="15.75" customHeight="1">
      <c r="A17" s="57">
        <f t="shared" ref="A17:A19" si="7">A16+7</f>
        <v>45697</v>
      </c>
      <c r="B17" s="48">
        <v>20.0</v>
      </c>
      <c r="C17" s="49">
        <f t="shared" si="1"/>
        <v>1</v>
      </c>
      <c r="D17" s="50">
        <v>19025.0</v>
      </c>
      <c r="E17" s="130">
        <f t="shared" si="6"/>
        <v>951.25</v>
      </c>
      <c r="F17" s="50">
        <v>17075.0</v>
      </c>
      <c r="G17" s="52">
        <f t="shared" si="3"/>
        <v>0.8975032852</v>
      </c>
      <c r="H17" s="78"/>
      <c r="I17" s="78"/>
      <c r="J17" s="54"/>
      <c r="K17" s="55"/>
      <c r="L17" s="78"/>
      <c r="M17" s="78"/>
      <c r="N17" s="55"/>
      <c r="O17" s="55"/>
      <c r="P17" s="74"/>
      <c r="Q17" s="74"/>
      <c r="R17" s="59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</row>
    <row r="18" ht="15.75" customHeight="1">
      <c r="A18" s="57">
        <f t="shared" si="7"/>
        <v>45704</v>
      </c>
      <c r="B18" s="48">
        <v>20.0</v>
      </c>
      <c r="C18" s="49">
        <f t="shared" si="1"/>
        <v>1</v>
      </c>
      <c r="D18" s="50">
        <v>19025.0</v>
      </c>
      <c r="E18" s="130">
        <f t="shared" si="6"/>
        <v>951.25</v>
      </c>
      <c r="F18" s="50">
        <v>17075.0</v>
      </c>
      <c r="G18" s="52">
        <f t="shared" si="3"/>
        <v>0.8975032852</v>
      </c>
      <c r="H18" s="58"/>
      <c r="I18" s="58"/>
      <c r="J18" s="54"/>
      <c r="K18" s="55"/>
      <c r="L18" s="58"/>
      <c r="M18" s="58"/>
      <c r="N18" s="55"/>
      <c r="O18" s="55"/>
      <c r="P18" s="74"/>
      <c r="Q18" s="74"/>
      <c r="R18" s="59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</row>
    <row r="19" ht="15.75" customHeight="1">
      <c r="A19" s="57">
        <f t="shared" si="7"/>
        <v>45711</v>
      </c>
      <c r="B19" s="48">
        <v>20.0</v>
      </c>
      <c r="C19" s="49">
        <f t="shared" si="1"/>
        <v>1</v>
      </c>
      <c r="D19" s="50">
        <v>19025.0</v>
      </c>
      <c r="E19" s="130">
        <f t="shared" si="6"/>
        <v>951.25</v>
      </c>
      <c r="F19" s="50">
        <v>17325.0</v>
      </c>
      <c r="G19" s="52">
        <f t="shared" si="3"/>
        <v>0.9106438896</v>
      </c>
      <c r="H19" s="60"/>
      <c r="I19" s="60"/>
      <c r="J19" s="54"/>
      <c r="K19" s="55"/>
      <c r="L19" s="58"/>
      <c r="M19" s="58"/>
      <c r="N19" s="55"/>
      <c r="O19" s="55"/>
      <c r="P19" s="74"/>
      <c r="Q19" s="74"/>
      <c r="R19" s="59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</row>
    <row r="20" ht="15.75" customHeight="1">
      <c r="A20" s="61" t="s">
        <v>51</v>
      </c>
      <c r="B20" s="120">
        <v>19.0</v>
      </c>
      <c r="C20" s="63">
        <f t="shared" si="1"/>
        <v>0.95</v>
      </c>
      <c r="D20" s="64">
        <v>18000.0</v>
      </c>
      <c r="E20" s="131">
        <f>D20/B20</f>
        <v>947.3684211</v>
      </c>
      <c r="F20" s="68">
        <v>18000.0</v>
      </c>
      <c r="G20" s="66">
        <f t="shared" si="3"/>
        <v>1</v>
      </c>
      <c r="H20" s="67">
        <v>22035.0</v>
      </c>
      <c r="I20" s="70">
        <v>18000.0</v>
      </c>
      <c r="J20" s="68">
        <f>IF(H20=0,"",H20-I20)</f>
        <v>4035</v>
      </c>
      <c r="K20" s="69">
        <f>IFERROR((H20-I20)/H20,"")</f>
        <v>0.1831177672</v>
      </c>
      <c r="L20" s="67">
        <v>13082.0</v>
      </c>
      <c r="M20" s="67">
        <v>16100.0</v>
      </c>
      <c r="N20" s="68">
        <f>IF(L20=0,"",L20-M20)</f>
        <v>-3018</v>
      </c>
      <c r="O20" s="69">
        <f>IFERROR((L20-M20)/L20,"")</f>
        <v>-0.2306986699</v>
      </c>
      <c r="P20" s="70">
        <f t="shared" ref="P20:Q20" si="8">H20-L20</f>
        <v>8953</v>
      </c>
      <c r="Q20" s="67">
        <f t="shared" si="8"/>
        <v>1900</v>
      </c>
      <c r="R20" s="87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</row>
    <row r="21" ht="15.75" customHeight="1">
      <c r="A21" s="57">
        <f>A19+7</f>
        <v>45718</v>
      </c>
      <c r="B21" s="48">
        <v>20.0</v>
      </c>
      <c r="C21" s="49">
        <f t="shared" si="1"/>
        <v>1</v>
      </c>
      <c r="D21" s="50">
        <v>19025.0</v>
      </c>
      <c r="E21" s="130">
        <f t="shared" ref="E21:E25" si="9">IFERROR(D21/B21,"")</f>
        <v>951.25</v>
      </c>
      <c r="F21" s="50">
        <v>13325.0</v>
      </c>
      <c r="G21" s="79">
        <f t="shared" si="3"/>
        <v>0.7003942181</v>
      </c>
      <c r="H21" s="80"/>
      <c r="I21" s="81"/>
      <c r="J21" s="54"/>
      <c r="K21" s="76"/>
      <c r="L21" s="73"/>
      <c r="M21" s="74"/>
      <c r="N21" s="77"/>
      <c r="O21" s="55"/>
      <c r="P21" s="74"/>
      <c r="Q21" s="74"/>
      <c r="R21" s="59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</row>
    <row r="22" ht="15.75" customHeight="1">
      <c r="A22" s="57">
        <f t="shared" ref="A22:A25" si="10">A21+7</f>
        <v>45725</v>
      </c>
      <c r="B22" s="48">
        <v>20.0</v>
      </c>
      <c r="C22" s="49">
        <f t="shared" si="1"/>
        <v>1</v>
      </c>
      <c r="D22" s="50">
        <v>19025.0</v>
      </c>
      <c r="E22" s="130">
        <f t="shared" si="9"/>
        <v>951.25</v>
      </c>
      <c r="F22" s="50">
        <v>18075.0</v>
      </c>
      <c r="G22" s="52">
        <f t="shared" si="3"/>
        <v>0.950065703</v>
      </c>
      <c r="H22" s="78"/>
      <c r="I22" s="78"/>
      <c r="J22" s="54"/>
      <c r="K22" s="55"/>
      <c r="L22" s="78"/>
      <c r="M22" s="78"/>
      <c r="N22" s="55"/>
      <c r="O22" s="55"/>
      <c r="P22" s="74"/>
      <c r="Q22" s="74"/>
      <c r="R22" s="59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</row>
    <row r="23" ht="15.75" customHeight="1">
      <c r="A23" s="57">
        <f t="shared" si="10"/>
        <v>45732</v>
      </c>
      <c r="B23" s="48">
        <v>20.0</v>
      </c>
      <c r="C23" s="49">
        <f t="shared" si="1"/>
        <v>1</v>
      </c>
      <c r="D23" s="50">
        <v>19025.0</v>
      </c>
      <c r="E23" s="130">
        <f t="shared" si="9"/>
        <v>951.25</v>
      </c>
      <c r="F23" s="50">
        <v>18075.0</v>
      </c>
      <c r="G23" s="52">
        <f t="shared" si="3"/>
        <v>0.950065703</v>
      </c>
      <c r="H23" s="58"/>
      <c r="I23" s="58"/>
      <c r="J23" s="54"/>
      <c r="K23" s="55"/>
      <c r="L23" s="58"/>
      <c r="M23" s="58"/>
      <c r="N23" s="55"/>
      <c r="O23" s="55"/>
      <c r="P23" s="74"/>
      <c r="Q23" s="74"/>
      <c r="R23" s="59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</row>
    <row r="24" ht="15.75" customHeight="1">
      <c r="A24" s="57">
        <f t="shared" si="10"/>
        <v>45739</v>
      </c>
      <c r="B24" s="48">
        <v>20.0</v>
      </c>
      <c r="C24" s="49">
        <f t="shared" si="1"/>
        <v>1</v>
      </c>
      <c r="D24" s="50">
        <v>19025.0</v>
      </c>
      <c r="E24" s="130">
        <f t="shared" si="9"/>
        <v>951.25</v>
      </c>
      <c r="F24" s="50">
        <v>18075.0</v>
      </c>
      <c r="G24" s="52">
        <f t="shared" si="3"/>
        <v>0.950065703</v>
      </c>
      <c r="H24" s="58"/>
      <c r="I24" s="58"/>
      <c r="J24" s="54"/>
      <c r="K24" s="55"/>
      <c r="L24" s="58"/>
      <c r="M24" s="58"/>
      <c r="N24" s="55"/>
      <c r="O24" s="55"/>
      <c r="P24" s="74"/>
      <c r="Q24" s="74"/>
      <c r="R24" s="59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</row>
    <row r="25" ht="15.75" customHeight="1">
      <c r="A25" s="57">
        <f t="shared" si="10"/>
        <v>45746</v>
      </c>
      <c r="B25" s="48">
        <v>20.0</v>
      </c>
      <c r="C25" s="49">
        <f t="shared" si="1"/>
        <v>1</v>
      </c>
      <c r="D25" s="50">
        <v>19025.0</v>
      </c>
      <c r="E25" s="130">
        <f t="shared" si="9"/>
        <v>951.25</v>
      </c>
      <c r="F25" s="50">
        <v>18075.0</v>
      </c>
      <c r="G25" s="52">
        <f t="shared" si="3"/>
        <v>0.950065703</v>
      </c>
      <c r="H25" s="82"/>
      <c r="I25" s="82"/>
      <c r="J25" s="54"/>
      <c r="K25" s="55"/>
      <c r="L25" s="82"/>
      <c r="M25" s="82"/>
      <c r="N25" s="55"/>
      <c r="O25" s="55"/>
      <c r="P25" s="118"/>
      <c r="Q25" s="118"/>
      <c r="R25" s="59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</row>
    <row r="26" ht="15.75" customHeight="1">
      <c r="A26" s="61" t="s">
        <v>51</v>
      </c>
      <c r="B26" s="120">
        <v>19.0</v>
      </c>
      <c r="C26" s="63">
        <f t="shared" si="1"/>
        <v>0.95</v>
      </c>
      <c r="D26" s="64">
        <v>18000.0</v>
      </c>
      <c r="E26" s="131">
        <f>D26/B26</f>
        <v>947.3684211</v>
      </c>
      <c r="F26" s="68">
        <v>18000.0</v>
      </c>
      <c r="G26" s="66">
        <f t="shared" si="3"/>
        <v>1</v>
      </c>
      <c r="H26" s="83">
        <v>18075.0</v>
      </c>
      <c r="I26" s="70">
        <v>18000.0</v>
      </c>
      <c r="J26" s="68">
        <f>IF(H26=0,"",H26-I26)</f>
        <v>75</v>
      </c>
      <c r="K26" s="69">
        <f>IFERROR((H26-I26)/H26,"")</f>
        <v>0.004149377593</v>
      </c>
      <c r="L26" s="83">
        <v>16516.0</v>
      </c>
      <c r="M26" s="67">
        <v>16100.0</v>
      </c>
      <c r="N26" s="68">
        <f>IF(L26=0,"",L26-M26)</f>
        <v>416</v>
      </c>
      <c r="O26" s="69">
        <f>IFERROR((L26-M26)/L26,"")</f>
        <v>0.02518769678</v>
      </c>
      <c r="P26" s="119">
        <f t="shared" ref="P26:Q26" si="11">H26-L26</f>
        <v>1559</v>
      </c>
      <c r="Q26" s="67">
        <f t="shared" si="11"/>
        <v>1900</v>
      </c>
      <c r="R26" s="87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</row>
    <row r="27" ht="15.75" customHeight="1">
      <c r="A27" s="57">
        <f>A25+7</f>
        <v>45753</v>
      </c>
      <c r="B27" s="48">
        <v>20.0</v>
      </c>
      <c r="C27" s="49">
        <f t="shared" si="1"/>
        <v>1</v>
      </c>
      <c r="D27" s="50">
        <v>19025.0</v>
      </c>
      <c r="E27" s="130">
        <f t="shared" ref="E27:E30" si="12">IFERROR(D27/B27,"")</f>
        <v>951.25</v>
      </c>
      <c r="F27" s="50">
        <v>17125.0</v>
      </c>
      <c r="G27" s="52">
        <f t="shared" si="3"/>
        <v>0.900131406</v>
      </c>
      <c r="H27" s="53"/>
      <c r="I27" s="53"/>
      <c r="J27" s="54"/>
      <c r="K27" s="55"/>
      <c r="L27" s="53"/>
      <c r="M27" s="53"/>
      <c r="N27" s="55"/>
      <c r="O27" s="55"/>
      <c r="P27" s="115"/>
      <c r="Q27" s="115"/>
      <c r="R27" s="59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</row>
    <row r="28" ht="15.75" customHeight="1">
      <c r="A28" s="57">
        <f t="shared" ref="A28:A30" si="13">A27+7</f>
        <v>45760</v>
      </c>
      <c r="B28" s="48">
        <v>20.0</v>
      </c>
      <c r="C28" s="49">
        <f t="shared" si="1"/>
        <v>1</v>
      </c>
      <c r="D28" s="50">
        <v>19025.0</v>
      </c>
      <c r="E28" s="130">
        <f t="shared" si="12"/>
        <v>951.25</v>
      </c>
      <c r="F28" s="50">
        <v>17125.0</v>
      </c>
      <c r="G28" s="52">
        <f t="shared" si="3"/>
        <v>0.900131406</v>
      </c>
      <c r="H28" s="58"/>
      <c r="I28" s="58"/>
      <c r="J28" s="54"/>
      <c r="K28" s="55"/>
      <c r="L28" s="58"/>
      <c r="M28" s="58"/>
      <c r="N28" s="55"/>
      <c r="O28" s="55"/>
      <c r="P28" s="74"/>
      <c r="Q28" s="74"/>
      <c r="R28" s="59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</row>
    <row r="29" ht="15.75" customHeight="1">
      <c r="A29" s="57">
        <f t="shared" si="13"/>
        <v>45767</v>
      </c>
      <c r="B29" s="48">
        <v>19.0</v>
      </c>
      <c r="C29" s="49">
        <f t="shared" si="1"/>
        <v>0.95</v>
      </c>
      <c r="D29" s="50">
        <v>18250.0</v>
      </c>
      <c r="E29" s="130">
        <f t="shared" si="12"/>
        <v>960.5263158</v>
      </c>
      <c r="F29" s="50">
        <v>17125.0</v>
      </c>
      <c r="G29" s="52">
        <f t="shared" si="3"/>
        <v>0.9383561644</v>
      </c>
      <c r="H29" s="58"/>
      <c r="I29" s="58"/>
      <c r="J29" s="54"/>
      <c r="K29" s="55"/>
      <c r="L29" s="58"/>
      <c r="M29" s="58"/>
      <c r="N29" s="55"/>
      <c r="O29" s="55"/>
      <c r="P29" s="74"/>
      <c r="Q29" s="74"/>
      <c r="R29" s="59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</row>
    <row r="30" ht="15.75" customHeight="1">
      <c r="A30" s="85">
        <f t="shared" si="13"/>
        <v>45774</v>
      </c>
      <c r="B30" s="48">
        <v>19.0</v>
      </c>
      <c r="C30" s="49">
        <f t="shared" si="1"/>
        <v>0.95</v>
      </c>
      <c r="D30" s="50">
        <v>18250.0</v>
      </c>
      <c r="E30" s="130">
        <f t="shared" si="12"/>
        <v>960.5263158</v>
      </c>
      <c r="F30" s="50">
        <v>17125.0</v>
      </c>
      <c r="G30" s="52">
        <f t="shared" si="3"/>
        <v>0.9383561644</v>
      </c>
      <c r="H30" s="82"/>
      <c r="I30" s="82"/>
      <c r="J30" s="54"/>
      <c r="K30" s="55"/>
      <c r="L30" s="82"/>
      <c r="M30" s="82"/>
      <c r="N30" s="55"/>
      <c r="O30" s="55"/>
      <c r="P30" s="118"/>
      <c r="Q30" s="118"/>
      <c r="R30" s="59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</row>
    <row r="31" ht="15.75" customHeight="1">
      <c r="A31" s="61" t="s">
        <v>51</v>
      </c>
      <c r="B31" s="120">
        <v>19.0</v>
      </c>
      <c r="C31" s="63">
        <f t="shared" si="1"/>
        <v>0.95</v>
      </c>
      <c r="D31" s="64">
        <v>18000.0</v>
      </c>
      <c r="E31" s="131">
        <f>D31/B31</f>
        <v>947.3684211</v>
      </c>
      <c r="F31" s="68">
        <v>18000.0</v>
      </c>
      <c r="G31" s="66">
        <f t="shared" si="3"/>
        <v>1</v>
      </c>
      <c r="H31" s="83">
        <v>17125.0</v>
      </c>
      <c r="I31" s="70">
        <v>18000.0</v>
      </c>
      <c r="J31" s="68">
        <f>IF(H31=0,"",H31-I31)</f>
        <v>-875</v>
      </c>
      <c r="K31" s="69">
        <f>IFERROR((H31-I31)/H31,"")</f>
        <v>-0.05109489051</v>
      </c>
      <c r="L31" s="83">
        <v>23963.0</v>
      </c>
      <c r="M31" s="67">
        <v>16100.0</v>
      </c>
      <c r="N31" s="68">
        <f>IF(L31=0,"",L31-M31)</f>
        <v>7863</v>
      </c>
      <c r="O31" s="69">
        <f>IFERROR((L31-M31)/L31,"")</f>
        <v>0.3281308684</v>
      </c>
      <c r="P31" s="119">
        <f t="shared" ref="P31:Q31" si="14">H31-L31</f>
        <v>-6838</v>
      </c>
      <c r="Q31" s="67">
        <f t="shared" si="14"/>
        <v>1900</v>
      </c>
      <c r="R31" s="71" t="s">
        <v>78</v>
      </c>
      <c r="S31" s="106"/>
      <c r="T31" s="106"/>
      <c r="U31" s="106"/>
      <c r="V31" s="106"/>
      <c r="W31" s="106"/>
      <c r="X31" s="106"/>
      <c r="Y31" s="106"/>
      <c r="Z31" s="106"/>
      <c r="AA31" s="106"/>
      <c r="AB31" s="106"/>
    </row>
    <row r="32" ht="15.75" customHeight="1">
      <c r="A32" s="57">
        <f>A30+7</f>
        <v>45781</v>
      </c>
      <c r="B32" s="48">
        <v>20.0</v>
      </c>
      <c r="C32" s="49">
        <f t="shared" si="1"/>
        <v>1</v>
      </c>
      <c r="D32" s="50">
        <v>19075.0</v>
      </c>
      <c r="E32" s="130">
        <f t="shared" ref="E32:E35" si="15">IFERROR(D32/B32,"")</f>
        <v>953.75</v>
      </c>
      <c r="F32" s="50">
        <v>15975.0</v>
      </c>
      <c r="G32" s="52">
        <f t="shared" si="3"/>
        <v>0.8374836173</v>
      </c>
      <c r="H32" s="53"/>
      <c r="I32" s="53"/>
      <c r="J32" s="54"/>
      <c r="K32" s="55"/>
      <c r="L32" s="53"/>
      <c r="M32" s="53"/>
      <c r="N32" s="55"/>
      <c r="O32" s="55"/>
      <c r="P32" s="115"/>
      <c r="Q32" s="115"/>
      <c r="R32" s="59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</row>
    <row r="33" ht="15.75" customHeight="1">
      <c r="A33" s="57">
        <f t="shared" ref="A33:A35" si="16">A32+7</f>
        <v>45788</v>
      </c>
      <c r="B33" s="48">
        <v>20.0</v>
      </c>
      <c r="C33" s="49">
        <f t="shared" si="1"/>
        <v>1</v>
      </c>
      <c r="D33" s="50">
        <v>19075.0</v>
      </c>
      <c r="E33" s="130">
        <f t="shared" si="15"/>
        <v>953.75</v>
      </c>
      <c r="F33" s="50">
        <v>21680.0</v>
      </c>
      <c r="G33" s="52">
        <f t="shared" si="3"/>
        <v>1.136566186</v>
      </c>
      <c r="H33" s="58"/>
      <c r="I33" s="58"/>
      <c r="J33" s="54"/>
      <c r="K33" s="55"/>
      <c r="L33" s="58"/>
      <c r="M33" s="58"/>
      <c r="N33" s="55"/>
      <c r="O33" s="55"/>
      <c r="P33" s="74"/>
      <c r="Q33" s="74"/>
      <c r="R33" s="8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</row>
    <row r="34" ht="15.75" customHeight="1">
      <c r="A34" s="57">
        <f t="shared" si="16"/>
        <v>45795</v>
      </c>
      <c r="B34" s="48">
        <v>20.0</v>
      </c>
      <c r="C34" s="49">
        <f t="shared" si="1"/>
        <v>1</v>
      </c>
      <c r="D34" s="50">
        <v>19075.0</v>
      </c>
      <c r="E34" s="130">
        <f t="shared" si="15"/>
        <v>953.75</v>
      </c>
      <c r="F34" s="50">
        <v>21930.0</v>
      </c>
      <c r="G34" s="52">
        <f t="shared" si="3"/>
        <v>1.149672346</v>
      </c>
      <c r="H34" s="58"/>
      <c r="I34" s="58"/>
      <c r="J34" s="54"/>
      <c r="K34" s="55"/>
      <c r="L34" s="58"/>
      <c r="M34" s="58"/>
      <c r="N34" s="55"/>
      <c r="O34" s="55"/>
      <c r="P34" s="74"/>
      <c r="Q34" s="74"/>
      <c r="R34" s="8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</row>
    <row r="35" ht="15.75" customHeight="1">
      <c r="A35" s="57">
        <f t="shared" si="16"/>
        <v>45802</v>
      </c>
      <c r="B35" s="48">
        <v>20.0</v>
      </c>
      <c r="C35" s="49">
        <f t="shared" si="1"/>
        <v>1</v>
      </c>
      <c r="D35" s="50">
        <v>19075.0</v>
      </c>
      <c r="E35" s="130">
        <f t="shared" si="15"/>
        <v>953.75</v>
      </c>
      <c r="F35" s="50">
        <v>21930.0</v>
      </c>
      <c r="G35" s="52">
        <f t="shared" si="3"/>
        <v>1.149672346</v>
      </c>
      <c r="H35" s="60"/>
      <c r="I35" s="60"/>
      <c r="J35" s="54"/>
      <c r="K35" s="55"/>
      <c r="L35" s="58"/>
      <c r="M35" s="58"/>
      <c r="N35" s="55"/>
      <c r="O35" s="55"/>
      <c r="P35" s="74"/>
      <c r="Q35" s="74"/>
      <c r="R35" s="8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</row>
    <row r="36" ht="15.75" customHeight="1">
      <c r="A36" s="61" t="s">
        <v>51</v>
      </c>
      <c r="B36" s="120">
        <v>19.0</v>
      </c>
      <c r="C36" s="63">
        <f t="shared" si="1"/>
        <v>0.95</v>
      </c>
      <c r="D36" s="64">
        <v>18000.0</v>
      </c>
      <c r="E36" s="131">
        <f>D36/B36</f>
        <v>947.3684211</v>
      </c>
      <c r="F36" s="68">
        <v>18000.0</v>
      </c>
      <c r="G36" s="66">
        <f t="shared" si="3"/>
        <v>1</v>
      </c>
      <c r="H36" s="67">
        <v>30293.0</v>
      </c>
      <c r="I36" s="70">
        <v>18000.0</v>
      </c>
      <c r="J36" s="68">
        <f>IF(H36=0,"",H36-I36)</f>
        <v>12293</v>
      </c>
      <c r="K36" s="69">
        <f>IFERROR((H36-I36)/H36,"")</f>
        <v>0.4058033209</v>
      </c>
      <c r="L36" s="67">
        <v>6125.0</v>
      </c>
      <c r="M36" s="67">
        <v>16100.0</v>
      </c>
      <c r="N36" s="68">
        <f>IF(L36=0,"",L36-M36)</f>
        <v>-9975</v>
      </c>
      <c r="O36" s="69">
        <f>IFERROR((L36-M36)/L36,"")</f>
        <v>-1.628571429</v>
      </c>
      <c r="P36" s="70">
        <f t="shared" ref="P36:Q36" si="17">H36-L36</f>
        <v>24168</v>
      </c>
      <c r="Q36" s="67">
        <f t="shared" si="17"/>
        <v>1900</v>
      </c>
      <c r="R36" s="71" t="s">
        <v>79</v>
      </c>
      <c r="S36" s="106"/>
      <c r="T36" s="106"/>
      <c r="U36" s="106"/>
      <c r="V36" s="106"/>
      <c r="W36" s="106"/>
      <c r="X36" s="106"/>
      <c r="Y36" s="106"/>
      <c r="Z36" s="106"/>
      <c r="AA36" s="106"/>
      <c r="AB36" s="106"/>
    </row>
    <row r="37" ht="15.75" customHeight="1">
      <c r="A37" s="57">
        <f>A35+7</f>
        <v>45809</v>
      </c>
      <c r="B37" s="48">
        <v>19.0</v>
      </c>
      <c r="C37" s="49">
        <f t="shared" si="1"/>
        <v>0.95</v>
      </c>
      <c r="D37" s="50">
        <v>18125.0</v>
      </c>
      <c r="E37" s="130">
        <f t="shared" ref="E37:E41" si="18">IFERROR(D37/B37,"")</f>
        <v>953.9473684</v>
      </c>
      <c r="F37" s="50">
        <v>13225.0</v>
      </c>
      <c r="G37" s="72">
        <f t="shared" si="3"/>
        <v>0.7296551724</v>
      </c>
      <c r="H37" s="74"/>
      <c r="I37" s="80"/>
      <c r="J37" s="75"/>
      <c r="K37" s="55"/>
      <c r="L37" s="60"/>
      <c r="M37" s="60"/>
      <c r="N37" s="55"/>
      <c r="O37" s="55"/>
      <c r="P37" s="74"/>
      <c r="Q37" s="74"/>
      <c r="R37" s="8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</row>
    <row r="38" ht="15.75" customHeight="1">
      <c r="A38" s="57">
        <f t="shared" ref="A38:A41" si="19">A37+7</f>
        <v>45816</v>
      </c>
      <c r="B38" s="48">
        <v>19.0</v>
      </c>
      <c r="C38" s="49">
        <f t="shared" si="1"/>
        <v>0.95</v>
      </c>
      <c r="D38" s="50">
        <v>18125.0</v>
      </c>
      <c r="E38" s="130">
        <f t="shared" si="18"/>
        <v>953.9473684</v>
      </c>
      <c r="F38" s="50">
        <v>18025.0</v>
      </c>
      <c r="G38" s="52">
        <f t="shared" si="3"/>
        <v>0.9944827586</v>
      </c>
      <c r="H38" s="78"/>
      <c r="I38" s="78"/>
      <c r="J38" s="54"/>
      <c r="K38" s="76"/>
      <c r="L38" s="74"/>
      <c r="M38" s="74"/>
      <c r="N38" s="77"/>
      <c r="O38" s="55"/>
      <c r="P38" s="74"/>
      <c r="Q38" s="74"/>
      <c r="R38" s="8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</row>
    <row r="39" ht="15.75" customHeight="1">
      <c r="A39" s="57">
        <f t="shared" si="19"/>
        <v>45823</v>
      </c>
      <c r="B39" s="48">
        <v>19.0</v>
      </c>
      <c r="C39" s="49">
        <f t="shared" si="1"/>
        <v>0.95</v>
      </c>
      <c r="D39" s="50">
        <v>18125.0</v>
      </c>
      <c r="E39" s="130">
        <f t="shared" si="18"/>
        <v>953.9473684</v>
      </c>
      <c r="F39" s="50">
        <v>18025.0</v>
      </c>
      <c r="G39" s="52">
        <f t="shared" si="3"/>
        <v>0.9944827586</v>
      </c>
      <c r="H39" s="58"/>
      <c r="I39" s="58"/>
      <c r="J39" s="54"/>
      <c r="K39" s="55"/>
      <c r="L39" s="78"/>
      <c r="M39" s="78"/>
      <c r="N39" s="55"/>
      <c r="O39" s="55"/>
      <c r="P39" s="74"/>
      <c r="Q39" s="74"/>
      <c r="R39" s="8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</row>
    <row r="40" ht="15.75" customHeight="1">
      <c r="A40" s="57">
        <f t="shared" si="19"/>
        <v>45830</v>
      </c>
      <c r="B40" s="48">
        <v>19.0</v>
      </c>
      <c r="C40" s="49">
        <f t="shared" si="1"/>
        <v>0.95</v>
      </c>
      <c r="D40" s="50">
        <v>18125.0</v>
      </c>
      <c r="E40" s="130">
        <f t="shared" si="18"/>
        <v>953.9473684</v>
      </c>
      <c r="F40" s="50">
        <v>18025.0</v>
      </c>
      <c r="G40" s="52">
        <f t="shared" si="3"/>
        <v>0.9944827586</v>
      </c>
      <c r="H40" s="58"/>
      <c r="I40" s="58"/>
      <c r="J40" s="54"/>
      <c r="K40" s="55"/>
      <c r="L40" s="58"/>
      <c r="M40" s="58"/>
      <c r="N40" s="55"/>
      <c r="O40" s="55"/>
      <c r="P40" s="74"/>
      <c r="Q40" s="74"/>
      <c r="R40" s="8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</row>
    <row r="41" ht="15.75" customHeight="1">
      <c r="A41" s="57">
        <f t="shared" si="19"/>
        <v>45837</v>
      </c>
      <c r="B41" s="48">
        <v>19.0</v>
      </c>
      <c r="C41" s="49">
        <f t="shared" si="1"/>
        <v>0.95</v>
      </c>
      <c r="D41" s="50">
        <v>18125.0</v>
      </c>
      <c r="E41" s="130">
        <f t="shared" si="18"/>
        <v>953.9473684</v>
      </c>
      <c r="F41" s="50">
        <v>18025.0</v>
      </c>
      <c r="G41" s="52">
        <f t="shared" si="3"/>
        <v>0.9944827586</v>
      </c>
      <c r="H41" s="82"/>
      <c r="I41" s="82"/>
      <c r="J41" s="54"/>
      <c r="K41" s="55"/>
      <c r="L41" s="82"/>
      <c r="M41" s="82"/>
      <c r="N41" s="55"/>
      <c r="O41" s="55"/>
      <c r="P41" s="118"/>
      <c r="Q41" s="118"/>
      <c r="R41" s="8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</row>
    <row r="42" ht="15.75" customHeight="1">
      <c r="A42" s="61" t="s">
        <v>51</v>
      </c>
      <c r="B42" s="120">
        <v>19.0</v>
      </c>
      <c r="C42" s="63">
        <f t="shared" si="1"/>
        <v>0.95</v>
      </c>
      <c r="D42" s="64">
        <v>18000.0</v>
      </c>
      <c r="E42" s="131">
        <f>D42/B42</f>
        <v>947.3684211</v>
      </c>
      <c r="F42" s="68">
        <v>18000.0</v>
      </c>
      <c r="G42" s="66">
        <f t="shared" si="3"/>
        <v>1</v>
      </c>
      <c r="H42" s="83">
        <v>11643.0</v>
      </c>
      <c r="I42" s="70">
        <v>18000.0</v>
      </c>
      <c r="J42" s="68">
        <f>IF(H42=0,"",H42-I42)</f>
        <v>-6357</v>
      </c>
      <c r="K42" s="69">
        <f>IFERROR((H42-I42)/H42,"")</f>
        <v>-0.5459933007</v>
      </c>
      <c r="L42" s="83">
        <v>26152.0</v>
      </c>
      <c r="M42" s="67">
        <v>16100.0</v>
      </c>
      <c r="N42" s="68">
        <f>IF(L42=0,"",L42-M42)</f>
        <v>10052</v>
      </c>
      <c r="O42" s="69">
        <f>IFERROR((L42-M42)/L42,"")</f>
        <v>0.3843683084</v>
      </c>
      <c r="P42" s="119">
        <f t="shared" ref="P42:Q42" si="20">H42-L42</f>
        <v>-14509</v>
      </c>
      <c r="Q42" s="67">
        <f t="shared" si="20"/>
        <v>1900</v>
      </c>
      <c r="R42" s="71" t="s">
        <v>80</v>
      </c>
      <c r="S42" s="106"/>
      <c r="T42" s="106"/>
      <c r="U42" s="106"/>
      <c r="V42" s="106"/>
      <c r="W42" s="106"/>
      <c r="X42" s="106"/>
      <c r="Y42" s="106"/>
      <c r="Z42" s="106"/>
      <c r="AA42" s="106"/>
      <c r="AB42" s="106"/>
    </row>
    <row r="43" ht="15.75" customHeight="1">
      <c r="A43" s="57">
        <f>A41+7</f>
        <v>45844</v>
      </c>
      <c r="B43" s="48">
        <v>19.0</v>
      </c>
      <c r="C43" s="49">
        <f t="shared" si="1"/>
        <v>0.95</v>
      </c>
      <c r="D43" s="50">
        <v>18175.0</v>
      </c>
      <c r="E43" s="130">
        <f t="shared" ref="E43:E46" si="21">IFERROR(D43/B43,"")</f>
        <v>956.5789474</v>
      </c>
      <c r="F43" s="50">
        <v>16750.0</v>
      </c>
      <c r="G43" s="52">
        <f t="shared" si="3"/>
        <v>0.9215955983</v>
      </c>
      <c r="H43" s="53"/>
      <c r="I43" s="53"/>
      <c r="J43" s="54"/>
      <c r="K43" s="55"/>
      <c r="L43" s="53"/>
      <c r="M43" s="53"/>
      <c r="N43" s="55"/>
      <c r="O43" s="55"/>
      <c r="P43" s="115"/>
      <c r="Q43" s="115"/>
      <c r="R43" s="8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</row>
    <row r="44" ht="15.75" customHeight="1">
      <c r="A44" s="57">
        <f t="shared" ref="A44:A46" si="22">A43+7</f>
        <v>45851</v>
      </c>
      <c r="B44" s="48">
        <v>20.0</v>
      </c>
      <c r="C44" s="49">
        <f t="shared" si="1"/>
        <v>1</v>
      </c>
      <c r="D44" s="50">
        <v>19175.0</v>
      </c>
      <c r="E44" s="130">
        <f t="shared" si="21"/>
        <v>958.75</v>
      </c>
      <c r="F44" s="50">
        <v>17750.0</v>
      </c>
      <c r="G44" s="52">
        <f t="shared" si="3"/>
        <v>0.925684485</v>
      </c>
      <c r="H44" s="58"/>
      <c r="I44" s="58"/>
      <c r="J44" s="54"/>
      <c r="K44" s="55"/>
      <c r="L44" s="58"/>
      <c r="M44" s="58"/>
      <c r="N44" s="55"/>
      <c r="O44" s="55"/>
      <c r="P44" s="74"/>
      <c r="Q44" s="74"/>
      <c r="R44" s="8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</row>
    <row r="45" ht="15.75" customHeight="1">
      <c r="A45" s="57">
        <f t="shared" si="22"/>
        <v>45858</v>
      </c>
      <c r="B45" s="48">
        <v>20.0</v>
      </c>
      <c r="C45" s="49">
        <f t="shared" si="1"/>
        <v>1</v>
      </c>
      <c r="D45" s="50">
        <v>19175.0</v>
      </c>
      <c r="E45" s="130">
        <f t="shared" si="21"/>
        <v>958.75</v>
      </c>
      <c r="F45" s="50">
        <v>17750.0</v>
      </c>
      <c r="G45" s="52">
        <f t="shared" si="3"/>
        <v>0.925684485</v>
      </c>
      <c r="H45" s="58"/>
      <c r="I45" s="58"/>
      <c r="J45" s="54"/>
      <c r="K45" s="55"/>
      <c r="L45" s="58"/>
      <c r="M45" s="58"/>
      <c r="N45" s="55"/>
      <c r="O45" s="55"/>
      <c r="P45" s="74"/>
      <c r="Q45" s="74"/>
      <c r="R45" s="8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</row>
    <row r="46" ht="15.75" customHeight="1">
      <c r="A46" s="57">
        <f t="shared" si="22"/>
        <v>45865</v>
      </c>
      <c r="B46" s="48">
        <v>20.0</v>
      </c>
      <c r="C46" s="49">
        <f t="shared" si="1"/>
        <v>1</v>
      </c>
      <c r="D46" s="50">
        <v>19175.0</v>
      </c>
      <c r="E46" s="130">
        <f t="shared" si="21"/>
        <v>958.75</v>
      </c>
      <c r="F46" s="50">
        <v>18200.0</v>
      </c>
      <c r="G46" s="52">
        <f t="shared" si="3"/>
        <v>0.9491525424</v>
      </c>
      <c r="H46" s="82"/>
      <c r="I46" s="82"/>
      <c r="J46" s="54"/>
      <c r="K46" s="55"/>
      <c r="L46" s="82"/>
      <c r="M46" s="82"/>
      <c r="N46" s="55"/>
      <c r="O46" s="55"/>
      <c r="P46" s="118"/>
      <c r="Q46" s="118"/>
      <c r="R46" s="8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</row>
    <row r="47" ht="15.75" customHeight="1">
      <c r="A47" s="61" t="s">
        <v>51</v>
      </c>
      <c r="B47" s="120">
        <v>19.0</v>
      </c>
      <c r="C47" s="63">
        <f t="shared" si="1"/>
        <v>0.95</v>
      </c>
      <c r="D47" s="64">
        <v>18000.0</v>
      </c>
      <c r="E47" s="131">
        <f>D47/B47</f>
        <v>947.3684211</v>
      </c>
      <c r="F47" s="68">
        <v>18000.0</v>
      </c>
      <c r="G47" s="66">
        <f t="shared" si="3"/>
        <v>1</v>
      </c>
      <c r="H47" s="83">
        <v>19704.0</v>
      </c>
      <c r="I47" s="70">
        <v>18000.0</v>
      </c>
      <c r="J47" s="68">
        <f>IF(H47=0,"",H47-I47)</f>
        <v>1704</v>
      </c>
      <c r="K47" s="69">
        <f>IFERROR((H47-I47)/H47,"")</f>
        <v>0.08647990256</v>
      </c>
      <c r="L47" s="83">
        <v>19647.0</v>
      </c>
      <c r="M47" s="67">
        <v>16100.0</v>
      </c>
      <c r="N47" s="68">
        <f>IF(L47=0,"",L47-M47)</f>
        <v>3547</v>
      </c>
      <c r="O47" s="69">
        <f>IFERROR((L47-M47)/L47,"")</f>
        <v>0.1805364687</v>
      </c>
      <c r="P47" s="119">
        <f t="shared" ref="P47:Q47" si="23">H47-L47</f>
        <v>57</v>
      </c>
      <c r="Q47" s="67">
        <f t="shared" si="23"/>
        <v>1900</v>
      </c>
      <c r="R47" s="71" t="s">
        <v>81</v>
      </c>
      <c r="S47" s="106"/>
      <c r="T47" s="106"/>
      <c r="U47" s="106"/>
      <c r="V47" s="106"/>
      <c r="W47" s="106"/>
      <c r="X47" s="106"/>
      <c r="Y47" s="106"/>
      <c r="Z47" s="106"/>
      <c r="AA47" s="106"/>
      <c r="AB47" s="106"/>
    </row>
    <row r="48" ht="15.75" customHeight="1">
      <c r="A48" s="57">
        <f>A46+7</f>
        <v>45872</v>
      </c>
      <c r="B48" s="48">
        <v>20.0</v>
      </c>
      <c r="C48" s="49">
        <f t="shared" si="1"/>
        <v>1</v>
      </c>
      <c r="D48" s="50">
        <v>19275.0</v>
      </c>
      <c r="E48" s="130">
        <f t="shared" ref="E48:E52" si="24">IFERROR(D48/B48,"")</f>
        <v>963.75</v>
      </c>
      <c r="F48" s="50">
        <v>16318.0</v>
      </c>
      <c r="G48" s="52">
        <f t="shared" si="3"/>
        <v>0.8465888457</v>
      </c>
      <c r="H48" s="132"/>
      <c r="I48" s="53"/>
      <c r="J48" s="54"/>
      <c r="K48" s="55"/>
      <c r="L48" s="53"/>
      <c r="M48" s="53"/>
      <c r="N48" s="55"/>
      <c r="O48" s="55"/>
      <c r="P48" s="115"/>
      <c r="Q48" s="115"/>
      <c r="R48" s="8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</row>
    <row r="49" ht="15.75" customHeight="1">
      <c r="A49" s="57">
        <f t="shared" ref="A49:A52" si="25">A48+7</f>
        <v>45879</v>
      </c>
      <c r="B49" s="48">
        <v>20.0</v>
      </c>
      <c r="C49" s="49">
        <f t="shared" si="1"/>
        <v>1</v>
      </c>
      <c r="D49" s="50">
        <v>19275.0</v>
      </c>
      <c r="E49" s="130">
        <f t="shared" si="24"/>
        <v>963.75</v>
      </c>
      <c r="F49" s="50">
        <v>17293.0</v>
      </c>
      <c r="G49" s="52">
        <f t="shared" si="3"/>
        <v>0.8971725032</v>
      </c>
      <c r="H49" s="58"/>
      <c r="I49" s="58"/>
      <c r="J49" s="54"/>
      <c r="K49" s="55"/>
      <c r="L49" s="58"/>
      <c r="M49" s="58"/>
      <c r="N49" s="55"/>
      <c r="O49" s="55"/>
      <c r="P49" s="74"/>
      <c r="Q49" s="74"/>
      <c r="R49" s="8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</row>
    <row r="50" ht="15.75" customHeight="1">
      <c r="A50" s="57">
        <f t="shared" si="25"/>
        <v>45886</v>
      </c>
      <c r="B50" s="48">
        <v>20.0</v>
      </c>
      <c r="C50" s="49">
        <f t="shared" si="1"/>
        <v>1</v>
      </c>
      <c r="D50" s="50">
        <v>19275.0</v>
      </c>
      <c r="E50" s="130">
        <f t="shared" si="24"/>
        <v>963.75</v>
      </c>
      <c r="F50" s="50">
        <v>17293.0</v>
      </c>
      <c r="G50" s="52">
        <f t="shared" si="3"/>
        <v>0.8971725032</v>
      </c>
      <c r="H50" s="58"/>
      <c r="I50" s="58"/>
      <c r="J50" s="54"/>
      <c r="K50" s="55"/>
      <c r="L50" s="58"/>
      <c r="M50" s="58"/>
      <c r="N50" s="55"/>
      <c r="O50" s="55"/>
      <c r="P50" s="74"/>
      <c r="Q50" s="74"/>
      <c r="R50" s="8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</row>
    <row r="51" ht="15.75" customHeight="1">
      <c r="A51" s="57">
        <f t="shared" si="25"/>
        <v>45893</v>
      </c>
      <c r="B51" s="48">
        <v>20.0</v>
      </c>
      <c r="C51" s="49">
        <f t="shared" si="1"/>
        <v>1</v>
      </c>
      <c r="D51" s="50">
        <v>19275.0</v>
      </c>
      <c r="E51" s="130">
        <f t="shared" si="24"/>
        <v>963.75</v>
      </c>
      <c r="F51" s="50">
        <v>17293.0</v>
      </c>
      <c r="G51" s="52">
        <f t="shared" si="3"/>
        <v>0.8971725032</v>
      </c>
      <c r="H51" s="60"/>
      <c r="I51" s="60"/>
      <c r="J51" s="54"/>
      <c r="K51" s="55"/>
      <c r="L51" s="58"/>
      <c r="M51" s="58"/>
      <c r="N51" s="55"/>
      <c r="O51" s="55"/>
      <c r="P51" s="74"/>
      <c r="Q51" s="74"/>
      <c r="R51" s="8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</row>
    <row r="52" ht="15.75" customHeight="1">
      <c r="A52" s="57">
        <f t="shared" si="25"/>
        <v>45900</v>
      </c>
      <c r="B52" s="48">
        <v>20.0</v>
      </c>
      <c r="C52" s="49">
        <f t="shared" si="1"/>
        <v>1</v>
      </c>
      <c r="D52" s="50">
        <v>19275.0</v>
      </c>
      <c r="E52" s="130">
        <f t="shared" si="24"/>
        <v>963.75</v>
      </c>
      <c r="F52" s="50">
        <v>17293.0</v>
      </c>
      <c r="G52" s="72">
        <f t="shared" si="3"/>
        <v>0.8971725032</v>
      </c>
      <c r="H52" s="74"/>
      <c r="I52" s="80"/>
      <c r="J52" s="75"/>
      <c r="K52" s="55"/>
      <c r="L52" s="60"/>
      <c r="M52" s="60"/>
      <c r="N52" s="55"/>
      <c r="O52" s="55"/>
      <c r="P52" s="74"/>
      <c r="Q52" s="74"/>
      <c r="R52" s="8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</row>
    <row r="53" ht="15.75" customHeight="1">
      <c r="A53" s="61" t="s">
        <v>51</v>
      </c>
      <c r="B53" s="120">
        <v>19.0</v>
      </c>
      <c r="C53" s="63">
        <f t="shared" si="1"/>
        <v>0.95</v>
      </c>
      <c r="D53" s="64">
        <v>18000.0</v>
      </c>
      <c r="E53" s="131">
        <f>D53/B53</f>
        <v>947.3684211</v>
      </c>
      <c r="F53" s="68">
        <v>18000.0</v>
      </c>
      <c r="G53" s="66">
        <f t="shared" si="3"/>
        <v>1</v>
      </c>
      <c r="H53" s="67">
        <v>22028.0</v>
      </c>
      <c r="I53" s="70">
        <v>18000.0</v>
      </c>
      <c r="J53" s="68">
        <f>IF(H53=0,"",H53-I53)</f>
        <v>4028</v>
      </c>
      <c r="K53" s="69">
        <f>IFERROR((H53-I53)/H53,"")</f>
        <v>0.1828581805</v>
      </c>
      <c r="L53" s="67">
        <v>15481.0</v>
      </c>
      <c r="M53" s="67">
        <v>16100.0</v>
      </c>
      <c r="N53" s="68">
        <f>IF(L53=0,"",L53-M53)</f>
        <v>-619</v>
      </c>
      <c r="O53" s="69">
        <f>IFERROR((L53-M53)/L53,"")</f>
        <v>-0.03998449713</v>
      </c>
      <c r="P53" s="70">
        <f t="shared" ref="P53:Q53" si="26">H53-L53</f>
        <v>6547</v>
      </c>
      <c r="Q53" s="67">
        <f t="shared" si="26"/>
        <v>1900</v>
      </c>
      <c r="R53" s="87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</row>
    <row r="54" ht="15.75" customHeight="1">
      <c r="A54" s="57">
        <f>A52+7</f>
        <v>45907</v>
      </c>
      <c r="B54" s="48">
        <v>20.0</v>
      </c>
      <c r="C54" s="49">
        <f t="shared" si="1"/>
        <v>1</v>
      </c>
      <c r="D54" s="50">
        <v>19275.0</v>
      </c>
      <c r="E54" s="130">
        <f t="shared" ref="E54:E57" si="27">IFERROR(D54/B54,"")</f>
        <v>963.75</v>
      </c>
      <c r="F54" s="50">
        <v>19275.0</v>
      </c>
      <c r="G54" s="52">
        <f t="shared" si="3"/>
        <v>1</v>
      </c>
      <c r="H54" s="78"/>
      <c r="I54" s="78"/>
      <c r="J54" s="54"/>
      <c r="K54" s="76"/>
      <c r="L54" s="74"/>
      <c r="M54" s="74"/>
      <c r="N54" s="77"/>
      <c r="O54" s="55"/>
      <c r="P54" s="74"/>
      <c r="Q54" s="74"/>
      <c r="R54" s="8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</row>
    <row r="55" ht="15.75" customHeight="1">
      <c r="A55" s="57">
        <f t="shared" ref="A55:A57" si="28">A54+7</f>
        <v>45914</v>
      </c>
      <c r="B55" s="48">
        <v>20.0</v>
      </c>
      <c r="C55" s="49">
        <f t="shared" si="1"/>
        <v>1</v>
      </c>
      <c r="D55" s="50">
        <v>19275.0</v>
      </c>
      <c r="E55" s="130">
        <f t="shared" si="27"/>
        <v>963.75</v>
      </c>
      <c r="F55" s="50">
        <v>19275.0</v>
      </c>
      <c r="G55" s="52">
        <f t="shared" si="3"/>
        <v>1</v>
      </c>
      <c r="H55" s="58"/>
      <c r="I55" s="58"/>
      <c r="J55" s="54"/>
      <c r="K55" s="55"/>
      <c r="L55" s="78"/>
      <c r="M55" s="78"/>
      <c r="N55" s="55"/>
      <c r="O55" s="55"/>
      <c r="P55" s="74"/>
      <c r="Q55" s="74"/>
      <c r="R55" s="8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</row>
    <row r="56" ht="15.75" customHeight="1">
      <c r="A56" s="57">
        <f t="shared" si="28"/>
        <v>45921</v>
      </c>
      <c r="B56" s="48">
        <v>20.0</v>
      </c>
      <c r="C56" s="49">
        <f t="shared" si="1"/>
        <v>1</v>
      </c>
      <c r="D56" s="50">
        <v>19275.0</v>
      </c>
      <c r="E56" s="130">
        <f t="shared" si="27"/>
        <v>963.75</v>
      </c>
      <c r="F56" s="50">
        <v>19275.0</v>
      </c>
      <c r="G56" s="52">
        <f t="shared" si="3"/>
        <v>1</v>
      </c>
      <c r="H56" s="58"/>
      <c r="I56" s="58"/>
      <c r="J56" s="54"/>
      <c r="K56" s="55"/>
      <c r="L56" s="58"/>
      <c r="M56" s="58"/>
      <c r="N56" s="55"/>
      <c r="O56" s="55"/>
      <c r="P56" s="74"/>
      <c r="Q56" s="74"/>
      <c r="R56" s="8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</row>
    <row r="57" ht="15.75" customHeight="1">
      <c r="A57" s="57">
        <f t="shared" si="28"/>
        <v>45928</v>
      </c>
      <c r="B57" s="48">
        <v>20.0</v>
      </c>
      <c r="C57" s="49">
        <f t="shared" si="1"/>
        <v>1</v>
      </c>
      <c r="D57" s="50">
        <v>19275.0</v>
      </c>
      <c r="E57" s="130">
        <f t="shared" si="27"/>
        <v>963.75</v>
      </c>
      <c r="F57" s="50">
        <v>19275.0</v>
      </c>
      <c r="G57" s="52">
        <f t="shared" si="3"/>
        <v>1</v>
      </c>
      <c r="H57" s="82"/>
      <c r="I57" s="82"/>
      <c r="J57" s="54"/>
      <c r="K57" s="55"/>
      <c r="L57" s="82"/>
      <c r="M57" s="82"/>
      <c r="N57" s="55"/>
      <c r="O57" s="55"/>
      <c r="P57" s="118"/>
      <c r="Q57" s="118"/>
      <c r="R57" s="8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</row>
    <row r="58" ht="15.75" customHeight="1">
      <c r="A58" s="61" t="s">
        <v>51</v>
      </c>
      <c r="B58" s="120">
        <v>19.0</v>
      </c>
      <c r="C58" s="63">
        <f t="shared" si="1"/>
        <v>0.95</v>
      </c>
      <c r="D58" s="64">
        <v>18000.0</v>
      </c>
      <c r="E58" s="131">
        <f>D58/B58</f>
        <v>947.3684211</v>
      </c>
      <c r="F58" s="68">
        <v>18000.0</v>
      </c>
      <c r="G58" s="66">
        <f t="shared" si="3"/>
        <v>1</v>
      </c>
      <c r="H58" s="83">
        <v>16468.0</v>
      </c>
      <c r="I58" s="70">
        <v>18000.0</v>
      </c>
      <c r="J58" s="68">
        <f>IF(H58=0,"",H58-I58)</f>
        <v>-1532</v>
      </c>
      <c r="K58" s="69">
        <f>IFERROR((H58-I58)/H58,"")</f>
        <v>-0.09302890454</v>
      </c>
      <c r="L58" s="83">
        <v>25728.0</v>
      </c>
      <c r="M58" s="67">
        <v>16100.0</v>
      </c>
      <c r="N58" s="68">
        <f>IF(L58=0,"",L58-M58)</f>
        <v>9628</v>
      </c>
      <c r="O58" s="69">
        <f>IFERROR((L58-M58)/L58,"")</f>
        <v>0.3742226368</v>
      </c>
      <c r="P58" s="119">
        <f t="shared" ref="P58:Q58" si="29">H58-L58</f>
        <v>-9260</v>
      </c>
      <c r="Q58" s="67">
        <f t="shared" si="29"/>
        <v>1900</v>
      </c>
      <c r="R58" s="71" t="s">
        <v>82</v>
      </c>
      <c r="S58" s="106"/>
      <c r="T58" s="106"/>
      <c r="U58" s="106"/>
      <c r="V58" s="106"/>
      <c r="W58" s="106"/>
      <c r="X58" s="106"/>
      <c r="Y58" s="106"/>
      <c r="Z58" s="106"/>
      <c r="AA58" s="106"/>
      <c r="AB58" s="106"/>
    </row>
    <row r="59" ht="15.75" customHeight="1">
      <c r="A59" s="57">
        <f>A57+7</f>
        <v>45935</v>
      </c>
      <c r="B59" s="48">
        <v>20.0</v>
      </c>
      <c r="C59" s="49">
        <f t="shared" si="1"/>
        <v>1</v>
      </c>
      <c r="D59" s="50">
        <v>19275.0</v>
      </c>
      <c r="E59" s="130">
        <f t="shared" ref="E59:E62" si="30">IFERROR(D59/B59,"")</f>
        <v>963.75</v>
      </c>
      <c r="F59" s="50">
        <v>16390.0</v>
      </c>
      <c r="G59" s="52">
        <f t="shared" si="3"/>
        <v>0.8503242542</v>
      </c>
      <c r="H59" s="53"/>
      <c r="I59" s="53"/>
      <c r="J59" s="54"/>
      <c r="K59" s="55"/>
      <c r="L59" s="53"/>
      <c r="M59" s="53"/>
      <c r="N59" s="55"/>
      <c r="O59" s="55"/>
      <c r="P59" s="115"/>
      <c r="Q59" s="115"/>
      <c r="R59" s="8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</row>
    <row r="60" ht="15.75" customHeight="1">
      <c r="A60" s="57">
        <f t="shared" ref="A60:A62" si="31">A59+7</f>
        <v>45942</v>
      </c>
      <c r="B60" s="48">
        <v>20.0</v>
      </c>
      <c r="C60" s="49">
        <f t="shared" si="1"/>
        <v>1</v>
      </c>
      <c r="D60" s="50">
        <v>19275.0</v>
      </c>
      <c r="E60" s="130">
        <f t="shared" si="30"/>
        <v>963.75</v>
      </c>
      <c r="F60" s="50">
        <v>18120.0</v>
      </c>
      <c r="G60" s="52">
        <f t="shared" si="3"/>
        <v>0.940077821</v>
      </c>
      <c r="H60" s="58"/>
      <c r="I60" s="58"/>
      <c r="J60" s="54"/>
      <c r="K60" s="55"/>
      <c r="L60" s="58"/>
      <c r="M60" s="58"/>
      <c r="N60" s="55"/>
      <c r="O60" s="55"/>
      <c r="P60" s="74"/>
      <c r="Q60" s="74"/>
      <c r="R60" s="8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</row>
    <row r="61" ht="15.75" customHeight="1">
      <c r="A61" s="57">
        <f t="shared" si="31"/>
        <v>45949</v>
      </c>
      <c r="B61" s="48">
        <v>20.0</v>
      </c>
      <c r="C61" s="49">
        <f t="shared" si="1"/>
        <v>1</v>
      </c>
      <c r="D61" s="50">
        <v>19275.0</v>
      </c>
      <c r="E61" s="130">
        <f t="shared" si="30"/>
        <v>963.75</v>
      </c>
      <c r="F61" s="50">
        <v>18595.0</v>
      </c>
      <c r="G61" s="52">
        <f t="shared" si="3"/>
        <v>0.9647211414</v>
      </c>
      <c r="H61" s="58"/>
      <c r="I61" s="58"/>
      <c r="J61" s="54"/>
      <c r="K61" s="55"/>
      <c r="L61" s="58"/>
      <c r="M61" s="58"/>
      <c r="N61" s="55"/>
      <c r="O61" s="55"/>
      <c r="P61" s="74"/>
      <c r="Q61" s="74"/>
      <c r="R61" s="8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</row>
    <row r="62" ht="15.75" customHeight="1">
      <c r="A62" s="57">
        <f t="shared" si="31"/>
        <v>45956</v>
      </c>
      <c r="B62" s="48">
        <v>20.0</v>
      </c>
      <c r="C62" s="49">
        <f t="shared" si="1"/>
        <v>1</v>
      </c>
      <c r="D62" s="50">
        <v>19275.0</v>
      </c>
      <c r="E62" s="130">
        <f t="shared" si="30"/>
        <v>963.75</v>
      </c>
      <c r="F62" s="50">
        <v>18595.0</v>
      </c>
      <c r="G62" s="52">
        <f t="shared" si="3"/>
        <v>0.9647211414</v>
      </c>
      <c r="H62" s="60"/>
      <c r="I62" s="60"/>
      <c r="J62" s="54"/>
      <c r="K62" s="55"/>
      <c r="L62" s="58"/>
      <c r="M62" s="58"/>
      <c r="N62" s="55"/>
      <c r="O62" s="55"/>
      <c r="P62" s="74"/>
      <c r="Q62" s="74"/>
      <c r="R62" s="8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</row>
    <row r="63" ht="15.75" customHeight="1">
      <c r="A63" s="61" t="s">
        <v>51</v>
      </c>
      <c r="B63" s="120">
        <v>19.0</v>
      </c>
      <c r="C63" s="121">
        <f t="shared" si="1"/>
        <v>0.95</v>
      </c>
      <c r="D63" s="64">
        <v>18000.0</v>
      </c>
      <c r="E63" s="131">
        <f>D63/B63</f>
        <v>947.3684211</v>
      </c>
      <c r="F63" s="68">
        <v>18000.0</v>
      </c>
      <c r="G63" s="66">
        <f t="shared" si="3"/>
        <v>1</v>
      </c>
      <c r="H63" s="67">
        <v>22356.0</v>
      </c>
      <c r="I63" s="70">
        <v>18000.0</v>
      </c>
      <c r="J63" s="68">
        <f>IF(H63=0,"",H63-I63)</f>
        <v>4356</v>
      </c>
      <c r="K63" s="69">
        <f>IFERROR((H63-I63)/H63,"")</f>
        <v>0.1948470209</v>
      </c>
      <c r="L63" s="67">
        <v>14925.0</v>
      </c>
      <c r="M63" s="67">
        <v>16100.0</v>
      </c>
      <c r="N63" s="68">
        <f>IF(L63=0,"",L63-M63)</f>
        <v>-1175</v>
      </c>
      <c r="O63" s="69">
        <f>IFERROR((L63-M63)/L63,"")</f>
        <v>-0.07872696817</v>
      </c>
      <c r="P63" s="70">
        <f t="shared" ref="P63:Q63" si="32">H63-L63</f>
        <v>7431</v>
      </c>
      <c r="Q63" s="67">
        <f t="shared" si="32"/>
        <v>1900</v>
      </c>
      <c r="R63" s="87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</row>
    <row r="64" ht="15.75" customHeight="1">
      <c r="A64" s="57">
        <f>A62+7</f>
        <v>45963</v>
      </c>
      <c r="B64" s="48">
        <v>20.0</v>
      </c>
      <c r="C64" s="49">
        <f t="shared" si="1"/>
        <v>1</v>
      </c>
      <c r="D64" s="50">
        <v>19275.0</v>
      </c>
      <c r="E64" s="130">
        <f t="shared" ref="E64:E68" si="33">IFERROR(D64/B64,"")</f>
        <v>963.75</v>
      </c>
      <c r="F64" s="50">
        <v>14305.0</v>
      </c>
      <c r="G64" s="79">
        <f t="shared" si="3"/>
        <v>0.742153048</v>
      </c>
      <c r="H64" s="81"/>
      <c r="I64" s="74"/>
      <c r="J64" s="75"/>
      <c r="K64" s="55"/>
      <c r="L64" s="60"/>
      <c r="M64" s="60"/>
      <c r="N64" s="55"/>
      <c r="O64" s="55"/>
      <c r="P64" s="74"/>
      <c r="Q64" s="74"/>
      <c r="R64" s="8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</row>
    <row r="65" ht="15.75" customHeight="1">
      <c r="A65" s="57">
        <f t="shared" ref="A65:A68" si="34">A64+7</f>
        <v>45970</v>
      </c>
      <c r="B65" s="48">
        <v>20.0</v>
      </c>
      <c r="C65" s="49">
        <f t="shared" si="1"/>
        <v>1</v>
      </c>
      <c r="D65" s="50">
        <v>19275.0</v>
      </c>
      <c r="E65" s="130">
        <f t="shared" si="33"/>
        <v>963.75</v>
      </c>
      <c r="F65" s="50">
        <v>18220.0</v>
      </c>
      <c r="G65" s="52">
        <f t="shared" si="3"/>
        <v>0.9452658885</v>
      </c>
      <c r="H65" s="78"/>
      <c r="I65" s="78"/>
      <c r="J65" s="54"/>
      <c r="K65" s="55"/>
      <c r="L65" s="80"/>
      <c r="M65" s="81"/>
      <c r="N65" s="55"/>
      <c r="O65" s="55"/>
      <c r="P65" s="74"/>
      <c r="Q65" s="81"/>
      <c r="R65" s="8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</row>
    <row r="66" ht="15.75" customHeight="1">
      <c r="A66" s="57">
        <f t="shared" si="34"/>
        <v>45977</v>
      </c>
      <c r="B66" s="48">
        <v>20.0</v>
      </c>
      <c r="C66" s="49">
        <f t="shared" si="1"/>
        <v>1</v>
      </c>
      <c r="D66" s="50">
        <v>19275.0</v>
      </c>
      <c r="E66" s="130">
        <f t="shared" si="33"/>
        <v>963.75</v>
      </c>
      <c r="F66" s="50">
        <v>19220.0</v>
      </c>
      <c r="G66" s="52">
        <f t="shared" si="3"/>
        <v>0.9971465629</v>
      </c>
      <c r="H66" s="58"/>
      <c r="I66" s="58"/>
      <c r="J66" s="54"/>
      <c r="K66" s="55"/>
      <c r="L66" s="78"/>
      <c r="M66" s="78"/>
      <c r="N66" s="55"/>
      <c r="O66" s="55"/>
      <c r="P66" s="74"/>
      <c r="Q66" s="74"/>
      <c r="R66" s="8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</row>
    <row r="67" ht="15.75" customHeight="1">
      <c r="A67" s="57">
        <f t="shared" si="34"/>
        <v>45984</v>
      </c>
      <c r="B67" s="48">
        <v>19.0</v>
      </c>
      <c r="C67" s="49">
        <f t="shared" si="1"/>
        <v>0.95</v>
      </c>
      <c r="D67" s="50">
        <v>18300.0</v>
      </c>
      <c r="E67" s="130">
        <f t="shared" si="33"/>
        <v>963.1578947</v>
      </c>
      <c r="F67" s="50">
        <v>19220.0</v>
      </c>
      <c r="G67" s="52">
        <f t="shared" si="3"/>
        <v>1.050273224</v>
      </c>
      <c r="H67" s="60"/>
      <c r="I67" s="60"/>
      <c r="J67" s="54"/>
      <c r="K67" s="55"/>
      <c r="L67" s="58"/>
      <c r="M67" s="58"/>
      <c r="N67" s="55"/>
      <c r="O67" s="55"/>
      <c r="P67" s="74"/>
      <c r="Q67" s="74"/>
      <c r="R67" s="8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</row>
    <row r="68" ht="15.75" customHeight="1">
      <c r="A68" s="57">
        <f t="shared" si="34"/>
        <v>45991</v>
      </c>
      <c r="B68" s="48">
        <v>19.0</v>
      </c>
      <c r="C68" s="49">
        <f t="shared" si="1"/>
        <v>0.95</v>
      </c>
      <c r="D68" s="50">
        <v>18300.0</v>
      </c>
      <c r="E68" s="130">
        <f t="shared" si="33"/>
        <v>963.1578947</v>
      </c>
      <c r="F68" s="50">
        <v>19220.0</v>
      </c>
      <c r="G68" s="79">
        <f t="shared" si="3"/>
        <v>1.050273224</v>
      </c>
      <c r="H68" s="81"/>
      <c r="I68" s="74"/>
      <c r="J68" s="75"/>
      <c r="K68" s="55"/>
      <c r="L68" s="60"/>
      <c r="M68" s="60"/>
      <c r="N68" s="55"/>
      <c r="O68" s="55"/>
      <c r="P68" s="74"/>
      <c r="Q68" s="74"/>
      <c r="R68" s="8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</row>
    <row r="69" ht="15.75" customHeight="1">
      <c r="A69" s="61" t="s">
        <v>51</v>
      </c>
      <c r="B69" s="120">
        <v>19.0</v>
      </c>
      <c r="C69" s="121">
        <f t="shared" si="1"/>
        <v>0.95</v>
      </c>
      <c r="D69" s="68">
        <v>17775.0</v>
      </c>
      <c r="E69" s="131">
        <f>D69/B69</f>
        <v>935.5263158</v>
      </c>
      <c r="F69" s="68">
        <v>18000.0</v>
      </c>
      <c r="G69" s="66">
        <f t="shared" si="3"/>
        <v>1.012658228</v>
      </c>
      <c r="H69" s="70"/>
      <c r="I69" s="70">
        <v>18000.0</v>
      </c>
      <c r="J69" s="68" t="str">
        <f>IF(H69=0,"",H69-I69)</f>
        <v/>
      </c>
      <c r="K69" s="69" t="str">
        <f>IFERROR((H69-I69)/H69,"")</f>
        <v/>
      </c>
      <c r="L69" s="70"/>
      <c r="M69" s="67">
        <v>16100.0</v>
      </c>
      <c r="N69" s="68" t="str">
        <f>IF(L69=0,"",L69-M69)</f>
        <v/>
      </c>
      <c r="O69" s="69" t="str">
        <f>IFERROR((L69-M69)/L69,"")</f>
        <v/>
      </c>
      <c r="P69" s="70">
        <f t="shared" ref="P69:Q69" si="35">H69-L69</f>
        <v>0</v>
      </c>
      <c r="Q69" s="67">
        <f t="shared" si="35"/>
        <v>1900</v>
      </c>
      <c r="R69" s="87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</row>
    <row r="70" ht="15.75" customHeight="1">
      <c r="A70" s="57">
        <f>A68+7</f>
        <v>45998</v>
      </c>
      <c r="B70" s="89" t="s">
        <v>83</v>
      </c>
      <c r="C70" s="49">
        <f t="shared" si="1"/>
        <v>0.95</v>
      </c>
      <c r="D70" s="50">
        <v>18300.0</v>
      </c>
      <c r="E70" s="130">
        <f t="shared" ref="E70:E73" si="36">IFERROR(D70/B70,"")</f>
        <v>963.1578947</v>
      </c>
      <c r="F70" s="50">
        <v>18585.0</v>
      </c>
      <c r="G70" s="52">
        <f t="shared" si="3"/>
        <v>1.01557377</v>
      </c>
      <c r="H70" s="78"/>
      <c r="I70" s="78"/>
      <c r="J70" s="54"/>
      <c r="K70" s="76"/>
      <c r="L70" s="74"/>
      <c r="M70" s="74"/>
      <c r="N70" s="77"/>
      <c r="O70" s="55"/>
      <c r="P70" s="74"/>
      <c r="Q70" s="74"/>
      <c r="R70" s="8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</row>
    <row r="71" ht="15.75" customHeight="1">
      <c r="A71" s="57">
        <f t="shared" ref="A71:A73" si="37">A70+7</f>
        <v>46005</v>
      </c>
      <c r="B71" s="89" t="s">
        <v>83</v>
      </c>
      <c r="C71" s="49">
        <f t="shared" si="1"/>
        <v>0.95</v>
      </c>
      <c r="D71" s="50">
        <v>18300.0</v>
      </c>
      <c r="E71" s="130">
        <f t="shared" si="36"/>
        <v>963.1578947</v>
      </c>
      <c r="F71" s="50">
        <v>19070.0</v>
      </c>
      <c r="G71" s="52">
        <f t="shared" si="3"/>
        <v>1.042076503</v>
      </c>
      <c r="H71" s="58"/>
      <c r="I71" s="58"/>
      <c r="J71" s="54"/>
      <c r="K71" s="55"/>
      <c r="L71" s="78"/>
      <c r="M71" s="78"/>
      <c r="N71" s="55"/>
      <c r="O71" s="55"/>
      <c r="P71" s="74"/>
      <c r="Q71" s="74"/>
      <c r="R71" s="8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</row>
    <row r="72" ht="15.75" customHeight="1">
      <c r="A72" s="57">
        <f t="shared" si="37"/>
        <v>46012</v>
      </c>
      <c r="B72" s="90"/>
      <c r="C72" s="49" t="str">
        <f t="shared" si="1"/>
        <v/>
      </c>
      <c r="D72" s="91"/>
      <c r="E72" s="130" t="str">
        <f t="shared" si="36"/>
        <v/>
      </c>
      <c r="F72" s="91"/>
      <c r="G72" s="52" t="str">
        <f t="shared" si="3"/>
        <v/>
      </c>
      <c r="H72" s="58"/>
      <c r="I72" s="58"/>
      <c r="J72" s="54"/>
      <c r="K72" s="55"/>
      <c r="L72" s="58"/>
      <c r="M72" s="58"/>
      <c r="N72" s="55"/>
      <c r="O72" s="55"/>
      <c r="P72" s="74"/>
      <c r="Q72" s="74"/>
      <c r="R72" s="8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</row>
    <row r="73" ht="15.75" customHeight="1">
      <c r="A73" s="57">
        <f t="shared" si="37"/>
        <v>46019</v>
      </c>
      <c r="B73" s="90"/>
      <c r="C73" s="49" t="str">
        <f t="shared" si="1"/>
        <v/>
      </c>
      <c r="D73" s="91"/>
      <c r="E73" s="130" t="str">
        <f t="shared" si="36"/>
        <v/>
      </c>
      <c r="F73" s="91"/>
      <c r="G73" s="52" t="str">
        <f t="shared" si="3"/>
        <v/>
      </c>
      <c r="H73" s="82"/>
      <c r="I73" s="82"/>
      <c r="J73" s="54"/>
      <c r="K73" s="55"/>
      <c r="L73" s="82"/>
      <c r="M73" s="82"/>
      <c r="N73" s="55"/>
      <c r="O73" s="55"/>
      <c r="P73" s="118"/>
      <c r="Q73" s="118"/>
      <c r="R73" s="8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</row>
    <row r="74" ht="15.75" customHeight="1">
      <c r="A74" s="61" t="s">
        <v>51</v>
      </c>
      <c r="B74" s="120">
        <v>19.0</v>
      </c>
      <c r="C74" s="121">
        <f t="shared" si="1"/>
        <v>0.95</v>
      </c>
      <c r="D74" s="64">
        <v>18000.0</v>
      </c>
      <c r="E74" s="131">
        <f>D74/B74</f>
        <v>947.3684211</v>
      </c>
      <c r="F74" s="68">
        <v>18000.0</v>
      </c>
      <c r="G74" s="66">
        <f t="shared" si="3"/>
        <v>1</v>
      </c>
      <c r="H74" s="92"/>
      <c r="I74" s="70">
        <v>18000.0</v>
      </c>
      <c r="J74" s="68" t="str">
        <f t="shared" ref="J74:J75" si="41">IF(H74=0,"",H74-I74)</f>
        <v/>
      </c>
      <c r="K74" s="69" t="str">
        <f t="shared" ref="K74:K75" si="42">IFERROR((H74-I74)/H74,"")</f>
        <v/>
      </c>
      <c r="L74" s="92"/>
      <c r="M74" s="67">
        <v>16100.0</v>
      </c>
      <c r="N74" s="68" t="str">
        <f t="shared" ref="N74:N75" si="44">IF(L74=0,"",L74-M74)</f>
        <v/>
      </c>
      <c r="O74" s="69" t="str">
        <f t="shared" ref="O74:O75" si="45">IFERROR((L74-M74)/L74,"")</f>
        <v/>
      </c>
      <c r="P74" s="124">
        <f t="shared" ref="P74:Q74" si="38">H74-L74</f>
        <v>0</v>
      </c>
      <c r="Q74" s="67">
        <f t="shared" si="38"/>
        <v>1900</v>
      </c>
      <c r="R74" s="87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</row>
    <row r="75" ht="15.75" customHeight="1">
      <c r="A75" s="93" t="s">
        <v>61</v>
      </c>
      <c r="B75" s="133">
        <f t="shared" ref="B75:C75" si="39">AVERAGE(B15,B20,B26,B31,B36,B42,B47,B53,B58,B63,B69,B74)</f>
        <v>19</v>
      </c>
      <c r="C75" s="134">
        <f t="shared" si="39"/>
        <v>0.95</v>
      </c>
      <c r="D75" s="133">
        <f>sum(D15,D20,D26,D31,D36,D42,D47,D53,D58,D63,D69,D74)</f>
        <v>215775</v>
      </c>
      <c r="E75" s="133">
        <f>average(E15,E20,E26,E31,E36,E42,E47,E53,E58,E63,E69,E74)</f>
        <v>946.3815789</v>
      </c>
      <c r="F75" s="133">
        <f>SUM(F15,F20,F26,F31,F36,F42,F47,F53,F58,F63,F69,F74)</f>
        <v>216000</v>
      </c>
      <c r="G75" s="97">
        <f t="shared" si="3"/>
        <v>1.001042753</v>
      </c>
      <c r="H75" s="96">
        <f t="shared" ref="H75:I75" si="40">H15+H20+H26+H31+H36+H42+H47+H53+H58+H63+H69+H74</f>
        <v>200767</v>
      </c>
      <c r="I75" s="96">
        <f t="shared" si="40"/>
        <v>216000</v>
      </c>
      <c r="J75" s="96">
        <f t="shared" si="41"/>
        <v>-15233</v>
      </c>
      <c r="K75" s="95">
        <f t="shared" si="42"/>
        <v>-0.07587402312</v>
      </c>
      <c r="L75" s="96">
        <f t="shared" ref="L75:M75" si="43">L15+L20+L26+L31+L36+L42+L47+L53+L58+L63+L69+L74</f>
        <v>177422</v>
      </c>
      <c r="M75" s="96">
        <f t="shared" si="43"/>
        <v>193200</v>
      </c>
      <c r="N75" s="95">
        <f t="shared" si="44"/>
        <v>-15778</v>
      </c>
      <c r="O75" s="95">
        <f t="shared" si="45"/>
        <v>-0.0889292196</v>
      </c>
      <c r="P75" s="96">
        <f t="shared" ref="P75:Q75" si="46">SUM(P15,P20,P26,P31,P36,P42,P47,P53,P58,P63,P69,P74)</f>
        <v>23345</v>
      </c>
      <c r="Q75" s="96">
        <f t="shared" si="46"/>
        <v>22800</v>
      </c>
      <c r="R75" s="98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</row>
    <row r="76" ht="15.75" customHeight="1">
      <c r="A76" s="99" t="s">
        <v>62</v>
      </c>
      <c r="B76" s="100" t="s">
        <v>62</v>
      </c>
      <c r="C76" s="100" t="s">
        <v>62</v>
      </c>
      <c r="D76" s="101" t="s">
        <v>62</v>
      </c>
      <c r="E76" s="135" t="s">
        <v>62</v>
      </c>
      <c r="F76" s="101" t="s">
        <v>62</v>
      </c>
      <c r="G76" s="100" t="s">
        <v>62</v>
      </c>
      <c r="H76" s="102" t="s">
        <v>62</v>
      </c>
      <c r="I76" s="102" t="s">
        <v>62</v>
      </c>
      <c r="J76" s="102" t="s">
        <v>62</v>
      </c>
      <c r="K76" s="100" t="s">
        <v>62</v>
      </c>
      <c r="L76" s="102" t="s">
        <v>62</v>
      </c>
      <c r="M76" s="102" t="s">
        <v>62</v>
      </c>
      <c r="N76" s="100" t="s">
        <v>62</v>
      </c>
      <c r="O76" s="100" t="s">
        <v>62</v>
      </c>
      <c r="P76" s="102"/>
      <c r="Q76" s="102"/>
      <c r="R76" s="100" t="s">
        <v>62</v>
      </c>
      <c r="S76" s="106"/>
      <c r="T76" s="106"/>
      <c r="U76" s="106"/>
      <c r="V76" s="106"/>
      <c r="W76" s="106"/>
      <c r="X76" s="106"/>
      <c r="Y76" s="106"/>
      <c r="Z76" s="106"/>
      <c r="AA76" s="106"/>
      <c r="AB76" s="106"/>
    </row>
    <row r="77" ht="15.75" customHeight="1">
      <c r="A77" s="103"/>
      <c r="B77" s="104"/>
      <c r="C77" s="104"/>
      <c r="D77" s="105"/>
      <c r="E77" s="135"/>
      <c r="F77" s="107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</row>
    <row r="78" ht="15.75" customHeight="1">
      <c r="A78" s="103"/>
      <c r="B78" s="104"/>
      <c r="C78" s="104"/>
      <c r="D78" s="105"/>
      <c r="E78" s="135"/>
      <c r="F78" s="107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</row>
    <row r="79" ht="15.75" customHeight="1">
      <c r="A79" s="103"/>
      <c r="B79" s="104"/>
      <c r="C79" s="104"/>
      <c r="D79" s="105"/>
      <c r="E79" s="135"/>
      <c r="F79" s="107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</row>
    <row r="80" ht="15.75" customHeight="1">
      <c r="A80" s="103"/>
      <c r="B80" s="104"/>
      <c r="C80" s="104"/>
      <c r="D80" s="105"/>
      <c r="E80" s="135"/>
      <c r="F80" s="107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</row>
    <row r="81" ht="15.75" customHeight="1">
      <c r="A81" s="109"/>
      <c r="B81" s="104"/>
      <c r="C81" s="104"/>
      <c r="D81" s="105"/>
      <c r="E81" s="135"/>
      <c r="F81" s="107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</row>
    <row r="82" ht="15.75" customHeight="1">
      <c r="A82" s="109"/>
      <c r="B82" s="104"/>
      <c r="C82" s="104"/>
      <c r="D82" s="105"/>
      <c r="E82" s="135"/>
      <c r="F82" s="107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</row>
    <row r="83" ht="15.75" customHeight="1">
      <c r="A83" s="109"/>
      <c r="B83" s="104"/>
      <c r="C83" s="104"/>
      <c r="D83" s="105"/>
      <c r="E83" s="135"/>
      <c r="F83" s="107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</row>
    <row r="84" ht="15.75" customHeight="1">
      <c r="A84" s="109"/>
      <c r="B84" s="104"/>
      <c r="C84" s="104"/>
      <c r="D84" s="105"/>
      <c r="E84" s="135"/>
      <c r="F84" s="107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</row>
    <row r="85" ht="15.75" customHeight="1">
      <c r="A85" s="109"/>
      <c r="B85" s="104"/>
      <c r="C85" s="104"/>
      <c r="D85" s="105"/>
      <c r="E85" s="135"/>
      <c r="F85" s="107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</row>
    <row r="86" ht="15.75" customHeight="1">
      <c r="A86" s="109"/>
      <c r="B86" s="104"/>
      <c r="C86" s="104"/>
      <c r="D86" s="105"/>
      <c r="E86" s="135"/>
      <c r="F86" s="107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</row>
    <row r="87" ht="15.75" customHeight="1">
      <c r="A87" s="109"/>
      <c r="B87" s="104"/>
      <c r="C87" s="104"/>
      <c r="D87" s="105"/>
      <c r="E87" s="135"/>
      <c r="F87" s="107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</row>
    <row r="88" ht="15.75" customHeight="1">
      <c r="A88" s="109"/>
      <c r="B88" s="104"/>
      <c r="C88" s="104"/>
      <c r="D88" s="105"/>
      <c r="E88" s="135"/>
      <c r="F88" s="107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</row>
    <row r="89" ht="15.75" customHeight="1">
      <c r="A89" s="109"/>
      <c r="B89" s="104"/>
      <c r="C89" s="104"/>
      <c r="D89" s="105"/>
      <c r="E89" s="135"/>
      <c r="F89" s="107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</row>
    <row r="90" ht="15.75" customHeight="1">
      <c r="A90" s="109"/>
      <c r="B90" s="104"/>
      <c r="C90" s="104"/>
      <c r="D90" s="105"/>
      <c r="E90" s="135"/>
      <c r="F90" s="107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</row>
    <row r="91" ht="15.75" customHeight="1">
      <c r="A91" s="109"/>
      <c r="B91" s="104"/>
      <c r="C91" s="104"/>
      <c r="D91" s="105"/>
      <c r="E91" s="135"/>
      <c r="F91" s="107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</row>
    <row r="92" ht="15.75" customHeight="1">
      <c r="A92" s="109"/>
      <c r="B92" s="104"/>
      <c r="C92" s="104"/>
      <c r="D92" s="105"/>
      <c r="E92" s="135"/>
      <c r="F92" s="107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</row>
    <row r="93" ht="15.75" customHeight="1">
      <c r="A93" s="109"/>
      <c r="B93" s="104"/>
      <c r="C93" s="104"/>
      <c r="D93" s="105"/>
      <c r="E93" s="135"/>
      <c r="F93" s="107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</row>
    <row r="94" ht="15.75" customHeight="1">
      <c r="A94" s="109"/>
      <c r="B94" s="104"/>
      <c r="C94" s="104"/>
      <c r="D94" s="105"/>
      <c r="E94" s="135"/>
      <c r="F94" s="107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</row>
    <row r="95" ht="15.75" customHeight="1">
      <c r="A95" s="109"/>
      <c r="B95" s="104"/>
      <c r="C95" s="104"/>
      <c r="D95" s="105"/>
      <c r="E95" s="135"/>
      <c r="F95" s="107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</row>
    <row r="96" ht="15.75" customHeight="1">
      <c r="A96" s="109"/>
      <c r="B96" s="104"/>
      <c r="C96" s="104"/>
      <c r="D96" s="105"/>
      <c r="E96" s="135"/>
      <c r="F96" s="107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</row>
    <row r="97" ht="15.75" customHeight="1">
      <c r="A97" s="109"/>
      <c r="B97" s="104"/>
      <c r="C97" s="104"/>
      <c r="D97" s="105"/>
      <c r="E97" s="135"/>
      <c r="F97" s="107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</row>
    <row r="98" ht="15.75" customHeight="1">
      <c r="A98" s="109"/>
      <c r="B98" s="104"/>
      <c r="C98" s="104"/>
      <c r="D98" s="105"/>
      <c r="E98" s="135"/>
      <c r="F98" s="107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</row>
    <row r="99" ht="15.75" customHeight="1">
      <c r="A99" s="109"/>
      <c r="B99" s="104"/>
      <c r="C99" s="104"/>
      <c r="D99" s="105"/>
      <c r="E99" s="135"/>
      <c r="F99" s="107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</row>
    <row r="100" ht="15.75" customHeight="1">
      <c r="A100" s="109"/>
      <c r="B100" s="104"/>
      <c r="C100" s="104"/>
      <c r="D100" s="105"/>
      <c r="E100" s="135"/>
      <c r="F100" s="107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</row>
    <row r="101" ht="15.75" customHeight="1">
      <c r="A101" s="109"/>
      <c r="B101" s="104"/>
      <c r="C101" s="104"/>
      <c r="D101" s="105"/>
      <c r="E101" s="135"/>
      <c r="F101" s="107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</row>
    <row r="102" ht="15.75" customHeight="1">
      <c r="A102" s="109"/>
      <c r="B102" s="104"/>
      <c r="C102" s="104"/>
      <c r="D102" s="105"/>
      <c r="E102" s="135"/>
      <c r="F102" s="107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</row>
    <row r="103" ht="15.75" customHeight="1">
      <c r="A103" s="109"/>
      <c r="B103" s="104"/>
      <c r="C103" s="104"/>
      <c r="D103" s="105"/>
      <c r="E103" s="135"/>
      <c r="F103" s="107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</row>
    <row r="104" ht="15.75" customHeight="1">
      <c r="A104" s="109"/>
      <c r="B104" s="104"/>
      <c r="C104" s="104"/>
      <c r="D104" s="105"/>
      <c r="E104" s="135"/>
      <c r="F104" s="107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</row>
    <row r="105" ht="15.75" customHeight="1">
      <c r="A105" s="109"/>
      <c r="B105" s="104"/>
      <c r="C105" s="104"/>
      <c r="D105" s="105"/>
      <c r="E105" s="135"/>
      <c r="F105" s="107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</row>
    <row r="106" ht="15.75" customHeight="1">
      <c r="A106" s="109"/>
      <c r="B106" s="104"/>
      <c r="C106" s="104"/>
      <c r="D106" s="105"/>
      <c r="E106" s="135"/>
      <c r="F106" s="107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</row>
    <row r="107" ht="15.75" customHeight="1">
      <c r="A107" s="109"/>
      <c r="B107" s="104"/>
      <c r="C107" s="104"/>
      <c r="D107" s="105"/>
      <c r="E107" s="135"/>
      <c r="F107" s="107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</row>
    <row r="108" ht="15.75" customHeight="1">
      <c r="A108" s="109"/>
      <c r="B108" s="104"/>
      <c r="C108" s="104"/>
      <c r="D108" s="105"/>
      <c r="E108" s="135"/>
      <c r="F108" s="107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</row>
    <row r="109" ht="15.75" customHeight="1">
      <c r="A109" s="109"/>
      <c r="B109" s="104"/>
      <c r="C109" s="104"/>
      <c r="D109" s="105"/>
      <c r="E109" s="135"/>
      <c r="F109" s="107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</row>
    <row r="110" ht="15.75" customHeight="1">
      <c r="A110" s="109"/>
      <c r="B110" s="104"/>
      <c r="C110" s="104"/>
      <c r="D110" s="105"/>
      <c r="E110" s="135"/>
      <c r="F110" s="107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</row>
    <row r="111" ht="15.75" customHeight="1">
      <c r="A111" s="109"/>
      <c r="B111" s="104"/>
      <c r="C111" s="104"/>
      <c r="D111" s="105"/>
      <c r="E111" s="135"/>
      <c r="F111" s="107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</row>
    <row r="112" ht="15.75" customHeight="1">
      <c r="A112" s="109"/>
      <c r="B112" s="104"/>
      <c r="C112" s="104"/>
      <c r="D112" s="105"/>
      <c r="E112" s="135"/>
      <c r="F112" s="107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</row>
    <row r="113" ht="15.75" customHeight="1">
      <c r="A113" s="109"/>
      <c r="B113" s="104"/>
      <c r="C113" s="104"/>
      <c r="D113" s="105"/>
      <c r="E113" s="135"/>
      <c r="F113" s="107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</row>
    <row r="114" ht="15.75" customHeight="1">
      <c r="A114" s="109"/>
      <c r="B114" s="104"/>
      <c r="C114" s="104"/>
      <c r="D114" s="105"/>
      <c r="E114" s="135"/>
      <c r="F114" s="107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</row>
    <row r="115" ht="15.75" customHeight="1">
      <c r="A115" s="109"/>
      <c r="B115" s="104"/>
      <c r="C115" s="104"/>
      <c r="D115" s="105"/>
      <c r="E115" s="135"/>
      <c r="F115" s="107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</row>
    <row r="116" ht="15.75" customHeight="1">
      <c r="A116" s="109"/>
      <c r="B116" s="104"/>
      <c r="C116" s="104"/>
      <c r="D116" s="105"/>
      <c r="E116" s="135"/>
      <c r="F116" s="107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</row>
    <row r="117" ht="15.75" customHeight="1">
      <c r="A117" s="109"/>
      <c r="B117" s="104"/>
      <c r="C117" s="104"/>
      <c r="D117" s="105"/>
      <c r="E117" s="135"/>
      <c r="F117" s="107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</row>
    <row r="118" ht="15.75" customHeight="1">
      <c r="A118" s="109"/>
      <c r="B118" s="104"/>
      <c r="C118" s="104"/>
      <c r="D118" s="105"/>
      <c r="E118" s="135"/>
      <c r="F118" s="107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</row>
    <row r="119" ht="15.75" customHeight="1">
      <c r="A119" s="109"/>
      <c r="B119" s="104"/>
      <c r="C119" s="104"/>
      <c r="D119" s="105"/>
      <c r="E119" s="135"/>
      <c r="F119" s="107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</row>
    <row r="120" ht="15.75" customHeight="1">
      <c r="A120" s="109"/>
      <c r="B120" s="104"/>
      <c r="C120" s="104"/>
      <c r="D120" s="105"/>
      <c r="E120" s="135"/>
      <c r="F120" s="107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</row>
    <row r="121" ht="15.75" customHeight="1">
      <c r="A121" s="109"/>
      <c r="B121" s="104"/>
      <c r="C121" s="104"/>
      <c r="D121" s="105"/>
      <c r="E121" s="135"/>
      <c r="F121" s="107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</row>
    <row r="122" ht="15.75" customHeight="1">
      <c r="A122" s="109"/>
      <c r="B122" s="104"/>
      <c r="C122" s="104"/>
      <c r="D122" s="105"/>
      <c r="E122" s="135"/>
      <c r="F122" s="107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</row>
    <row r="123" ht="15.75" customHeight="1">
      <c r="A123" s="109"/>
      <c r="B123" s="104"/>
      <c r="C123" s="104"/>
      <c r="D123" s="105"/>
      <c r="E123" s="135"/>
      <c r="F123" s="107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</row>
    <row r="124" ht="15.75" customHeight="1">
      <c r="A124" s="109"/>
      <c r="B124" s="104"/>
      <c r="C124" s="104"/>
      <c r="D124" s="105"/>
      <c r="E124" s="135"/>
      <c r="F124" s="107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</row>
    <row r="125" ht="15.75" customHeight="1">
      <c r="A125" s="109"/>
      <c r="B125" s="104"/>
      <c r="C125" s="104"/>
      <c r="D125" s="105"/>
      <c r="E125" s="135"/>
      <c r="F125" s="107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</row>
    <row r="126" ht="15.75" customHeight="1">
      <c r="A126" s="109"/>
      <c r="B126" s="104"/>
      <c r="C126" s="104"/>
      <c r="D126" s="105"/>
      <c r="E126" s="135"/>
      <c r="F126" s="107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</row>
    <row r="127" ht="15.75" customHeight="1">
      <c r="A127" s="109"/>
      <c r="B127" s="104"/>
      <c r="C127" s="104"/>
      <c r="D127" s="105"/>
      <c r="E127" s="135"/>
      <c r="F127" s="107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</row>
    <row r="128" ht="15.75" customHeight="1">
      <c r="A128" s="109"/>
      <c r="B128" s="104"/>
      <c r="C128" s="104"/>
      <c r="D128" s="105"/>
      <c r="E128" s="135"/>
      <c r="F128" s="107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</row>
    <row r="129" ht="15.75" customHeight="1">
      <c r="A129" s="109"/>
      <c r="B129" s="104"/>
      <c r="C129" s="104"/>
      <c r="D129" s="105"/>
      <c r="E129" s="135"/>
      <c r="F129" s="107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</row>
    <row r="130" ht="15.75" customHeight="1">
      <c r="A130" s="109"/>
      <c r="B130" s="104"/>
      <c r="C130" s="104"/>
      <c r="D130" s="105"/>
      <c r="E130" s="135"/>
      <c r="F130" s="107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</row>
    <row r="131" ht="15.75" customHeight="1">
      <c r="A131" s="109"/>
      <c r="B131" s="104"/>
      <c r="C131" s="104"/>
      <c r="D131" s="105"/>
      <c r="E131" s="135"/>
      <c r="F131" s="107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</row>
    <row r="132" ht="15.75" customHeight="1">
      <c r="A132" s="109"/>
      <c r="B132" s="104"/>
      <c r="C132" s="104"/>
      <c r="D132" s="105"/>
      <c r="E132" s="135"/>
      <c r="F132" s="107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</row>
    <row r="133" ht="15.75" customHeight="1">
      <c r="A133" s="109"/>
      <c r="B133" s="104"/>
      <c r="C133" s="104"/>
      <c r="D133" s="105"/>
      <c r="E133" s="135"/>
      <c r="F133" s="107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</row>
    <row r="134" ht="15.75" customHeight="1">
      <c r="A134" s="109"/>
      <c r="B134" s="104"/>
      <c r="C134" s="104"/>
      <c r="D134" s="105"/>
      <c r="E134" s="135"/>
      <c r="F134" s="107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</row>
    <row r="135" ht="15.75" customHeight="1">
      <c r="A135" s="109"/>
      <c r="B135" s="104"/>
      <c r="C135" s="104"/>
      <c r="D135" s="105"/>
      <c r="E135" s="135"/>
      <c r="F135" s="107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</row>
    <row r="136" ht="15.75" customHeight="1">
      <c r="A136" s="109"/>
      <c r="B136" s="104"/>
      <c r="C136" s="104"/>
      <c r="D136" s="105"/>
      <c r="E136" s="135"/>
      <c r="F136" s="107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</row>
    <row r="137" ht="15.75" customHeight="1">
      <c r="A137" s="109"/>
      <c r="B137" s="104"/>
      <c r="C137" s="104"/>
      <c r="D137" s="105"/>
      <c r="E137" s="135"/>
      <c r="F137" s="107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</row>
    <row r="138" ht="15.75" customHeight="1">
      <c r="A138" s="109"/>
      <c r="B138" s="104"/>
      <c r="C138" s="104"/>
      <c r="D138" s="105"/>
      <c r="E138" s="135"/>
      <c r="F138" s="107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</row>
    <row r="139" ht="15.75" customHeight="1">
      <c r="A139" s="109"/>
      <c r="B139" s="104"/>
      <c r="C139" s="104"/>
      <c r="D139" s="105"/>
      <c r="E139" s="135"/>
      <c r="F139" s="107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</row>
    <row r="140" ht="15.75" customHeight="1">
      <c r="A140" s="109"/>
      <c r="B140" s="104"/>
      <c r="C140" s="104"/>
      <c r="D140" s="105"/>
      <c r="E140" s="135"/>
      <c r="F140" s="107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</row>
    <row r="141" ht="15.75" customHeight="1">
      <c r="A141" s="109"/>
      <c r="B141" s="104"/>
      <c r="C141" s="104"/>
      <c r="D141" s="105"/>
      <c r="E141" s="135"/>
      <c r="F141" s="107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</row>
    <row r="142" ht="15.75" customHeight="1">
      <c r="A142" s="109"/>
      <c r="B142" s="104"/>
      <c r="C142" s="104"/>
      <c r="D142" s="105"/>
      <c r="E142" s="135"/>
      <c r="F142" s="107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</row>
    <row r="143" ht="15.75" customHeight="1">
      <c r="A143" s="109"/>
      <c r="B143" s="104"/>
      <c r="C143" s="104"/>
      <c r="D143" s="105"/>
      <c r="E143" s="135"/>
      <c r="F143" s="107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</row>
    <row r="144" ht="15.75" customHeight="1">
      <c r="A144" s="109"/>
      <c r="B144" s="104"/>
      <c r="C144" s="104"/>
      <c r="D144" s="105"/>
      <c r="E144" s="135"/>
      <c r="F144" s="107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</row>
    <row r="145" ht="15.75" customHeight="1">
      <c r="A145" s="109"/>
      <c r="B145" s="104"/>
      <c r="C145" s="104"/>
      <c r="D145" s="105"/>
      <c r="E145" s="135"/>
      <c r="F145" s="107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</row>
    <row r="146" ht="15.75" customHeight="1">
      <c r="A146" s="109"/>
      <c r="B146" s="104"/>
      <c r="C146" s="104"/>
      <c r="D146" s="105"/>
      <c r="E146" s="135"/>
      <c r="F146" s="107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</row>
    <row r="147" ht="15.75" customHeight="1">
      <c r="A147" s="109"/>
      <c r="B147" s="104"/>
      <c r="C147" s="104"/>
      <c r="D147" s="105"/>
      <c r="E147" s="135"/>
      <c r="F147" s="107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</row>
    <row r="148" ht="15.75" customHeight="1">
      <c r="A148" s="109"/>
      <c r="B148" s="104"/>
      <c r="C148" s="104"/>
      <c r="D148" s="105"/>
      <c r="E148" s="135"/>
      <c r="F148" s="107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</row>
    <row r="149" ht="15.75" customHeight="1">
      <c r="A149" s="109"/>
      <c r="B149" s="104"/>
      <c r="C149" s="104"/>
      <c r="D149" s="105"/>
      <c r="E149" s="135"/>
      <c r="F149" s="107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</row>
    <row r="150" ht="15.75" customHeight="1">
      <c r="A150" s="109"/>
      <c r="B150" s="104"/>
      <c r="C150" s="104"/>
      <c r="D150" s="105"/>
      <c r="E150" s="135"/>
      <c r="F150" s="107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</row>
    <row r="151" ht="15.75" customHeight="1">
      <c r="A151" s="109"/>
      <c r="B151" s="104"/>
      <c r="C151" s="104"/>
      <c r="D151" s="105"/>
      <c r="E151" s="135"/>
      <c r="F151" s="107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</row>
    <row r="152" ht="15.75" customHeight="1">
      <c r="A152" s="109"/>
      <c r="B152" s="104"/>
      <c r="C152" s="104"/>
      <c r="D152" s="105"/>
      <c r="E152" s="135"/>
      <c r="F152" s="107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</row>
    <row r="153" ht="15.75" customHeight="1">
      <c r="A153" s="109"/>
      <c r="B153" s="104"/>
      <c r="C153" s="104"/>
      <c r="D153" s="105"/>
      <c r="E153" s="135"/>
      <c r="F153" s="107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</row>
    <row r="154" ht="15.75" customHeight="1">
      <c r="A154" s="109"/>
      <c r="B154" s="104"/>
      <c r="C154" s="104"/>
      <c r="D154" s="105"/>
      <c r="E154" s="135"/>
      <c r="F154" s="107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</row>
    <row r="155" ht="15.75" customHeight="1">
      <c r="A155" s="109"/>
      <c r="B155" s="104"/>
      <c r="C155" s="104"/>
      <c r="D155" s="105"/>
      <c r="E155" s="135"/>
      <c r="F155" s="107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</row>
    <row r="156" ht="15.75" customHeight="1">
      <c r="A156" s="109"/>
      <c r="B156" s="104"/>
      <c r="C156" s="104"/>
      <c r="D156" s="105"/>
      <c r="E156" s="135"/>
      <c r="F156" s="107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</row>
    <row r="157" ht="15.75" customHeight="1">
      <c r="A157" s="109"/>
      <c r="B157" s="104"/>
      <c r="C157" s="104"/>
      <c r="D157" s="105"/>
      <c r="E157" s="135"/>
      <c r="F157" s="107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</row>
    <row r="158" ht="15.75" customHeight="1">
      <c r="A158" s="109"/>
      <c r="B158" s="104"/>
      <c r="C158" s="104"/>
      <c r="D158" s="105"/>
      <c r="E158" s="135"/>
      <c r="F158" s="107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</row>
    <row r="159" ht="15.75" customHeight="1">
      <c r="A159" s="109"/>
      <c r="B159" s="104"/>
      <c r="C159" s="104"/>
      <c r="D159" s="105"/>
      <c r="E159" s="135"/>
      <c r="F159" s="107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</row>
    <row r="160" ht="15.75" customHeight="1">
      <c r="A160" s="109"/>
      <c r="B160" s="104"/>
      <c r="C160" s="104"/>
      <c r="D160" s="105"/>
      <c r="E160" s="135"/>
      <c r="F160" s="107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</row>
    <row r="161" ht="15.75" customHeight="1">
      <c r="A161" s="109"/>
      <c r="B161" s="104"/>
      <c r="C161" s="104"/>
      <c r="D161" s="105"/>
      <c r="E161" s="135"/>
      <c r="F161" s="107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</row>
    <row r="162" ht="15.75" customHeight="1">
      <c r="A162" s="109"/>
      <c r="B162" s="104"/>
      <c r="C162" s="104"/>
      <c r="D162" s="105"/>
      <c r="E162" s="135"/>
      <c r="F162" s="107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</row>
    <row r="163" ht="15.75" customHeight="1">
      <c r="A163" s="109"/>
      <c r="B163" s="104"/>
      <c r="C163" s="104"/>
      <c r="D163" s="105"/>
      <c r="E163" s="135"/>
      <c r="F163" s="107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</row>
    <row r="164" ht="15.75" customHeight="1">
      <c r="A164" s="109"/>
      <c r="B164" s="104"/>
      <c r="C164" s="104"/>
      <c r="D164" s="105"/>
      <c r="E164" s="135"/>
      <c r="F164" s="107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</row>
    <row r="165" ht="15.75" customHeight="1">
      <c r="A165" s="109"/>
      <c r="B165" s="104"/>
      <c r="C165" s="104"/>
      <c r="D165" s="105"/>
      <c r="E165" s="135"/>
      <c r="F165" s="107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</row>
    <row r="166" ht="15.75" customHeight="1">
      <c r="A166" s="109"/>
      <c r="B166" s="104"/>
      <c r="C166" s="104"/>
      <c r="D166" s="105"/>
      <c r="E166" s="135"/>
      <c r="F166" s="107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</row>
    <row r="167" ht="15.75" customHeight="1">
      <c r="A167" s="109"/>
      <c r="B167" s="104"/>
      <c r="C167" s="104"/>
      <c r="D167" s="105"/>
      <c r="E167" s="135"/>
      <c r="F167" s="107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</row>
    <row r="168" ht="15.75" customHeight="1">
      <c r="A168" s="109"/>
      <c r="B168" s="104"/>
      <c r="C168" s="104"/>
      <c r="D168" s="105"/>
      <c r="E168" s="135"/>
      <c r="F168" s="107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</row>
    <row r="169" ht="15.75" customHeight="1">
      <c r="A169" s="109"/>
      <c r="B169" s="104"/>
      <c r="C169" s="104"/>
      <c r="D169" s="105"/>
      <c r="E169" s="135"/>
      <c r="F169" s="107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</row>
    <row r="170" ht="15.75" customHeight="1">
      <c r="A170" s="109"/>
      <c r="B170" s="104"/>
      <c r="C170" s="104"/>
      <c r="D170" s="105"/>
      <c r="E170" s="135"/>
      <c r="F170" s="107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</row>
    <row r="171" ht="15.75" customHeight="1">
      <c r="A171" s="109"/>
      <c r="B171" s="104"/>
      <c r="C171" s="104"/>
      <c r="D171" s="105"/>
      <c r="E171" s="135"/>
      <c r="F171" s="107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</row>
    <row r="172" ht="15.75" customHeight="1">
      <c r="A172" s="109"/>
      <c r="B172" s="104"/>
      <c r="C172" s="104"/>
      <c r="D172" s="105"/>
      <c r="E172" s="135"/>
      <c r="F172" s="107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</row>
    <row r="173" ht="15.75" customHeight="1">
      <c r="A173" s="109"/>
      <c r="B173" s="104"/>
      <c r="C173" s="104"/>
      <c r="D173" s="105"/>
      <c r="E173" s="135"/>
      <c r="F173" s="107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</row>
    <row r="174" ht="15.75" customHeight="1">
      <c r="A174" s="109"/>
      <c r="B174" s="104"/>
      <c r="C174" s="104"/>
      <c r="D174" s="105"/>
      <c r="E174" s="135"/>
      <c r="F174" s="107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</row>
    <row r="175" ht="15.75" customHeight="1">
      <c r="A175" s="109"/>
      <c r="B175" s="104"/>
      <c r="C175" s="104"/>
      <c r="D175" s="105"/>
      <c r="E175" s="135"/>
      <c r="F175" s="107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</row>
    <row r="176" ht="15.75" customHeight="1">
      <c r="A176" s="109"/>
      <c r="B176" s="104"/>
      <c r="C176" s="104"/>
      <c r="D176" s="105"/>
      <c r="E176" s="135"/>
      <c r="F176" s="107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</row>
    <row r="177" ht="15.75" customHeight="1">
      <c r="A177" s="109"/>
      <c r="B177" s="104"/>
      <c r="C177" s="104"/>
      <c r="D177" s="105"/>
      <c r="E177" s="135"/>
      <c r="F177" s="107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</row>
    <row r="178" ht="15.75" customHeight="1">
      <c r="A178" s="109"/>
      <c r="B178" s="104"/>
      <c r="C178" s="104"/>
      <c r="D178" s="105"/>
      <c r="E178" s="135"/>
      <c r="F178" s="107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</row>
    <row r="179" ht="15.75" customHeight="1">
      <c r="A179" s="109"/>
      <c r="B179" s="104"/>
      <c r="C179" s="104"/>
      <c r="D179" s="105"/>
      <c r="E179" s="135"/>
      <c r="F179" s="107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</row>
    <row r="180" ht="15.75" customHeight="1">
      <c r="A180" s="109"/>
      <c r="B180" s="104"/>
      <c r="C180" s="104"/>
      <c r="D180" s="105"/>
      <c r="E180" s="135"/>
      <c r="F180" s="107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</row>
    <row r="181" ht="15.75" customHeight="1">
      <c r="A181" s="109"/>
      <c r="B181" s="104"/>
      <c r="C181" s="104"/>
      <c r="D181" s="105"/>
      <c r="E181" s="135"/>
      <c r="F181" s="107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</row>
    <row r="182" ht="15.75" customHeight="1">
      <c r="A182" s="109"/>
      <c r="B182" s="104"/>
      <c r="C182" s="104"/>
      <c r="D182" s="105"/>
      <c r="E182" s="135"/>
      <c r="F182" s="107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</row>
    <row r="183" ht="15.75" customHeight="1">
      <c r="A183" s="109"/>
      <c r="B183" s="104"/>
      <c r="C183" s="104"/>
      <c r="D183" s="105"/>
      <c r="E183" s="135"/>
      <c r="F183" s="107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</row>
    <row r="184" ht="15.75" customHeight="1">
      <c r="A184" s="109"/>
      <c r="B184" s="104"/>
      <c r="C184" s="104"/>
      <c r="D184" s="105"/>
      <c r="E184" s="135"/>
      <c r="F184" s="107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</row>
    <row r="185" ht="15.75" customHeight="1">
      <c r="A185" s="109"/>
      <c r="B185" s="104"/>
      <c r="C185" s="104"/>
      <c r="D185" s="105"/>
      <c r="E185" s="135"/>
      <c r="F185" s="107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</row>
    <row r="186" ht="15.75" customHeight="1">
      <c r="A186" s="109"/>
      <c r="B186" s="104"/>
      <c r="C186" s="104"/>
      <c r="D186" s="105"/>
      <c r="E186" s="135"/>
      <c r="F186" s="107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</row>
    <row r="187" ht="15.75" customHeight="1">
      <c r="A187" s="109"/>
      <c r="B187" s="104"/>
      <c r="C187" s="104"/>
      <c r="D187" s="105"/>
      <c r="E187" s="135"/>
      <c r="F187" s="107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</row>
    <row r="188" ht="15.75" customHeight="1">
      <c r="A188" s="109"/>
      <c r="B188" s="104"/>
      <c r="C188" s="104"/>
      <c r="D188" s="105"/>
      <c r="E188" s="135"/>
      <c r="F188" s="107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</row>
    <row r="189" ht="15.75" customHeight="1">
      <c r="A189" s="109"/>
      <c r="B189" s="104"/>
      <c r="C189" s="104"/>
      <c r="D189" s="105"/>
      <c r="E189" s="135"/>
      <c r="F189" s="107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</row>
    <row r="190" ht="15.75" customHeight="1">
      <c r="A190" s="109"/>
      <c r="B190" s="104"/>
      <c r="C190" s="104"/>
      <c r="D190" s="105"/>
      <c r="E190" s="135"/>
      <c r="F190" s="107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</row>
    <row r="191" ht="15.75" customHeight="1">
      <c r="A191" s="109"/>
      <c r="B191" s="104"/>
      <c r="C191" s="104"/>
      <c r="D191" s="105"/>
      <c r="E191" s="135"/>
      <c r="F191" s="107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</row>
    <row r="192" ht="15.75" customHeight="1">
      <c r="A192" s="109"/>
      <c r="B192" s="104"/>
      <c r="C192" s="104"/>
      <c r="D192" s="105"/>
      <c r="E192" s="135"/>
      <c r="F192" s="107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</row>
    <row r="193" ht="15.75" customHeight="1">
      <c r="A193" s="109"/>
      <c r="B193" s="104"/>
      <c r="C193" s="104"/>
      <c r="D193" s="105"/>
      <c r="E193" s="135"/>
      <c r="F193" s="107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</row>
    <row r="194" ht="15.75" customHeight="1">
      <c r="A194" s="109"/>
      <c r="B194" s="104"/>
      <c r="C194" s="104"/>
      <c r="D194" s="105"/>
      <c r="E194" s="135"/>
      <c r="F194" s="107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</row>
    <row r="195" ht="15.75" customHeight="1">
      <c r="A195" s="109"/>
      <c r="B195" s="104"/>
      <c r="C195" s="104"/>
      <c r="D195" s="105"/>
      <c r="E195" s="135"/>
      <c r="F195" s="107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</row>
    <row r="196" ht="15.75" customHeight="1">
      <c r="A196" s="109"/>
      <c r="B196" s="104"/>
      <c r="C196" s="104"/>
      <c r="D196" s="105"/>
      <c r="E196" s="135"/>
      <c r="F196" s="107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</row>
    <row r="197" ht="15.75" customHeight="1">
      <c r="A197" s="109"/>
      <c r="B197" s="104"/>
      <c r="C197" s="104"/>
      <c r="D197" s="105"/>
      <c r="E197" s="135"/>
      <c r="F197" s="107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</row>
    <row r="198" ht="15.75" customHeight="1">
      <c r="A198" s="109"/>
      <c r="B198" s="104"/>
      <c r="C198" s="104"/>
      <c r="D198" s="105"/>
      <c r="E198" s="135"/>
      <c r="F198" s="107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</row>
    <row r="199" ht="15.75" customHeight="1">
      <c r="A199" s="109"/>
      <c r="B199" s="104"/>
      <c r="C199" s="104"/>
      <c r="D199" s="105"/>
      <c r="E199" s="135"/>
      <c r="F199" s="107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</row>
    <row r="200" ht="15.75" customHeight="1">
      <c r="A200" s="109"/>
      <c r="B200" s="104"/>
      <c r="C200" s="104"/>
      <c r="D200" s="105"/>
      <c r="E200" s="135"/>
      <c r="F200" s="107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</row>
    <row r="201" ht="15.75" customHeight="1">
      <c r="A201" s="109"/>
      <c r="B201" s="104"/>
      <c r="C201" s="104"/>
      <c r="D201" s="105"/>
      <c r="E201" s="135"/>
      <c r="F201" s="107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</row>
    <row r="202" ht="15.75" customHeight="1">
      <c r="A202" s="109"/>
      <c r="B202" s="104"/>
      <c r="C202" s="104"/>
      <c r="D202" s="105"/>
      <c r="E202" s="135"/>
      <c r="F202" s="107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</row>
    <row r="203" ht="15.75" customHeight="1">
      <c r="A203" s="109"/>
      <c r="B203" s="104"/>
      <c r="C203" s="104"/>
      <c r="D203" s="105"/>
      <c r="E203" s="135"/>
      <c r="F203" s="107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</row>
    <row r="204" ht="15.75" customHeight="1">
      <c r="A204" s="109"/>
      <c r="B204" s="104"/>
      <c r="C204" s="104"/>
      <c r="D204" s="105"/>
      <c r="E204" s="135"/>
      <c r="F204" s="107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</row>
    <row r="205" ht="15.75" customHeight="1">
      <c r="A205" s="109"/>
      <c r="B205" s="104"/>
      <c r="C205" s="104"/>
      <c r="D205" s="105"/>
      <c r="E205" s="135"/>
      <c r="F205" s="107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</row>
    <row r="206" ht="15.75" customHeight="1">
      <c r="A206" s="109"/>
      <c r="B206" s="104"/>
      <c r="C206" s="104"/>
      <c r="D206" s="105"/>
      <c r="E206" s="135"/>
      <c r="F206" s="107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</row>
    <row r="207" ht="15.75" customHeight="1">
      <c r="A207" s="109"/>
      <c r="B207" s="104"/>
      <c r="C207" s="104"/>
      <c r="D207" s="105"/>
      <c r="E207" s="135"/>
      <c r="F207" s="107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</row>
    <row r="208" ht="15.75" customHeight="1">
      <c r="A208" s="109"/>
      <c r="B208" s="104"/>
      <c r="C208" s="104"/>
      <c r="D208" s="105"/>
      <c r="E208" s="135"/>
      <c r="F208" s="107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</row>
    <row r="209" ht="15.75" customHeight="1">
      <c r="A209" s="109"/>
      <c r="B209" s="104"/>
      <c r="C209" s="104"/>
      <c r="D209" s="105"/>
      <c r="E209" s="135"/>
      <c r="F209" s="107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</row>
    <row r="210" ht="15.75" customHeight="1">
      <c r="A210" s="109"/>
      <c r="B210" s="104"/>
      <c r="C210" s="104"/>
      <c r="D210" s="105"/>
      <c r="E210" s="135"/>
      <c r="F210" s="107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</row>
    <row r="211" ht="15.75" customHeight="1">
      <c r="A211" s="109"/>
      <c r="B211" s="104"/>
      <c r="C211" s="104"/>
      <c r="D211" s="105"/>
      <c r="E211" s="135"/>
      <c r="F211" s="107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</row>
    <row r="212" ht="15.75" customHeight="1">
      <c r="A212" s="109"/>
      <c r="B212" s="104"/>
      <c r="C212" s="104"/>
      <c r="D212" s="105"/>
      <c r="E212" s="135"/>
      <c r="F212" s="107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</row>
    <row r="213" ht="15.75" customHeight="1">
      <c r="A213" s="109"/>
      <c r="B213" s="104"/>
      <c r="C213" s="104"/>
      <c r="D213" s="105"/>
      <c r="E213" s="135"/>
      <c r="F213" s="107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</row>
    <row r="214" ht="15.75" customHeight="1">
      <c r="A214" s="109"/>
      <c r="B214" s="104"/>
      <c r="C214" s="104"/>
      <c r="D214" s="105"/>
      <c r="E214" s="135"/>
      <c r="F214" s="107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</row>
    <row r="215" ht="15.75" customHeight="1">
      <c r="A215" s="109"/>
      <c r="B215" s="104"/>
      <c r="C215" s="104"/>
      <c r="D215" s="105"/>
      <c r="E215" s="135"/>
      <c r="F215" s="107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</row>
    <row r="216" ht="15.75" customHeight="1">
      <c r="A216" s="109"/>
      <c r="B216" s="104"/>
      <c r="C216" s="104"/>
      <c r="D216" s="105"/>
      <c r="E216" s="135"/>
      <c r="F216" s="107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</row>
    <row r="217" ht="15.75" customHeight="1">
      <c r="A217" s="109"/>
      <c r="B217" s="104"/>
      <c r="C217" s="104"/>
      <c r="D217" s="105"/>
      <c r="E217" s="135"/>
      <c r="F217" s="107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</row>
    <row r="218" ht="15.75" customHeight="1">
      <c r="A218" s="109"/>
      <c r="B218" s="104"/>
      <c r="C218" s="104"/>
      <c r="D218" s="105"/>
      <c r="E218" s="135"/>
      <c r="F218" s="107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</row>
    <row r="219" ht="15.75" customHeight="1">
      <c r="A219" s="109"/>
      <c r="B219" s="104"/>
      <c r="C219" s="104"/>
      <c r="D219" s="105"/>
      <c r="E219" s="135"/>
      <c r="F219" s="107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</row>
    <row r="220" ht="15.75" customHeight="1">
      <c r="A220" s="109"/>
      <c r="B220" s="104"/>
      <c r="C220" s="104"/>
      <c r="D220" s="105"/>
      <c r="E220" s="135"/>
      <c r="F220" s="107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</row>
    <row r="221" ht="15.75" customHeight="1">
      <c r="A221" s="109"/>
      <c r="B221" s="104"/>
      <c r="C221" s="104"/>
      <c r="D221" s="105"/>
      <c r="E221" s="135"/>
      <c r="F221" s="107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</row>
    <row r="222" ht="15.75" customHeight="1">
      <c r="A222" s="109"/>
      <c r="B222" s="104"/>
      <c r="C222" s="104"/>
      <c r="D222" s="105"/>
      <c r="E222" s="135"/>
      <c r="F222" s="107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</row>
    <row r="223" ht="15.75" customHeight="1">
      <c r="A223" s="109"/>
      <c r="B223" s="104"/>
      <c r="C223" s="104"/>
      <c r="D223" s="105"/>
      <c r="E223" s="135"/>
      <c r="F223" s="107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</row>
    <row r="224" ht="15.75" customHeight="1">
      <c r="A224" s="109"/>
      <c r="B224" s="104"/>
      <c r="C224" s="104"/>
      <c r="D224" s="105"/>
      <c r="E224" s="135"/>
      <c r="F224" s="107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</row>
    <row r="225" ht="15.75" customHeight="1">
      <c r="A225" s="109"/>
      <c r="B225" s="104"/>
      <c r="C225" s="104"/>
      <c r="D225" s="105"/>
      <c r="E225" s="135"/>
      <c r="F225" s="107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</row>
    <row r="226" ht="15.75" customHeight="1">
      <c r="A226" s="109"/>
      <c r="B226" s="104"/>
      <c r="C226" s="104"/>
      <c r="D226" s="105"/>
      <c r="E226" s="135"/>
      <c r="F226" s="107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</row>
    <row r="227" ht="15.75" customHeight="1">
      <c r="A227" s="109"/>
      <c r="B227" s="104"/>
      <c r="C227" s="104"/>
      <c r="D227" s="105"/>
      <c r="E227" s="135"/>
      <c r="F227" s="107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</row>
    <row r="228" ht="15.75" customHeight="1">
      <c r="A228" s="109"/>
      <c r="B228" s="104"/>
      <c r="C228" s="104"/>
      <c r="D228" s="105"/>
      <c r="E228" s="135"/>
      <c r="F228" s="107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</row>
    <row r="229" ht="15.75" customHeight="1">
      <c r="A229" s="109"/>
      <c r="B229" s="104"/>
      <c r="C229" s="104"/>
      <c r="D229" s="105"/>
      <c r="E229" s="135"/>
      <c r="F229" s="107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</row>
    <row r="230" ht="15.75" customHeight="1">
      <c r="A230" s="109"/>
      <c r="B230" s="104"/>
      <c r="C230" s="104"/>
      <c r="D230" s="105"/>
      <c r="E230" s="135"/>
      <c r="F230" s="107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</row>
    <row r="231" ht="15.75" customHeight="1">
      <c r="A231" s="109"/>
      <c r="B231" s="104"/>
      <c r="C231" s="104"/>
      <c r="D231" s="105"/>
      <c r="E231" s="135"/>
      <c r="F231" s="107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</row>
    <row r="232" ht="15.75" customHeight="1">
      <c r="A232" s="109"/>
      <c r="B232" s="104"/>
      <c r="C232" s="104"/>
      <c r="D232" s="105"/>
      <c r="E232" s="135"/>
      <c r="F232" s="107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</row>
    <row r="233" ht="15.75" customHeight="1">
      <c r="A233" s="109"/>
      <c r="B233" s="104"/>
      <c r="C233" s="104"/>
      <c r="D233" s="105"/>
      <c r="E233" s="135"/>
      <c r="F233" s="107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</row>
    <row r="234" ht="15.75" customHeight="1">
      <c r="A234" s="109"/>
      <c r="B234" s="104"/>
      <c r="C234" s="104"/>
      <c r="D234" s="105"/>
      <c r="E234" s="135"/>
      <c r="F234" s="107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</row>
    <row r="235" ht="15.75" customHeight="1">
      <c r="A235" s="109"/>
      <c r="B235" s="104"/>
      <c r="C235" s="104"/>
      <c r="D235" s="105"/>
      <c r="E235" s="135"/>
      <c r="F235" s="107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</row>
    <row r="236" ht="15.75" customHeight="1">
      <c r="A236" s="109"/>
      <c r="B236" s="104"/>
      <c r="C236" s="104"/>
      <c r="D236" s="105"/>
      <c r="E236" s="135"/>
      <c r="F236" s="107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</row>
    <row r="237" ht="15.75" customHeight="1">
      <c r="A237" s="109"/>
      <c r="B237" s="104"/>
      <c r="C237" s="104"/>
      <c r="D237" s="105"/>
      <c r="E237" s="135"/>
      <c r="F237" s="107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</row>
    <row r="238" ht="15.75" customHeight="1">
      <c r="A238" s="109"/>
      <c r="B238" s="104"/>
      <c r="C238" s="104"/>
      <c r="D238" s="105"/>
      <c r="E238" s="135"/>
      <c r="F238" s="107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</row>
    <row r="239" ht="15.75" customHeight="1">
      <c r="A239" s="109"/>
      <c r="B239" s="104"/>
      <c r="C239" s="104"/>
      <c r="D239" s="105"/>
      <c r="E239" s="135"/>
      <c r="F239" s="107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</row>
    <row r="240" ht="15.75" customHeight="1">
      <c r="A240" s="109"/>
      <c r="B240" s="104"/>
      <c r="C240" s="104"/>
      <c r="D240" s="105"/>
      <c r="E240" s="135"/>
      <c r="F240" s="107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</row>
    <row r="241" ht="15.75" customHeight="1">
      <c r="A241" s="109"/>
      <c r="B241" s="104"/>
      <c r="C241" s="104"/>
      <c r="D241" s="105"/>
      <c r="E241" s="135"/>
      <c r="F241" s="107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</row>
    <row r="242" ht="15.75" customHeight="1">
      <c r="A242" s="109"/>
      <c r="B242" s="104"/>
      <c r="C242" s="104"/>
      <c r="D242" s="105"/>
      <c r="E242" s="135"/>
      <c r="F242" s="107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</row>
    <row r="243" ht="15.75" customHeight="1">
      <c r="A243" s="109"/>
      <c r="B243" s="104"/>
      <c r="C243" s="104"/>
      <c r="D243" s="105"/>
      <c r="E243" s="135"/>
      <c r="F243" s="107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</row>
    <row r="244" ht="15.75" customHeight="1">
      <c r="A244" s="109"/>
      <c r="B244" s="104"/>
      <c r="C244" s="104"/>
      <c r="D244" s="105"/>
      <c r="E244" s="135"/>
      <c r="F244" s="107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</row>
    <row r="245" ht="15.75" customHeight="1">
      <c r="A245" s="109"/>
      <c r="B245" s="104"/>
      <c r="C245" s="104"/>
      <c r="D245" s="105"/>
      <c r="E245" s="135"/>
      <c r="F245" s="107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</row>
    <row r="246" ht="15.75" customHeight="1">
      <c r="A246" s="109"/>
      <c r="B246" s="104"/>
      <c r="C246" s="104"/>
      <c r="D246" s="105"/>
      <c r="E246" s="135"/>
      <c r="F246" s="107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</row>
    <row r="247" ht="15.75" customHeight="1">
      <c r="A247" s="109"/>
      <c r="B247" s="104"/>
      <c r="C247" s="104"/>
      <c r="D247" s="105"/>
      <c r="E247" s="135"/>
      <c r="F247" s="107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</row>
    <row r="248" ht="15.75" customHeight="1">
      <c r="A248" s="109"/>
      <c r="B248" s="104"/>
      <c r="C248" s="104"/>
      <c r="D248" s="105"/>
      <c r="E248" s="135"/>
      <c r="F248" s="107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</row>
    <row r="249" ht="15.75" customHeight="1">
      <c r="A249" s="109"/>
      <c r="B249" s="104"/>
      <c r="C249" s="104"/>
      <c r="D249" s="105"/>
      <c r="E249" s="135"/>
      <c r="F249" s="107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</row>
    <row r="250" ht="15.75" customHeight="1">
      <c r="A250" s="109"/>
      <c r="B250" s="104"/>
      <c r="C250" s="104"/>
      <c r="D250" s="105"/>
      <c r="E250" s="135"/>
      <c r="F250" s="107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</row>
    <row r="251" ht="15.75" customHeight="1">
      <c r="A251" s="109"/>
      <c r="B251" s="104"/>
      <c r="C251" s="104"/>
      <c r="D251" s="105"/>
      <c r="E251" s="135"/>
      <c r="F251" s="107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</row>
    <row r="252" ht="15.75" customHeight="1">
      <c r="A252" s="109"/>
      <c r="B252" s="104"/>
      <c r="C252" s="104"/>
      <c r="D252" s="105"/>
      <c r="E252" s="135"/>
      <c r="F252" s="107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</row>
    <row r="253" ht="15.75" customHeight="1">
      <c r="A253" s="109"/>
      <c r="B253" s="104"/>
      <c r="C253" s="104"/>
      <c r="D253" s="105"/>
      <c r="E253" s="135"/>
      <c r="F253" s="107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</row>
    <row r="254" ht="15.75" customHeight="1">
      <c r="A254" s="109"/>
      <c r="B254" s="104"/>
      <c r="C254" s="104"/>
      <c r="D254" s="105"/>
      <c r="E254" s="135"/>
      <c r="F254" s="107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</row>
    <row r="255" ht="15.75" customHeight="1">
      <c r="A255" s="109"/>
      <c r="B255" s="104"/>
      <c r="C255" s="104"/>
      <c r="D255" s="105"/>
      <c r="E255" s="135"/>
      <c r="F255" s="107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</row>
    <row r="256" ht="15.75" customHeight="1">
      <c r="A256" s="109"/>
      <c r="B256" s="104"/>
      <c r="C256" s="104"/>
      <c r="D256" s="105"/>
      <c r="E256" s="135"/>
      <c r="F256" s="107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</row>
    <row r="257" ht="15.75" customHeight="1">
      <c r="A257" s="109"/>
      <c r="B257" s="104"/>
      <c r="C257" s="104"/>
      <c r="D257" s="105"/>
      <c r="E257" s="135"/>
      <c r="F257" s="107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</row>
    <row r="258" ht="15.75" customHeight="1">
      <c r="A258" s="109"/>
      <c r="B258" s="104"/>
      <c r="C258" s="104"/>
      <c r="D258" s="105"/>
      <c r="E258" s="135"/>
      <c r="F258" s="107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</row>
    <row r="259" ht="15.75" customHeight="1">
      <c r="A259" s="109"/>
      <c r="B259" s="104"/>
      <c r="C259" s="104"/>
      <c r="D259" s="105"/>
      <c r="E259" s="135"/>
      <c r="F259" s="107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</row>
    <row r="260" ht="15.75" customHeight="1">
      <c r="A260" s="109"/>
      <c r="B260" s="104"/>
      <c r="C260" s="104"/>
      <c r="D260" s="105"/>
      <c r="E260" s="135"/>
      <c r="F260" s="107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</row>
    <row r="261" ht="15.75" customHeight="1">
      <c r="A261" s="109"/>
      <c r="B261" s="104"/>
      <c r="C261" s="104"/>
      <c r="D261" s="105"/>
      <c r="E261" s="135"/>
      <c r="F261" s="107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</row>
    <row r="262" ht="15.75" customHeight="1">
      <c r="A262" s="109"/>
      <c r="B262" s="104"/>
      <c r="C262" s="104"/>
      <c r="D262" s="105"/>
      <c r="E262" s="135"/>
      <c r="F262" s="107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</row>
    <row r="263" ht="15.75" customHeight="1">
      <c r="A263" s="109"/>
      <c r="B263" s="104"/>
      <c r="C263" s="104"/>
      <c r="D263" s="105"/>
      <c r="E263" s="135"/>
      <c r="F263" s="107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</row>
    <row r="264" ht="15.75" customHeight="1">
      <c r="A264" s="109"/>
      <c r="B264" s="104"/>
      <c r="C264" s="104"/>
      <c r="D264" s="105"/>
      <c r="E264" s="135"/>
      <c r="F264" s="107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</row>
    <row r="265" ht="15.75" customHeight="1">
      <c r="A265" s="109"/>
      <c r="B265" s="104"/>
      <c r="C265" s="104"/>
      <c r="D265" s="105"/>
      <c r="E265" s="135"/>
      <c r="F265" s="107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</row>
    <row r="266" ht="15.75" customHeight="1">
      <c r="A266" s="109"/>
      <c r="B266" s="104"/>
      <c r="C266" s="104"/>
      <c r="D266" s="105"/>
      <c r="E266" s="135"/>
      <c r="F266" s="107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</row>
    <row r="267" ht="15.75" customHeight="1">
      <c r="A267" s="109"/>
      <c r="B267" s="104"/>
      <c r="C267" s="104"/>
      <c r="D267" s="105"/>
      <c r="E267" s="135"/>
      <c r="F267" s="107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</row>
    <row r="268" ht="15.75" customHeight="1">
      <c r="A268" s="109"/>
      <c r="B268" s="104"/>
      <c r="C268" s="104"/>
      <c r="D268" s="105"/>
      <c r="E268" s="135"/>
      <c r="F268" s="107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</row>
    <row r="269" ht="15.75" customHeight="1">
      <c r="A269" s="109"/>
      <c r="B269" s="104"/>
      <c r="C269" s="104"/>
      <c r="D269" s="105"/>
      <c r="E269" s="135"/>
      <c r="F269" s="107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</row>
    <row r="270" ht="15.75" customHeight="1">
      <c r="A270" s="109"/>
      <c r="B270" s="104"/>
      <c r="C270" s="104"/>
      <c r="D270" s="105"/>
      <c r="E270" s="135"/>
      <c r="F270" s="107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</row>
    <row r="271" ht="15.75" customHeight="1">
      <c r="A271" s="109"/>
      <c r="B271" s="104"/>
      <c r="C271" s="104"/>
      <c r="D271" s="105"/>
      <c r="E271" s="135"/>
      <c r="F271" s="107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</row>
    <row r="272" ht="15.75" customHeight="1">
      <c r="A272" s="109"/>
      <c r="B272" s="104"/>
      <c r="C272" s="104"/>
      <c r="D272" s="105"/>
      <c r="E272" s="135"/>
      <c r="F272" s="107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</row>
    <row r="273" ht="15.75" customHeight="1">
      <c r="A273" s="109"/>
      <c r="B273" s="104"/>
      <c r="C273" s="104"/>
      <c r="D273" s="105"/>
      <c r="E273" s="135"/>
      <c r="F273" s="107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</row>
    <row r="274" ht="15.75" customHeight="1">
      <c r="A274" s="109"/>
      <c r="B274" s="104"/>
      <c r="C274" s="104"/>
      <c r="D274" s="105"/>
      <c r="E274" s="135"/>
      <c r="F274" s="107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</row>
    <row r="275" ht="15.75" customHeight="1">
      <c r="A275" s="109"/>
      <c r="B275" s="104"/>
      <c r="C275" s="104"/>
      <c r="D275" s="105"/>
      <c r="E275" s="135"/>
      <c r="F275" s="107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</row>
    <row r="276" ht="15.75" customHeight="1">
      <c r="A276" s="109"/>
      <c r="B276" s="104"/>
      <c r="C276" s="104"/>
      <c r="D276" s="105"/>
      <c r="E276" s="135"/>
      <c r="F276" s="107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</row>
    <row r="277" ht="15.75" customHeight="1">
      <c r="A277" s="109"/>
      <c r="B277" s="104"/>
      <c r="C277" s="104"/>
      <c r="D277" s="105"/>
      <c r="E277" s="135"/>
      <c r="F277" s="107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</row>
    <row r="278" ht="15.75" customHeight="1">
      <c r="A278" s="109"/>
      <c r="B278" s="104"/>
      <c r="C278" s="104"/>
      <c r="D278" s="105"/>
      <c r="E278" s="135"/>
      <c r="F278" s="107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</row>
    <row r="279" ht="15.75" customHeight="1">
      <c r="A279" s="109"/>
      <c r="B279" s="104"/>
      <c r="C279" s="104"/>
      <c r="D279" s="105"/>
      <c r="E279" s="135"/>
      <c r="F279" s="107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</row>
    <row r="280" ht="15.75" customHeight="1">
      <c r="A280" s="109"/>
      <c r="B280" s="104"/>
      <c r="C280" s="104"/>
      <c r="D280" s="105"/>
      <c r="E280" s="135"/>
      <c r="F280" s="107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</row>
    <row r="281" ht="15.75" customHeight="1">
      <c r="A281" s="109"/>
      <c r="B281" s="104"/>
      <c r="C281" s="104"/>
      <c r="D281" s="105"/>
      <c r="E281" s="135"/>
      <c r="F281" s="107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</row>
    <row r="282" ht="15.75" customHeight="1">
      <c r="A282" s="109"/>
      <c r="B282" s="104"/>
      <c r="C282" s="104"/>
      <c r="D282" s="105"/>
      <c r="E282" s="135"/>
      <c r="F282" s="107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</row>
    <row r="283" ht="15.75" customHeight="1">
      <c r="A283" s="109"/>
      <c r="B283" s="104"/>
      <c r="C283" s="104"/>
      <c r="D283" s="105"/>
      <c r="E283" s="135"/>
      <c r="F283" s="107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</row>
    <row r="284" ht="15.75" customHeight="1">
      <c r="A284" s="109"/>
      <c r="B284" s="104"/>
      <c r="C284" s="104"/>
      <c r="D284" s="105"/>
      <c r="E284" s="135"/>
      <c r="F284" s="107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</row>
    <row r="285" ht="15.75" customHeight="1">
      <c r="A285" s="109"/>
      <c r="B285" s="104"/>
      <c r="C285" s="104"/>
      <c r="D285" s="105"/>
      <c r="E285" s="135"/>
      <c r="F285" s="107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</row>
    <row r="286" ht="15.75" customHeight="1">
      <c r="A286" s="109"/>
      <c r="B286" s="104"/>
      <c r="C286" s="104"/>
      <c r="D286" s="105"/>
      <c r="E286" s="135"/>
      <c r="F286" s="107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</row>
    <row r="287" ht="15.75" customHeight="1">
      <c r="A287" s="109"/>
      <c r="B287" s="104"/>
      <c r="C287" s="104"/>
      <c r="D287" s="105"/>
      <c r="E287" s="135"/>
      <c r="F287" s="107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</row>
    <row r="288" ht="15.75" customHeight="1">
      <c r="A288" s="109"/>
      <c r="B288" s="104"/>
      <c r="C288" s="104"/>
      <c r="D288" s="105"/>
      <c r="E288" s="135"/>
      <c r="F288" s="107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</row>
    <row r="289" ht="15.75" customHeight="1">
      <c r="A289" s="109"/>
      <c r="B289" s="104"/>
      <c r="C289" s="104"/>
      <c r="D289" s="105"/>
      <c r="E289" s="135"/>
      <c r="F289" s="107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</row>
    <row r="290" ht="15.75" customHeight="1">
      <c r="A290" s="109"/>
      <c r="B290" s="104"/>
      <c r="C290" s="104"/>
      <c r="D290" s="105"/>
      <c r="E290" s="135"/>
      <c r="F290" s="107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</row>
    <row r="291" ht="15.75" customHeight="1">
      <c r="A291" s="109"/>
      <c r="B291" s="104"/>
      <c r="C291" s="104"/>
      <c r="D291" s="105"/>
      <c r="E291" s="135"/>
      <c r="F291" s="107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</row>
    <row r="292" ht="15.75" customHeight="1">
      <c r="A292" s="109"/>
      <c r="B292" s="104"/>
      <c r="C292" s="104"/>
      <c r="D292" s="105"/>
      <c r="E292" s="135"/>
      <c r="F292" s="107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</row>
    <row r="293" ht="15.75" customHeight="1">
      <c r="A293" s="109"/>
      <c r="B293" s="104"/>
      <c r="C293" s="104"/>
      <c r="D293" s="105"/>
      <c r="E293" s="135"/>
      <c r="F293" s="107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</row>
    <row r="294" ht="15.75" customHeight="1">
      <c r="A294" s="109"/>
      <c r="B294" s="104"/>
      <c r="C294" s="104"/>
      <c r="D294" s="105"/>
      <c r="E294" s="135"/>
      <c r="F294" s="107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</row>
    <row r="295" ht="15.75" customHeight="1">
      <c r="A295" s="109"/>
      <c r="B295" s="104"/>
      <c r="C295" s="104"/>
      <c r="D295" s="105"/>
      <c r="E295" s="135"/>
      <c r="F295" s="107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</row>
    <row r="296" ht="15.75" customHeight="1">
      <c r="A296" s="109"/>
      <c r="B296" s="104"/>
      <c r="C296" s="104"/>
      <c r="D296" s="105"/>
      <c r="E296" s="135"/>
      <c r="F296" s="107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</row>
    <row r="297" ht="15.75" customHeight="1">
      <c r="A297" s="109"/>
      <c r="B297" s="104"/>
      <c r="C297" s="104"/>
      <c r="D297" s="105"/>
      <c r="E297" s="135"/>
      <c r="F297" s="107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</row>
    <row r="298" ht="15.75" customHeight="1">
      <c r="A298" s="109"/>
      <c r="B298" s="104"/>
      <c r="C298" s="104"/>
      <c r="D298" s="105"/>
      <c r="E298" s="135"/>
      <c r="F298" s="107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</row>
    <row r="299" ht="15.75" customHeight="1">
      <c r="A299" s="109"/>
      <c r="B299" s="104"/>
      <c r="C299" s="104"/>
      <c r="D299" s="105"/>
      <c r="E299" s="135"/>
      <c r="F299" s="107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</row>
    <row r="300" ht="15.75" customHeight="1">
      <c r="A300" s="109"/>
      <c r="B300" s="104"/>
      <c r="C300" s="104"/>
      <c r="D300" s="105"/>
      <c r="E300" s="135"/>
      <c r="F300" s="107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</row>
    <row r="301" ht="15.75" customHeight="1">
      <c r="A301" s="109"/>
      <c r="B301" s="104"/>
      <c r="C301" s="104"/>
      <c r="D301" s="105"/>
      <c r="E301" s="135"/>
      <c r="F301" s="107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</row>
    <row r="302" ht="15.75" customHeight="1">
      <c r="A302" s="109"/>
      <c r="B302" s="104"/>
      <c r="C302" s="104"/>
      <c r="D302" s="105"/>
      <c r="E302" s="135"/>
      <c r="F302" s="107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</row>
    <row r="303" ht="15.75" customHeight="1">
      <c r="A303" s="109"/>
      <c r="B303" s="104"/>
      <c r="C303" s="104"/>
      <c r="D303" s="105"/>
      <c r="E303" s="135"/>
      <c r="F303" s="107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</row>
    <row r="304" ht="15.75" customHeight="1">
      <c r="A304" s="109"/>
      <c r="B304" s="104"/>
      <c r="C304" s="104"/>
      <c r="D304" s="105"/>
      <c r="E304" s="135"/>
      <c r="F304" s="107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</row>
    <row r="305" ht="15.75" customHeight="1">
      <c r="A305" s="109"/>
      <c r="B305" s="104"/>
      <c r="C305" s="104"/>
      <c r="D305" s="105"/>
      <c r="E305" s="135"/>
      <c r="F305" s="107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</row>
    <row r="306" ht="15.75" customHeight="1">
      <c r="A306" s="109"/>
      <c r="B306" s="104"/>
      <c r="C306" s="104"/>
      <c r="D306" s="105"/>
      <c r="E306" s="135"/>
      <c r="F306" s="107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</row>
    <row r="307" ht="15.75" customHeight="1">
      <c r="A307" s="109"/>
      <c r="B307" s="104"/>
      <c r="C307" s="104"/>
      <c r="D307" s="105"/>
      <c r="E307" s="135"/>
      <c r="F307" s="107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</row>
    <row r="308" ht="15.75" customHeight="1">
      <c r="A308" s="109"/>
      <c r="B308" s="104"/>
      <c r="C308" s="104"/>
      <c r="D308" s="105"/>
      <c r="E308" s="135"/>
      <c r="F308" s="107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</row>
    <row r="309" ht="15.75" customHeight="1">
      <c r="A309" s="109"/>
      <c r="B309" s="104"/>
      <c r="C309" s="104"/>
      <c r="D309" s="105"/>
      <c r="E309" s="135"/>
      <c r="F309" s="107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</row>
    <row r="310" ht="15.75" customHeight="1">
      <c r="A310" s="109"/>
      <c r="B310" s="104"/>
      <c r="C310" s="104"/>
      <c r="D310" s="105"/>
      <c r="E310" s="135"/>
      <c r="F310" s="107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</row>
    <row r="311" ht="15.75" customHeight="1">
      <c r="A311" s="109"/>
      <c r="B311" s="104"/>
      <c r="C311" s="104"/>
      <c r="D311" s="105"/>
      <c r="E311" s="135"/>
      <c r="F311" s="107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</row>
    <row r="312" ht="15.75" customHeight="1">
      <c r="A312" s="109"/>
      <c r="B312" s="104"/>
      <c r="C312" s="104"/>
      <c r="D312" s="105"/>
      <c r="E312" s="135"/>
      <c r="F312" s="107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</row>
    <row r="313" ht="15.75" customHeight="1">
      <c r="A313" s="109"/>
      <c r="B313" s="104"/>
      <c r="C313" s="104"/>
      <c r="D313" s="105"/>
      <c r="E313" s="135"/>
      <c r="F313" s="107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</row>
    <row r="314" ht="15.75" customHeight="1">
      <c r="A314" s="109"/>
      <c r="B314" s="104"/>
      <c r="C314" s="104"/>
      <c r="D314" s="105"/>
      <c r="E314" s="135"/>
      <c r="F314" s="107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</row>
    <row r="315" ht="15.75" customHeight="1">
      <c r="A315" s="109"/>
      <c r="B315" s="104"/>
      <c r="C315" s="104"/>
      <c r="D315" s="105"/>
      <c r="E315" s="135"/>
      <c r="F315" s="107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</row>
    <row r="316" ht="15.75" customHeight="1">
      <c r="A316" s="109"/>
      <c r="B316" s="104"/>
      <c r="C316" s="104"/>
      <c r="D316" s="105"/>
      <c r="E316" s="135"/>
      <c r="F316" s="107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</row>
    <row r="317" ht="15.75" customHeight="1">
      <c r="A317" s="109"/>
      <c r="B317" s="104"/>
      <c r="C317" s="104"/>
      <c r="D317" s="105"/>
      <c r="E317" s="135"/>
      <c r="F317" s="107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</row>
    <row r="318" ht="15.75" customHeight="1">
      <c r="A318" s="109"/>
      <c r="B318" s="104"/>
      <c r="C318" s="104"/>
      <c r="D318" s="105"/>
      <c r="E318" s="135"/>
      <c r="F318" s="107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</row>
    <row r="319" ht="15.75" customHeight="1">
      <c r="A319" s="109"/>
      <c r="B319" s="104"/>
      <c r="C319" s="104"/>
      <c r="D319" s="105"/>
      <c r="E319" s="135"/>
      <c r="F319" s="107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</row>
    <row r="320" ht="15.75" customHeight="1">
      <c r="A320" s="109"/>
      <c r="B320" s="104"/>
      <c r="C320" s="104"/>
      <c r="D320" s="105"/>
      <c r="E320" s="135"/>
      <c r="F320" s="107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</row>
    <row r="321" ht="15.75" customHeight="1">
      <c r="A321" s="109"/>
      <c r="B321" s="104"/>
      <c r="C321" s="104"/>
      <c r="D321" s="105"/>
      <c r="E321" s="135"/>
      <c r="F321" s="107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</row>
    <row r="322" ht="15.75" customHeight="1">
      <c r="A322" s="109"/>
      <c r="B322" s="104"/>
      <c r="C322" s="104"/>
      <c r="D322" s="105"/>
      <c r="E322" s="135"/>
      <c r="F322" s="107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</row>
    <row r="323" ht="15.75" customHeight="1">
      <c r="A323" s="109"/>
      <c r="B323" s="104"/>
      <c r="C323" s="104"/>
      <c r="D323" s="105"/>
      <c r="E323" s="135"/>
      <c r="F323" s="107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</row>
    <row r="324" ht="15.75" customHeight="1">
      <c r="A324" s="109"/>
      <c r="B324" s="104"/>
      <c r="C324" s="104"/>
      <c r="D324" s="105"/>
      <c r="E324" s="135"/>
      <c r="F324" s="107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</row>
    <row r="325" ht="15.75" customHeight="1">
      <c r="A325" s="109"/>
      <c r="B325" s="104"/>
      <c r="C325" s="104"/>
      <c r="D325" s="105"/>
      <c r="E325" s="135"/>
      <c r="F325" s="107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</row>
    <row r="326" ht="15.75" customHeight="1">
      <c r="A326" s="109"/>
      <c r="B326" s="104"/>
      <c r="C326" s="104"/>
      <c r="D326" s="105"/>
      <c r="E326" s="135"/>
      <c r="F326" s="107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</row>
    <row r="327" ht="15.75" customHeight="1">
      <c r="A327" s="109"/>
      <c r="B327" s="104"/>
      <c r="C327" s="104"/>
      <c r="D327" s="105"/>
      <c r="E327" s="135"/>
      <c r="F327" s="107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</row>
    <row r="328" ht="15.75" customHeight="1">
      <c r="A328" s="109"/>
      <c r="B328" s="104"/>
      <c r="C328" s="104"/>
      <c r="D328" s="105"/>
      <c r="E328" s="135"/>
      <c r="F328" s="107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</row>
    <row r="329" ht="15.75" customHeight="1">
      <c r="A329" s="109"/>
      <c r="B329" s="104"/>
      <c r="C329" s="104"/>
      <c r="D329" s="105"/>
      <c r="E329" s="135"/>
      <c r="F329" s="107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</row>
    <row r="330" ht="15.75" customHeight="1">
      <c r="A330" s="109"/>
      <c r="B330" s="104"/>
      <c r="C330" s="104"/>
      <c r="D330" s="105"/>
      <c r="E330" s="135"/>
      <c r="F330" s="107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</row>
    <row r="331" ht="15.75" customHeight="1">
      <c r="A331" s="109"/>
      <c r="B331" s="104"/>
      <c r="C331" s="104"/>
      <c r="D331" s="105"/>
      <c r="E331" s="135"/>
      <c r="F331" s="107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</row>
    <row r="332" ht="15.75" customHeight="1">
      <c r="A332" s="109"/>
      <c r="B332" s="104"/>
      <c r="C332" s="104"/>
      <c r="D332" s="105"/>
      <c r="E332" s="135"/>
      <c r="F332" s="107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</row>
    <row r="333" ht="15.75" customHeight="1">
      <c r="A333" s="109"/>
      <c r="B333" s="104"/>
      <c r="C333" s="104"/>
      <c r="D333" s="105"/>
      <c r="E333" s="135"/>
      <c r="F333" s="107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</row>
    <row r="334" ht="15.75" customHeight="1">
      <c r="A334" s="109"/>
      <c r="B334" s="104"/>
      <c r="C334" s="104"/>
      <c r="D334" s="105"/>
      <c r="E334" s="135"/>
      <c r="F334" s="107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</row>
    <row r="335" ht="15.75" customHeight="1">
      <c r="A335" s="109"/>
      <c r="B335" s="104"/>
      <c r="C335" s="104"/>
      <c r="D335" s="105"/>
      <c r="E335" s="135"/>
      <c r="F335" s="107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</row>
    <row r="336" ht="15.75" customHeight="1">
      <c r="A336" s="109"/>
      <c r="B336" s="104"/>
      <c r="C336" s="104"/>
      <c r="D336" s="105"/>
      <c r="E336" s="135"/>
      <c r="F336" s="107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</row>
    <row r="337" ht="15.75" customHeight="1">
      <c r="A337" s="109"/>
      <c r="B337" s="104"/>
      <c r="C337" s="104"/>
      <c r="D337" s="105"/>
      <c r="E337" s="135"/>
      <c r="F337" s="107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</row>
    <row r="338" ht="15.75" customHeight="1">
      <c r="A338" s="109"/>
      <c r="B338" s="104"/>
      <c r="C338" s="104"/>
      <c r="D338" s="105"/>
      <c r="E338" s="135"/>
      <c r="F338" s="107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</row>
    <row r="339" ht="15.75" customHeight="1">
      <c r="A339" s="109"/>
      <c r="B339" s="104"/>
      <c r="C339" s="104"/>
      <c r="D339" s="105"/>
      <c r="E339" s="135"/>
      <c r="F339" s="107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</row>
    <row r="340" ht="15.75" customHeight="1">
      <c r="A340" s="109"/>
      <c r="B340" s="104"/>
      <c r="C340" s="104"/>
      <c r="D340" s="105"/>
      <c r="E340" s="135"/>
      <c r="F340" s="107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</row>
    <row r="341" ht="15.75" customHeight="1">
      <c r="A341" s="109"/>
      <c r="B341" s="104"/>
      <c r="C341" s="104"/>
      <c r="D341" s="105"/>
      <c r="E341" s="135"/>
      <c r="F341" s="107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</row>
    <row r="342" ht="15.75" customHeight="1">
      <c r="A342" s="109"/>
      <c r="B342" s="104"/>
      <c r="C342" s="104"/>
      <c r="D342" s="105"/>
      <c r="E342" s="135"/>
      <c r="F342" s="107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</row>
    <row r="343" ht="15.75" customHeight="1">
      <c r="A343" s="109"/>
      <c r="B343" s="104"/>
      <c r="C343" s="104"/>
      <c r="D343" s="105"/>
      <c r="E343" s="135"/>
      <c r="F343" s="107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</row>
    <row r="344" ht="15.75" customHeight="1">
      <c r="A344" s="109"/>
      <c r="B344" s="104"/>
      <c r="C344" s="104"/>
      <c r="D344" s="105"/>
      <c r="E344" s="135"/>
      <c r="F344" s="107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</row>
    <row r="345" ht="15.75" customHeight="1">
      <c r="A345" s="109"/>
      <c r="B345" s="104"/>
      <c r="C345" s="104"/>
      <c r="D345" s="105"/>
      <c r="E345" s="135"/>
      <c r="F345" s="107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</row>
    <row r="346" ht="15.75" customHeight="1">
      <c r="A346" s="109"/>
      <c r="B346" s="104"/>
      <c r="C346" s="104"/>
      <c r="D346" s="105"/>
      <c r="E346" s="135"/>
      <c r="F346" s="107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</row>
    <row r="347" ht="15.75" customHeight="1">
      <c r="A347" s="109"/>
      <c r="B347" s="104"/>
      <c r="C347" s="104"/>
      <c r="D347" s="105"/>
      <c r="E347" s="135"/>
      <c r="F347" s="107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</row>
    <row r="348" ht="15.75" customHeight="1">
      <c r="A348" s="109"/>
      <c r="B348" s="104"/>
      <c r="C348" s="104"/>
      <c r="D348" s="105"/>
      <c r="E348" s="135"/>
      <c r="F348" s="107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</row>
    <row r="349" ht="15.75" customHeight="1">
      <c r="A349" s="109"/>
      <c r="B349" s="104"/>
      <c r="C349" s="104"/>
      <c r="D349" s="105"/>
      <c r="E349" s="135"/>
      <c r="F349" s="107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</row>
    <row r="350" ht="15.75" customHeight="1">
      <c r="A350" s="109"/>
      <c r="B350" s="104"/>
      <c r="C350" s="104"/>
      <c r="D350" s="105"/>
      <c r="E350" s="135"/>
      <c r="F350" s="107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</row>
    <row r="351" ht="15.75" customHeight="1">
      <c r="A351" s="109"/>
      <c r="B351" s="104"/>
      <c r="C351" s="104"/>
      <c r="D351" s="105"/>
      <c r="E351" s="135"/>
      <c r="F351" s="107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</row>
    <row r="352" ht="15.75" customHeight="1">
      <c r="A352" s="109"/>
      <c r="B352" s="104"/>
      <c r="C352" s="104"/>
      <c r="D352" s="105"/>
      <c r="E352" s="135"/>
      <c r="F352" s="107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</row>
    <row r="353" ht="15.75" customHeight="1">
      <c r="A353" s="109"/>
      <c r="B353" s="104"/>
      <c r="C353" s="104"/>
      <c r="D353" s="105"/>
      <c r="E353" s="135"/>
      <c r="F353" s="107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</row>
    <row r="354" ht="15.75" customHeight="1">
      <c r="A354" s="109"/>
      <c r="B354" s="104"/>
      <c r="C354" s="104"/>
      <c r="D354" s="105"/>
      <c r="E354" s="135"/>
      <c r="F354" s="107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</row>
    <row r="355" ht="15.75" customHeight="1">
      <c r="A355" s="109"/>
      <c r="B355" s="104"/>
      <c r="C355" s="104"/>
      <c r="D355" s="105"/>
      <c r="E355" s="135"/>
      <c r="F355" s="107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</row>
    <row r="356" ht="15.75" customHeight="1">
      <c r="A356" s="109"/>
      <c r="B356" s="104"/>
      <c r="C356" s="104"/>
      <c r="D356" s="105"/>
      <c r="E356" s="135"/>
      <c r="F356" s="107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</row>
    <row r="357" ht="15.75" customHeight="1">
      <c r="A357" s="109"/>
      <c r="B357" s="104"/>
      <c r="C357" s="104"/>
      <c r="D357" s="105"/>
      <c r="E357" s="135"/>
      <c r="F357" s="107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</row>
    <row r="358" ht="15.75" customHeight="1">
      <c r="A358" s="109"/>
      <c r="B358" s="104"/>
      <c r="C358" s="104"/>
      <c r="D358" s="105"/>
      <c r="E358" s="135"/>
      <c r="F358" s="107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</row>
    <row r="359" ht="15.75" customHeight="1">
      <c r="A359" s="109"/>
      <c r="B359" s="104"/>
      <c r="C359" s="104"/>
      <c r="D359" s="105"/>
      <c r="E359" s="135"/>
      <c r="F359" s="107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</row>
    <row r="360" ht="15.75" customHeight="1">
      <c r="A360" s="109"/>
      <c r="B360" s="104"/>
      <c r="C360" s="104"/>
      <c r="D360" s="105"/>
      <c r="E360" s="135"/>
      <c r="F360" s="107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</row>
    <row r="361" ht="15.75" customHeight="1">
      <c r="A361" s="109"/>
      <c r="B361" s="104"/>
      <c r="C361" s="104"/>
      <c r="D361" s="105"/>
      <c r="E361" s="135"/>
      <c r="F361" s="107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</row>
    <row r="362" ht="15.75" customHeight="1">
      <c r="A362" s="109"/>
      <c r="B362" s="104"/>
      <c r="C362" s="104"/>
      <c r="D362" s="105"/>
      <c r="E362" s="135"/>
      <c r="F362" s="107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</row>
    <row r="363" ht="15.75" customHeight="1">
      <c r="A363" s="109"/>
      <c r="B363" s="104"/>
      <c r="C363" s="104"/>
      <c r="D363" s="105"/>
      <c r="E363" s="135"/>
      <c r="F363" s="107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</row>
    <row r="364" ht="15.75" customHeight="1">
      <c r="A364" s="109"/>
      <c r="B364" s="104"/>
      <c r="C364" s="104"/>
      <c r="D364" s="105"/>
      <c r="E364" s="135"/>
      <c r="F364" s="107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</row>
    <row r="365" ht="15.75" customHeight="1">
      <c r="A365" s="109"/>
      <c r="B365" s="104"/>
      <c r="C365" s="104"/>
      <c r="D365" s="105"/>
      <c r="E365" s="135"/>
      <c r="F365" s="107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</row>
    <row r="366" ht="15.75" customHeight="1">
      <c r="A366" s="109"/>
      <c r="B366" s="104"/>
      <c r="C366" s="104"/>
      <c r="D366" s="105"/>
      <c r="E366" s="135"/>
      <c r="F366" s="107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</row>
    <row r="367" ht="15.75" customHeight="1">
      <c r="A367" s="109"/>
      <c r="B367" s="104"/>
      <c r="C367" s="104"/>
      <c r="D367" s="105"/>
      <c r="E367" s="135"/>
      <c r="F367" s="107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</row>
    <row r="368" ht="15.75" customHeight="1">
      <c r="A368" s="109"/>
      <c r="B368" s="104"/>
      <c r="C368" s="104"/>
      <c r="D368" s="105"/>
      <c r="E368" s="135"/>
      <c r="F368" s="107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</row>
    <row r="369" ht="15.75" customHeight="1">
      <c r="A369" s="109"/>
      <c r="B369" s="104"/>
      <c r="C369" s="104"/>
      <c r="D369" s="105"/>
      <c r="E369" s="135"/>
      <c r="F369" s="107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</row>
    <row r="370" ht="15.75" customHeight="1">
      <c r="A370" s="109"/>
      <c r="B370" s="104"/>
      <c r="C370" s="104"/>
      <c r="D370" s="105"/>
      <c r="E370" s="135"/>
      <c r="F370" s="107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</row>
    <row r="371" ht="15.75" customHeight="1">
      <c r="A371" s="109"/>
      <c r="B371" s="104"/>
      <c r="C371" s="104"/>
      <c r="D371" s="105"/>
      <c r="E371" s="135"/>
      <c r="F371" s="107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</row>
    <row r="372" ht="15.75" customHeight="1">
      <c r="A372" s="109"/>
      <c r="B372" s="104"/>
      <c r="C372" s="104"/>
      <c r="D372" s="105"/>
      <c r="E372" s="135"/>
      <c r="F372" s="107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</row>
    <row r="373" ht="15.75" customHeight="1">
      <c r="A373" s="109"/>
      <c r="B373" s="104"/>
      <c r="C373" s="104"/>
      <c r="D373" s="105"/>
      <c r="E373" s="135"/>
      <c r="F373" s="107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</row>
    <row r="374" ht="15.75" customHeight="1">
      <c r="A374" s="109"/>
      <c r="B374" s="104"/>
      <c r="C374" s="104"/>
      <c r="D374" s="105"/>
      <c r="E374" s="135"/>
      <c r="F374" s="107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</row>
    <row r="375" ht="15.75" customHeight="1">
      <c r="A375" s="109"/>
      <c r="B375" s="104"/>
      <c r="C375" s="104"/>
      <c r="D375" s="105"/>
      <c r="E375" s="135"/>
      <c r="F375" s="107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</row>
    <row r="376" ht="15.75" customHeight="1">
      <c r="A376" s="109"/>
      <c r="B376" s="104"/>
      <c r="C376" s="104"/>
      <c r="D376" s="105"/>
      <c r="E376" s="135"/>
      <c r="F376" s="107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</row>
    <row r="377" ht="15.75" customHeight="1">
      <c r="A377" s="109"/>
      <c r="B377" s="104"/>
      <c r="C377" s="104"/>
      <c r="D377" s="105"/>
      <c r="E377" s="135"/>
      <c r="F377" s="107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</row>
    <row r="378" ht="15.75" customHeight="1">
      <c r="A378" s="109"/>
      <c r="B378" s="104"/>
      <c r="C378" s="104"/>
      <c r="D378" s="105"/>
      <c r="E378" s="135"/>
      <c r="F378" s="107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</row>
    <row r="379" ht="15.75" customHeight="1">
      <c r="A379" s="109"/>
      <c r="B379" s="104"/>
      <c r="C379" s="104"/>
      <c r="D379" s="105"/>
      <c r="E379" s="135"/>
      <c r="F379" s="107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</row>
    <row r="380" ht="15.75" customHeight="1">
      <c r="A380" s="109"/>
      <c r="B380" s="104"/>
      <c r="C380" s="104"/>
      <c r="D380" s="105"/>
      <c r="E380" s="135"/>
      <c r="F380" s="107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</row>
    <row r="381" ht="15.75" customHeight="1">
      <c r="A381" s="109"/>
      <c r="B381" s="104"/>
      <c r="C381" s="104"/>
      <c r="D381" s="105"/>
      <c r="E381" s="135"/>
      <c r="F381" s="107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</row>
    <row r="382" ht="15.75" customHeight="1">
      <c r="A382" s="109"/>
      <c r="B382" s="104"/>
      <c r="C382" s="104"/>
      <c r="D382" s="105"/>
      <c r="E382" s="135"/>
      <c r="F382" s="107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</row>
    <row r="383" ht="15.75" customHeight="1">
      <c r="A383" s="109"/>
      <c r="B383" s="104"/>
      <c r="C383" s="104"/>
      <c r="D383" s="105"/>
      <c r="E383" s="135"/>
      <c r="F383" s="107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</row>
    <row r="384" ht="15.75" customHeight="1">
      <c r="A384" s="109"/>
      <c r="B384" s="104"/>
      <c r="C384" s="104"/>
      <c r="D384" s="105"/>
      <c r="E384" s="135"/>
      <c r="F384" s="107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</row>
    <row r="385" ht="15.75" customHeight="1">
      <c r="A385" s="109"/>
      <c r="B385" s="104"/>
      <c r="C385" s="104"/>
      <c r="D385" s="105"/>
      <c r="E385" s="135"/>
      <c r="F385" s="107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</row>
    <row r="386" ht="15.75" customHeight="1">
      <c r="A386" s="109"/>
      <c r="B386" s="104"/>
      <c r="C386" s="104"/>
      <c r="D386" s="105"/>
      <c r="E386" s="135"/>
      <c r="F386" s="107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</row>
    <row r="387" ht="15.75" customHeight="1">
      <c r="A387" s="109"/>
      <c r="B387" s="104"/>
      <c r="C387" s="104"/>
      <c r="D387" s="105"/>
      <c r="E387" s="135"/>
      <c r="F387" s="107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</row>
    <row r="388" ht="15.75" customHeight="1">
      <c r="A388" s="109"/>
      <c r="B388" s="104"/>
      <c r="C388" s="104"/>
      <c r="D388" s="105"/>
      <c r="E388" s="135"/>
      <c r="F388" s="107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</row>
    <row r="389" ht="15.75" customHeight="1">
      <c r="A389" s="109"/>
      <c r="B389" s="104"/>
      <c r="C389" s="104"/>
      <c r="D389" s="105"/>
      <c r="E389" s="135"/>
      <c r="F389" s="107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</row>
    <row r="390" ht="15.75" customHeight="1">
      <c r="A390" s="109"/>
      <c r="B390" s="104"/>
      <c r="C390" s="104"/>
      <c r="D390" s="105"/>
      <c r="E390" s="135"/>
      <c r="F390" s="107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</row>
    <row r="391" ht="15.75" customHeight="1">
      <c r="A391" s="109"/>
      <c r="B391" s="104"/>
      <c r="C391" s="104"/>
      <c r="D391" s="105"/>
      <c r="E391" s="135"/>
      <c r="F391" s="107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</row>
    <row r="392" ht="15.75" customHeight="1">
      <c r="A392" s="109"/>
      <c r="B392" s="104"/>
      <c r="C392" s="104"/>
      <c r="D392" s="105"/>
      <c r="E392" s="135"/>
      <c r="F392" s="107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</row>
    <row r="393" ht="15.75" customHeight="1">
      <c r="A393" s="109"/>
      <c r="B393" s="104"/>
      <c r="C393" s="104"/>
      <c r="D393" s="105"/>
      <c r="E393" s="135"/>
      <c r="F393" s="107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</row>
    <row r="394" ht="15.75" customHeight="1">
      <c r="A394" s="109"/>
      <c r="B394" s="104"/>
      <c r="C394" s="104"/>
      <c r="D394" s="105"/>
      <c r="E394" s="135"/>
      <c r="F394" s="107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</row>
    <row r="395" ht="15.75" customHeight="1">
      <c r="A395" s="109"/>
      <c r="B395" s="104"/>
      <c r="C395" s="104"/>
      <c r="D395" s="105"/>
      <c r="E395" s="135"/>
      <c r="F395" s="107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</row>
    <row r="396" ht="15.75" customHeight="1">
      <c r="A396" s="109"/>
      <c r="B396" s="104"/>
      <c r="C396" s="104"/>
      <c r="D396" s="105"/>
      <c r="E396" s="135"/>
      <c r="F396" s="107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</row>
    <row r="397" ht="15.75" customHeight="1">
      <c r="A397" s="109"/>
      <c r="B397" s="104"/>
      <c r="C397" s="104"/>
      <c r="D397" s="105"/>
      <c r="E397" s="135"/>
      <c r="F397" s="107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</row>
    <row r="398" ht="15.75" customHeight="1">
      <c r="A398" s="109"/>
      <c r="B398" s="104"/>
      <c r="C398" s="104"/>
      <c r="D398" s="105"/>
      <c r="E398" s="135"/>
      <c r="F398" s="107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</row>
    <row r="399" ht="15.75" customHeight="1">
      <c r="A399" s="109"/>
      <c r="B399" s="104"/>
      <c r="C399" s="104"/>
      <c r="D399" s="105"/>
      <c r="E399" s="135"/>
      <c r="F399" s="107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</row>
    <row r="400" ht="15.75" customHeight="1">
      <c r="A400" s="109"/>
      <c r="B400" s="104"/>
      <c r="C400" s="104"/>
      <c r="D400" s="105"/>
      <c r="E400" s="135"/>
      <c r="F400" s="107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</row>
    <row r="401" ht="15.75" customHeight="1">
      <c r="A401" s="109"/>
      <c r="B401" s="104"/>
      <c r="C401" s="104"/>
      <c r="D401" s="105"/>
      <c r="E401" s="135"/>
      <c r="F401" s="107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</row>
    <row r="402" ht="15.75" customHeight="1">
      <c r="A402" s="109"/>
      <c r="B402" s="104"/>
      <c r="C402" s="104"/>
      <c r="D402" s="105"/>
      <c r="E402" s="135"/>
      <c r="F402" s="107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</row>
    <row r="403" ht="15.75" customHeight="1">
      <c r="A403" s="109"/>
      <c r="B403" s="104"/>
      <c r="C403" s="104"/>
      <c r="D403" s="105"/>
      <c r="E403" s="135"/>
      <c r="F403" s="107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</row>
    <row r="404" ht="15.75" customHeight="1">
      <c r="A404" s="109"/>
      <c r="B404" s="104"/>
      <c r="C404" s="104"/>
      <c r="D404" s="105"/>
      <c r="E404" s="135"/>
      <c r="F404" s="107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</row>
    <row r="405" ht="15.75" customHeight="1">
      <c r="A405" s="109"/>
      <c r="B405" s="104"/>
      <c r="C405" s="104"/>
      <c r="D405" s="105"/>
      <c r="E405" s="135"/>
      <c r="F405" s="107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</row>
    <row r="406" ht="15.75" customHeight="1">
      <c r="A406" s="109"/>
      <c r="B406" s="104"/>
      <c r="C406" s="104"/>
      <c r="D406" s="105"/>
      <c r="E406" s="135"/>
      <c r="F406" s="107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</row>
    <row r="407" ht="15.75" customHeight="1">
      <c r="A407" s="109"/>
      <c r="B407" s="104"/>
      <c r="C407" s="104"/>
      <c r="D407" s="105"/>
      <c r="E407" s="135"/>
      <c r="F407" s="107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</row>
    <row r="408" ht="15.75" customHeight="1">
      <c r="A408" s="109"/>
      <c r="B408" s="104"/>
      <c r="C408" s="104"/>
      <c r="D408" s="105"/>
      <c r="E408" s="135"/>
      <c r="F408" s="107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</row>
    <row r="409" ht="15.75" customHeight="1">
      <c r="A409" s="109"/>
      <c r="B409" s="104"/>
      <c r="C409" s="104"/>
      <c r="D409" s="105"/>
      <c r="E409" s="135"/>
      <c r="F409" s="107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</row>
    <row r="410" ht="15.75" customHeight="1">
      <c r="A410" s="109"/>
      <c r="B410" s="104"/>
      <c r="C410" s="104"/>
      <c r="D410" s="105"/>
      <c r="E410" s="135"/>
      <c r="F410" s="107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</row>
    <row r="411" ht="15.75" customHeight="1">
      <c r="A411" s="109"/>
      <c r="B411" s="104"/>
      <c r="C411" s="104"/>
      <c r="D411" s="105"/>
      <c r="E411" s="135"/>
      <c r="F411" s="107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</row>
    <row r="412" ht="15.75" customHeight="1">
      <c r="A412" s="109"/>
      <c r="B412" s="104"/>
      <c r="C412" s="104"/>
      <c r="D412" s="105"/>
      <c r="E412" s="135"/>
      <c r="F412" s="107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</row>
    <row r="413" ht="15.75" customHeight="1">
      <c r="A413" s="109"/>
      <c r="B413" s="104"/>
      <c r="C413" s="104"/>
      <c r="D413" s="105"/>
      <c r="E413" s="135"/>
      <c r="F413" s="107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</row>
    <row r="414" ht="15.75" customHeight="1">
      <c r="A414" s="109"/>
      <c r="B414" s="104"/>
      <c r="C414" s="104"/>
      <c r="D414" s="105"/>
      <c r="E414" s="135"/>
      <c r="F414" s="107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</row>
    <row r="415" ht="15.75" customHeight="1">
      <c r="A415" s="109"/>
      <c r="B415" s="104"/>
      <c r="C415" s="104"/>
      <c r="D415" s="105"/>
      <c r="E415" s="135"/>
      <c r="F415" s="107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</row>
    <row r="416" ht="15.75" customHeight="1">
      <c r="A416" s="109"/>
      <c r="B416" s="104"/>
      <c r="C416" s="104"/>
      <c r="D416" s="105"/>
      <c r="E416" s="135"/>
      <c r="F416" s="107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</row>
    <row r="417" ht="15.75" customHeight="1">
      <c r="A417" s="109"/>
      <c r="B417" s="104"/>
      <c r="C417" s="104"/>
      <c r="D417" s="105"/>
      <c r="E417" s="135"/>
      <c r="F417" s="107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</row>
    <row r="418" ht="15.75" customHeight="1">
      <c r="A418" s="109"/>
      <c r="B418" s="104"/>
      <c r="C418" s="104"/>
      <c r="D418" s="105"/>
      <c r="E418" s="135"/>
      <c r="F418" s="107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</row>
    <row r="419" ht="15.75" customHeight="1">
      <c r="A419" s="109"/>
      <c r="B419" s="104"/>
      <c r="C419" s="104"/>
      <c r="D419" s="105"/>
      <c r="E419" s="135"/>
      <c r="F419" s="107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</row>
    <row r="420" ht="15.75" customHeight="1">
      <c r="A420" s="109"/>
      <c r="B420" s="104"/>
      <c r="C420" s="104"/>
      <c r="D420" s="105"/>
      <c r="E420" s="135"/>
      <c r="F420" s="107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</row>
    <row r="421" ht="15.75" customHeight="1">
      <c r="A421" s="109"/>
      <c r="B421" s="104"/>
      <c r="C421" s="104"/>
      <c r="D421" s="105"/>
      <c r="E421" s="135"/>
      <c r="F421" s="107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</row>
    <row r="422" ht="15.75" customHeight="1">
      <c r="A422" s="109"/>
      <c r="B422" s="104"/>
      <c r="C422" s="104"/>
      <c r="D422" s="105"/>
      <c r="E422" s="135"/>
      <c r="F422" s="107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</row>
    <row r="423" ht="15.75" customHeight="1">
      <c r="A423" s="109"/>
      <c r="B423" s="104"/>
      <c r="C423" s="104"/>
      <c r="D423" s="105"/>
      <c r="E423" s="135"/>
      <c r="F423" s="107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</row>
    <row r="424" ht="15.75" customHeight="1">
      <c r="A424" s="109"/>
      <c r="B424" s="104"/>
      <c r="C424" s="104"/>
      <c r="D424" s="105"/>
      <c r="E424" s="135"/>
      <c r="F424" s="107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</row>
    <row r="425" ht="15.75" customHeight="1">
      <c r="A425" s="109"/>
      <c r="B425" s="104"/>
      <c r="C425" s="104"/>
      <c r="D425" s="105"/>
      <c r="E425" s="135"/>
      <c r="F425" s="107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</row>
    <row r="426" ht="15.75" customHeight="1">
      <c r="A426" s="109"/>
      <c r="B426" s="104"/>
      <c r="C426" s="104"/>
      <c r="D426" s="105"/>
      <c r="E426" s="135"/>
      <c r="F426" s="107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</row>
    <row r="427" ht="15.75" customHeight="1">
      <c r="A427" s="109"/>
      <c r="B427" s="104"/>
      <c r="C427" s="104"/>
      <c r="D427" s="105"/>
      <c r="E427" s="135"/>
      <c r="F427" s="107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</row>
    <row r="428" ht="15.75" customHeight="1">
      <c r="A428" s="109"/>
      <c r="B428" s="104"/>
      <c r="C428" s="104"/>
      <c r="D428" s="105"/>
      <c r="E428" s="135"/>
      <c r="F428" s="107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</row>
    <row r="429" ht="15.75" customHeight="1">
      <c r="A429" s="109"/>
      <c r="B429" s="104"/>
      <c r="C429" s="104"/>
      <c r="D429" s="105"/>
      <c r="E429" s="135"/>
      <c r="F429" s="107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</row>
    <row r="430" ht="15.75" customHeight="1">
      <c r="A430" s="109"/>
      <c r="B430" s="104"/>
      <c r="C430" s="104"/>
      <c r="D430" s="105"/>
      <c r="E430" s="135"/>
      <c r="F430" s="107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</row>
    <row r="431" ht="15.75" customHeight="1">
      <c r="A431" s="109"/>
      <c r="B431" s="104"/>
      <c r="C431" s="104"/>
      <c r="D431" s="105"/>
      <c r="E431" s="135"/>
      <c r="F431" s="107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</row>
    <row r="432" ht="15.75" customHeight="1">
      <c r="A432" s="109"/>
      <c r="B432" s="104"/>
      <c r="C432" s="104"/>
      <c r="D432" s="105"/>
      <c r="E432" s="135"/>
      <c r="F432" s="107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</row>
    <row r="433" ht="15.75" customHeight="1">
      <c r="A433" s="109"/>
      <c r="B433" s="104"/>
      <c r="C433" s="104"/>
      <c r="D433" s="105"/>
      <c r="E433" s="135"/>
      <c r="F433" s="107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</row>
    <row r="434" ht="15.75" customHeight="1">
      <c r="A434" s="109"/>
      <c r="B434" s="104"/>
      <c r="C434" s="104"/>
      <c r="D434" s="105"/>
      <c r="E434" s="135"/>
      <c r="F434" s="107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</row>
    <row r="435" ht="15.75" customHeight="1">
      <c r="A435" s="109"/>
      <c r="B435" s="104"/>
      <c r="C435" s="104"/>
      <c r="D435" s="105"/>
      <c r="E435" s="135"/>
      <c r="F435" s="107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</row>
    <row r="436" ht="15.75" customHeight="1">
      <c r="A436" s="109"/>
      <c r="B436" s="104"/>
      <c r="C436" s="104"/>
      <c r="D436" s="105"/>
      <c r="E436" s="135"/>
      <c r="F436" s="107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</row>
    <row r="437" ht="15.75" customHeight="1">
      <c r="A437" s="109"/>
      <c r="B437" s="104"/>
      <c r="C437" s="104"/>
      <c r="D437" s="105"/>
      <c r="E437" s="135"/>
      <c r="F437" s="107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</row>
    <row r="438" ht="15.75" customHeight="1">
      <c r="A438" s="109"/>
      <c r="B438" s="104"/>
      <c r="C438" s="104"/>
      <c r="D438" s="105"/>
      <c r="E438" s="135"/>
      <c r="F438" s="107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</row>
    <row r="439" ht="15.75" customHeight="1">
      <c r="A439" s="109"/>
      <c r="B439" s="104"/>
      <c r="C439" s="104"/>
      <c r="D439" s="105"/>
      <c r="E439" s="135"/>
      <c r="F439" s="107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</row>
    <row r="440" ht="15.75" customHeight="1">
      <c r="A440" s="109"/>
      <c r="B440" s="104"/>
      <c r="C440" s="104"/>
      <c r="D440" s="105"/>
      <c r="E440" s="135"/>
      <c r="F440" s="107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</row>
    <row r="441" ht="15.75" customHeight="1">
      <c r="A441" s="109"/>
      <c r="B441" s="104"/>
      <c r="C441" s="104"/>
      <c r="D441" s="105"/>
      <c r="E441" s="135"/>
      <c r="F441" s="107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</row>
    <row r="442" ht="15.75" customHeight="1">
      <c r="A442" s="109"/>
      <c r="B442" s="104"/>
      <c r="C442" s="104"/>
      <c r="D442" s="105"/>
      <c r="E442" s="135"/>
      <c r="F442" s="107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</row>
    <row r="443" ht="15.75" customHeight="1">
      <c r="A443" s="109"/>
      <c r="B443" s="104"/>
      <c r="C443" s="104"/>
      <c r="D443" s="105"/>
      <c r="E443" s="135"/>
      <c r="F443" s="107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</row>
    <row r="444" ht="15.75" customHeight="1">
      <c r="A444" s="109"/>
      <c r="B444" s="104"/>
      <c r="C444" s="104"/>
      <c r="D444" s="105"/>
      <c r="E444" s="135"/>
      <c r="F444" s="107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</row>
    <row r="445" ht="15.75" customHeight="1">
      <c r="A445" s="109"/>
      <c r="B445" s="104"/>
      <c r="C445" s="104"/>
      <c r="D445" s="105"/>
      <c r="E445" s="135"/>
      <c r="F445" s="107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</row>
    <row r="446" ht="15.75" customHeight="1">
      <c r="A446" s="109"/>
      <c r="B446" s="104"/>
      <c r="C446" s="104"/>
      <c r="D446" s="105"/>
      <c r="E446" s="135"/>
      <c r="F446" s="107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</row>
    <row r="447" ht="15.75" customHeight="1">
      <c r="A447" s="109"/>
      <c r="B447" s="104"/>
      <c r="C447" s="104"/>
      <c r="D447" s="105"/>
      <c r="E447" s="135"/>
      <c r="F447" s="107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</row>
    <row r="448" ht="15.75" customHeight="1">
      <c r="A448" s="109"/>
      <c r="B448" s="104"/>
      <c r="C448" s="104"/>
      <c r="D448" s="105"/>
      <c r="E448" s="135"/>
      <c r="F448" s="107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</row>
    <row r="449" ht="15.75" customHeight="1">
      <c r="A449" s="109"/>
      <c r="B449" s="104"/>
      <c r="C449" s="104"/>
      <c r="D449" s="105"/>
      <c r="E449" s="135"/>
      <c r="F449" s="107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</row>
    <row r="450" ht="15.75" customHeight="1">
      <c r="A450" s="109"/>
      <c r="B450" s="104"/>
      <c r="C450" s="104"/>
      <c r="D450" s="105"/>
      <c r="E450" s="135"/>
      <c r="F450" s="107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</row>
    <row r="451" ht="15.75" customHeight="1">
      <c r="A451" s="109"/>
      <c r="B451" s="104"/>
      <c r="C451" s="104"/>
      <c r="D451" s="105"/>
      <c r="E451" s="135"/>
      <c r="F451" s="107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</row>
    <row r="452" ht="15.75" customHeight="1">
      <c r="A452" s="109"/>
      <c r="B452" s="104"/>
      <c r="C452" s="104"/>
      <c r="D452" s="105"/>
      <c r="E452" s="135"/>
      <c r="F452" s="107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</row>
    <row r="453" ht="15.75" customHeight="1">
      <c r="A453" s="109"/>
      <c r="B453" s="104"/>
      <c r="C453" s="104"/>
      <c r="D453" s="105"/>
      <c r="E453" s="135"/>
      <c r="F453" s="107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</row>
    <row r="454" ht="15.75" customHeight="1">
      <c r="A454" s="109"/>
      <c r="B454" s="104"/>
      <c r="C454" s="104"/>
      <c r="D454" s="105"/>
      <c r="E454" s="135"/>
      <c r="F454" s="107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</row>
    <row r="455" ht="15.75" customHeight="1">
      <c r="A455" s="109"/>
      <c r="B455" s="104"/>
      <c r="C455" s="104"/>
      <c r="D455" s="105"/>
      <c r="E455" s="135"/>
      <c r="F455" s="107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</row>
    <row r="456" ht="15.75" customHeight="1">
      <c r="A456" s="109"/>
      <c r="B456" s="104"/>
      <c r="C456" s="104"/>
      <c r="D456" s="105"/>
      <c r="E456" s="135"/>
      <c r="F456" s="107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</row>
    <row r="457" ht="15.75" customHeight="1">
      <c r="A457" s="109"/>
      <c r="B457" s="104"/>
      <c r="C457" s="104"/>
      <c r="D457" s="105"/>
      <c r="E457" s="135"/>
      <c r="F457" s="107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</row>
    <row r="458" ht="15.75" customHeight="1">
      <c r="A458" s="109"/>
      <c r="B458" s="104"/>
      <c r="C458" s="104"/>
      <c r="D458" s="105"/>
      <c r="E458" s="135"/>
      <c r="F458" s="107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</row>
    <row r="459" ht="15.75" customHeight="1">
      <c r="A459" s="109"/>
      <c r="B459" s="104"/>
      <c r="C459" s="104"/>
      <c r="D459" s="105"/>
      <c r="E459" s="135"/>
      <c r="F459" s="107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</row>
    <row r="460" ht="15.75" customHeight="1">
      <c r="A460" s="109"/>
      <c r="B460" s="104"/>
      <c r="C460" s="104"/>
      <c r="D460" s="105"/>
      <c r="E460" s="135"/>
      <c r="F460" s="107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</row>
    <row r="461" ht="15.75" customHeight="1">
      <c r="A461" s="109"/>
      <c r="B461" s="104"/>
      <c r="C461" s="104"/>
      <c r="D461" s="105"/>
      <c r="E461" s="135"/>
      <c r="F461" s="107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</row>
    <row r="462" ht="15.75" customHeight="1">
      <c r="A462" s="109"/>
      <c r="B462" s="104"/>
      <c r="C462" s="104"/>
      <c r="D462" s="105"/>
      <c r="E462" s="135"/>
      <c r="F462" s="107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</row>
    <row r="463" ht="15.75" customHeight="1">
      <c r="A463" s="109"/>
      <c r="B463" s="104"/>
      <c r="C463" s="104"/>
      <c r="D463" s="105"/>
      <c r="E463" s="135"/>
      <c r="F463" s="107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</row>
    <row r="464" ht="15.75" customHeight="1">
      <c r="A464" s="109"/>
      <c r="B464" s="104"/>
      <c r="C464" s="104"/>
      <c r="D464" s="105"/>
      <c r="E464" s="135"/>
      <c r="F464" s="107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</row>
    <row r="465" ht="15.75" customHeight="1">
      <c r="A465" s="109"/>
      <c r="B465" s="104"/>
      <c r="C465" s="104"/>
      <c r="D465" s="105"/>
      <c r="E465" s="135"/>
      <c r="F465" s="107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</row>
    <row r="466" ht="15.75" customHeight="1">
      <c r="A466" s="109"/>
      <c r="B466" s="104"/>
      <c r="C466" s="104"/>
      <c r="D466" s="105"/>
      <c r="E466" s="135"/>
      <c r="F466" s="107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</row>
    <row r="467" ht="15.75" customHeight="1">
      <c r="A467" s="109"/>
      <c r="B467" s="104"/>
      <c r="C467" s="104"/>
      <c r="D467" s="105"/>
      <c r="E467" s="135"/>
      <c r="F467" s="107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</row>
    <row r="468" ht="15.75" customHeight="1">
      <c r="A468" s="109"/>
      <c r="B468" s="104"/>
      <c r="C468" s="104"/>
      <c r="D468" s="105"/>
      <c r="E468" s="135"/>
      <c r="F468" s="107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</row>
    <row r="469" ht="15.75" customHeight="1">
      <c r="A469" s="109"/>
      <c r="B469" s="104"/>
      <c r="C469" s="104"/>
      <c r="D469" s="105"/>
      <c r="E469" s="135"/>
      <c r="F469" s="107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</row>
    <row r="470" ht="15.75" customHeight="1">
      <c r="A470" s="109"/>
      <c r="B470" s="104"/>
      <c r="C470" s="104"/>
      <c r="D470" s="105"/>
      <c r="E470" s="135"/>
      <c r="F470" s="107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</row>
    <row r="471" ht="15.75" customHeight="1">
      <c r="A471" s="109"/>
      <c r="B471" s="104"/>
      <c r="C471" s="104"/>
      <c r="D471" s="105"/>
      <c r="E471" s="135"/>
      <c r="F471" s="107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</row>
    <row r="472" ht="15.75" customHeight="1">
      <c r="A472" s="109"/>
      <c r="B472" s="104"/>
      <c r="C472" s="104"/>
      <c r="D472" s="105"/>
      <c r="E472" s="135"/>
      <c r="F472" s="107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</row>
    <row r="473" ht="15.75" customHeight="1">
      <c r="A473" s="109"/>
      <c r="B473" s="104"/>
      <c r="C473" s="104"/>
      <c r="D473" s="105"/>
      <c r="E473" s="135"/>
      <c r="F473" s="107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</row>
    <row r="474" ht="15.75" customHeight="1">
      <c r="A474" s="109"/>
      <c r="B474" s="104"/>
      <c r="C474" s="104"/>
      <c r="D474" s="105"/>
      <c r="E474" s="135"/>
      <c r="F474" s="107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</row>
    <row r="475" ht="15.75" customHeight="1">
      <c r="A475" s="109"/>
      <c r="B475" s="104"/>
      <c r="C475" s="104"/>
      <c r="D475" s="105"/>
      <c r="E475" s="135"/>
      <c r="F475" s="107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</row>
    <row r="476" ht="15.75" customHeight="1">
      <c r="A476" s="109"/>
      <c r="B476" s="104"/>
      <c r="C476" s="104"/>
      <c r="D476" s="105"/>
      <c r="E476" s="135"/>
      <c r="F476" s="107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</row>
    <row r="477" ht="15.75" customHeight="1">
      <c r="A477" s="109"/>
      <c r="B477" s="104"/>
      <c r="C477" s="104"/>
      <c r="D477" s="105"/>
      <c r="E477" s="135"/>
      <c r="F477" s="107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</row>
    <row r="478" ht="15.75" customHeight="1">
      <c r="A478" s="109"/>
      <c r="B478" s="104"/>
      <c r="C478" s="104"/>
      <c r="D478" s="105"/>
      <c r="E478" s="135"/>
      <c r="F478" s="107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</row>
    <row r="479" ht="15.75" customHeight="1">
      <c r="A479" s="109"/>
      <c r="B479" s="104"/>
      <c r="C479" s="104"/>
      <c r="D479" s="105"/>
      <c r="E479" s="135"/>
      <c r="F479" s="107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</row>
    <row r="480" ht="15.75" customHeight="1">
      <c r="A480" s="109"/>
      <c r="B480" s="104"/>
      <c r="C480" s="104"/>
      <c r="D480" s="105"/>
      <c r="E480" s="135"/>
      <c r="F480" s="107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</row>
    <row r="481" ht="15.75" customHeight="1">
      <c r="A481" s="109"/>
      <c r="B481" s="104"/>
      <c r="C481" s="104"/>
      <c r="D481" s="105"/>
      <c r="E481" s="135"/>
      <c r="F481" s="107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</row>
    <row r="482" ht="15.75" customHeight="1">
      <c r="A482" s="109"/>
      <c r="B482" s="104"/>
      <c r="C482" s="104"/>
      <c r="D482" s="105"/>
      <c r="E482" s="135"/>
      <c r="F482" s="107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</row>
    <row r="483" ht="15.75" customHeight="1">
      <c r="A483" s="109"/>
      <c r="B483" s="104"/>
      <c r="C483" s="104"/>
      <c r="D483" s="105"/>
      <c r="E483" s="135"/>
      <c r="F483" s="107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</row>
    <row r="484" ht="15.75" customHeight="1">
      <c r="A484" s="109"/>
      <c r="B484" s="104"/>
      <c r="C484" s="104"/>
      <c r="D484" s="105"/>
      <c r="E484" s="135"/>
      <c r="F484" s="107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</row>
    <row r="485" ht="15.75" customHeight="1">
      <c r="A485" s="109"/>
      <c r="B485" s="104"/>
      <c r="C485" s="104"/>
      <c r="D485" s="105"/>
      <c r="E485" s="135"/>
      <c r="F485" s="107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</row>
    <row r="486" ht="15.75" customHeight="1">
      <c r="A486" s="109"/>
      <c r="B486" s="104"/>
      <c r="C486" s="104"/>
      <c r="D486" s="105"/>
      <c r="E486" s="135"/>
      <c r="F486" s="107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</row>
    <row r="487" ht="15.75" customHeight="1">
      <c r="A487" s="109"/>
      <c r="B487" s="104"/>
      <c r="C487" s="104"/>
      <c r="D487" s="105"/>
      <c r="E487" s="135"/>
      <c r="F487" s="107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</row>
    <row r="488" ht="15.75" customHeight="1">
      <c r="A488" s="109"/>
      <c r="B488" s="104"/>
      <c r="C488" s="104"/>
      <c r="D488" s="105"/>
      <c r="E488" s="135"/>
      <c r="F488" s="107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</row>
    <row r="489" ht="15.75" customHeight="1">
      <c r="A489" s="109"/>
      <c r="B489" s="104"/>
      <c r="C489" s="104"/>
      <c r="D489" s="105"/>
      <c r="E489" s="135"/>
      <c r="F489" s="107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</row>
    <row r="490" ht="15.75" customHeight="1">
      <c r="A490" s="109"/>
      <c r="B490" s="104"/>
      <c r="C490" s="104"/>
      <c r="D490" s="105"/>
      <c r="E490" s="135"/>
      <c r="F490" s="107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</row>
    <row r="491" ht="15.75" customHeight="1">
      <c r="A491" s="109"/>
      <c r="B491" s="104"/>
      <c r="C491" s="104"/>
      <c r="D491" s="105"/>
      <c r="E491" s="135"/>
      <c r="F491" s="107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</row>
    <row r="492" ht="15.75" customHeight="1">
      <c r="A492" s="109"/>
      <c r="B492" s="104"/>
      <c r="C492" s="104"/>
      <c r="D492" s="105"/>
      <c r="E492" s="135"/>
      <c r="F492" s="107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</row>
    <row r="493" ht="15.75" customHeight="1">
      <c r="A493" s="109"/>
      <c r="B493" s="104"/>
      <c r="C493" s="104"/>
      <c r="D493" s="105"/>
      <c r="E493" s="135"/>
      <c r="F493" s="107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</row>
    <row r="494" ht="15.75" customHeight="1">
      <c r="A494" s="109"/>
      <c r="B494" s="104"/>
      <c r="C494" s="104"/>
      <c r="D494" s="105"/>
      <c r="E494" s="135"/>
      <c r="F494" s="107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</row>
    <row r="495" ht="15.75" customHeight="1">
      <c r="A495" s="109"/>
      <c r="B495" s="104"/>
      <c r="C495" s="104"/>
      <c r="D495" s="105"/>
      <c r="E495" s="135"/>
      <c r="F495" s="107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</row>
    <row r="496" ht="15.75" customHeight="1">
      <c r="A496" s="109"/>
      <c r="B496" s="104"/>
      <c r="C496" s="104"/>
      <c r="D496" s="105"/>
      <c r="E496" s="135"/>
      <c r="F496" s="107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</row>
    <row r="497" ht="15.75" customHeight="1">
      <c r="A497" s="109"/>
      <c r="B497" s="104"/>
      <c r="C497" s="104"/>
      <c r="D497" s="105"/>
      <c r="E497" s="135"/>
      <c r="F497" s="107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</row>
    <row r="498" ht="15.75" customHeight="1">
      <c r="A498" s="109"/>
      <c r="B498" s="104"/>
      <c r="C498" s="104"/>
      <c r="D498" s="105"/>
      <c r="E498" s="135"/>
      <c r="F498" s="107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</row>
    <row r="499" ht="15.75" customHeight="1">
      <c r="A499" s="109"/>
      <c r="B499" s="104"/>
      <c r="C499" s="104"/>
      <c r="D499" s="105"/>
      <c r="E499" s="135"/>
      <c r="F499" s="107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</row>
    <row r="500" ht="15.75" customHeight="1">
      <c r="A500" s="109"/>
      <c r="B500" s="104"/>
      <c r="C500" s="104"/>
      <c r="D500" s="105"/>
      <c r="E500" s="135"/>
      <c r="F500" s="107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</row>
    <row r="501" ht="15.75" customHeight="1">
      <c r="A501" s="109"/>
      <c r="B501" s="104"/>
      <c r="C501" s="104"/>
      <c r="D501" s="105"/>
      <c r="E501" s="135"/>
      <c r="F501" s="107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</row>
    <row r="502" ht="15.75" customHeight="1">
      <c r="A502" s="109"/>
      <c r="B502" s="104"/>
      <c r="C502" s="104"/>
      <c r="D502" s="105"/>
      <c r="E502" s="135"/>
      <c r="F502" s="107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</row>
    <row r="503" ht="15.75" customHeight="1">
      <c r="A503" s="109"/>
      <c r="B503" s="104"/>
      <c r="C503" s="104"/>
      <c r="D503" s="105"/>
      <c r="E503" s="135"/>
      <c r="F503" s="107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</row>
    <row r="504" ht="15.75" customHeight="1">
      <c r="A504" s="109"/>
      <c r="B504" s="104"/>
      <c r="C504" s="104"/>
      <c r="D504" s="105"/>
      <c r="E504" s="135"/>
      <c r="F504" s="107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</row>
    <row r="505" ht="15.75" customHeight="1">
      <c r="A505" s="109"/>
      <c r="B505" s="104"/>
      <c r="C505" s="104"/>
      <c r="D505" s="105"/>
      <c r="E505" s="135"/>
      <c r="F505" s="107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</row>
    <row r="506" ht="15.75" customHeight="1">
      <c r="A506" s="109"/>
      <c r="B506" s="104"/>
      <c r="C506" s="104"/>
      <c r="D506" s="105"/>
      <c r="E506" s="135"/>
      <c r="F506" s="107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</row>
    <row r="507" ht="15.75" customHeight="1">
      <c r="A507" s="109"/>
      <c r="B507" s="104"/>
      <c r="C507" s="104"/>
      <c r="D507" s="105"/>
      <c r="E507" s="135"/>
      <c r="F507" s="107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</row>
    <row r="508" ht="15.75" customHeight="1">
      <c r="A508" s="109"/>
      <c r="B508" s="104"/>
      <c r="C508" s="104"/>
      <c r="D508" s="105"/>
      <c r="E508" s="135"/>
      <c r="F508" s="107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</row>
    <row r="509" ht="15.75" customHeight="1">
      <c r="A509" s="109"/>
      <c r="B509" s="104"/>
      <c r="C509" s="104"/>
      <c r="D509" s="105"/>
      <c r="E509" s="135"/>
      <c r="F509" s="107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</row>
    <row r="510" ht="15.75" customHeight="1">
      <c r="A510" s="109"/>
      <c r="B510" s="104"/>
      <c r="C510" s="104"/>
      <c r="D510" s="105"/>
      <c r="E510" s="135"/>
      <c r="F510" s="107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</row>
    <row r="511" ht="15.75" customHeight="1">
      <c r="A511" s="109"/>
      <c r="B511" s="104"/>
      <c r="C511" s="104"/>
      <c r="D511" s="105"/>
      <c r="E511" s="135"/>
      <c r="F511" s="107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</row>
    <row r="512" ht="15.75" customHeight="1">
      <c r="A512" s="109"/>
      <c r="B512" s="104"/>
      <c r="C512" s="104"/>
      <c r="D512" s="105"/>
      <c r="E512" s="135"/>
      <c r="F512" s="107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</row>
    <row r="513" ht="15.75" customHeight="1">
      <c r="A513" s="109"/>
      <c r="B513" s="104"/>
      <c r="C513" s="104"/>
      <c r="D513" s="105"/>
      <c r="E513" s="135"/>
      <c r="F513" s="107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</row>
    <row r="514" ht="15.75" customHeight="1">
      <c r="A514" s="109"/>
      <c r="B514" s="104"/>
      <c r="C514" s="104"/>
      <c r="D514" s="105"/>
      <c r="E514" s="135"/>
      <c r="F514" s="107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</row>
    <row r="515" ht="15.75" customHeight="1">
      <c r="A515" s="109"/>
      <c r="B515" s="104"/>
      <c r="C515" s="104"/>
      <c r="D515" s="105"/>
      <c r="E515" s="135"/>
      <c r="F515" s="107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</row>
    <row r="516" ht="15.75" customHeight="1">
      <c r="A516" s="109"/>
      <c r="B516" s="104"/>
      <c r="C516" s="104"/>
      <c r="D516" s="105"/>
      <c r="E516" s="135"/>
      <c r="F516" s="107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</row>
    <row r="517" ht="15.75" customHeight="1">
      <c r="A517" s="109"/>
      <c r="B517" s="104"/>
      <c r="C517" s="104"/>
      <c r="D517" s="105"/>
      <c r="E517" s="135"/>
      <c r="F517" s="107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</row>
    <row r="518" ht="15.75" customHeight="1">
      <c r="A518" s="109"/>
      <c r="B518" s="104"/>
      <c r="C518" s="104"/>
      <c r="D518" s="105"/>
      <c r="E518" s="135"/>
      <c r="F518" s="107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</row>
    <row r="519" ht="15.75" customHeight="1">
      <c r="A519" s="109"/>
      <c r="B519" s="104"/>
      <c r="C519" s="104"/>
      <c r="D519" s="105"/>
      <c r="E519" s="135"/>
      <c r="F519" s="107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</row>
    <row r="520" ht="15.75" customHeight="1">
      <c r="A520" s="109"/>
      <c r="B520" s="104"/>
      <c r="C520" s="104"/>
      <c r="D520" s="105"/>
      <c r="E520" s="135"/>
      <c r="F520" s="107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</row>
    <row r="521" ht="15.75" customHeight="1">
      <c r="A521" s="109"/>
      <c r="B521" s="104"/>
      <c r="C521" s="104"/>
      <c r="D521" s="105"/>
      <c r="E521" s="135"/>
      <c r="F521" s="107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</row>
    <row r="522" ht="15.75" customHeight="1">
      <c r="A522" s="109"/>
      <c r="B522" s="104"/>
      <c r="C522" s="104"/>
      <c r="D522" s="105"/>
      <c r="E522" s="135"/>
      <c r="F522" s="107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</row>
    <row r="523" ht="15.75" customHeight="1">
      <c r="A523" s="109"/>
      <c r="B523" s="104"/>
      <c r="C523" s="104"/>
      <c r="D523" s="105"/>
      <c r="E523" s="135"/>
      <c r="F523" s="107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</row>
    <row r="524" ht="15.75" customHeight="1">
      <c r="A524" s="109"/>
      <c r="B524" s="104"/>
      <c r="C524" s="104"/>
      <c r="D524" s="105"/>
      <c r="E524" s="135"/>
      <c r="F524" s="107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</row>
    <row r="525" ht="15.75" customHeight="1">
      <c r="A525" s="109"/>
      <c r="B525" s="104"/>
      <c r="C525" s="104"/>
      <c r="D525" s="105"/>
      <c r="E525" s="135"/>
      <c r="F525" s="107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</row>
    <row r="526" ht="15.75" customHeight="1">
      <c r="A526" s="109"/>
      <c r="B526" s="104"/>
      <c r="C526" s="104"/>
      <c r="D526" s="105"/>
      <c r="E526" s="135"/>
      <c r="F526" s="107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</row>
    <row r="527" ht="15.75" customHeight="1">
      <c r="A527" s="109"/>
      <c r="B527" s="104"/>
      <c r="C527" s="104"/>
      <c r="D527" s="105"/>
      <c r="E527" s="135"/>
      <c r="F527" s="107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</row>
    <row r="528" ht="15.75" customHeight="1">
      <c r="A528" s="109"/>
      <c r="B528" s="104"/>
      <c r="C528" s="104"/>
      <c r="D528" s="105"/>
      <c r="E528" s="135"/>
      <c r="F528" s="107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</row>
    <row r="529" ht="15.75" customHeight="1">
      <c r="A529" s="109"/>
      <c r="B529" s="104"/>
      <c r="C529" s="104"/>
      <c r="D529" s="105"/>
      <c r="E529" s="135"/>
      <c r="F529" s="107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</row>
    <row r="530" ht="15.75" customHeight="1">
      <c r="A530" s="109"/>
      <c r="B530" s="104"/>
      <c r="C530" s="104"/>
      <c r="D530" s="105"/>
      <c r="E530" s="135"/>
      <c r="F530" s="107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</row>
    <row r="531" ht="15.75" customHeight="1">
      <c r="A531" s="109"/>
      <c r="B531" s="104"/>
      <c r="C531" s="104"/>
      <c r="D531" s="105"/>
      <c r="E531" s="135"/>
      <c r="F531" s="107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</row>
    <row r="532" ht="15.75" customHeight="1">
      <c r="A532" s="109"/>
      <c r="B532" s="104"/>
      <c r="C532" s="104"/>
      <c r="D532" s="105"/>
      <c r="E532" s="135"/>
      <c r="F532" s="107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</row>
    <row r="533" ht="15.75" customHeight="1">
      <c r="A533" s="109"/>
      <c r="B533" s="104"/>
      <c r="C533" s="104"/>
      <c r="D533" s="105"/>
      <c r="E533" s="135"/>
      <c r="F533" s="107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</row>
    <row r="534" ht="15.75" customHeight="1">
      <c r="A534" s="109"/>
      <c r="B534" s="104"/>
      <c r="C534" s="104"/>
      <c r="D534" s="105"/>
      <c r="E534" s="135"/>
      <c r="F534" s="107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</row>
    <row r="535" ht="15.75" customHeight="1">
      <c r="A535" s="109"/>
      <c r="B535" s="104"/>
      <c r="C535" s="104"/>
      <c r="D535" s="105"/>
      <c r="E535" s="135"/>
      <c r="F535" s="107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</row>
    <row r="536" ht="15.75" customHeight="1">
      <c r="A536" s="109"/>
      <c r="B536" s="104"/>
      <c r="C536" s="104"/>
      <c r="D536" s="105"/>
      <c r="E536" s="135"/>
      <c r="F536" s="107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</row>
    <row r="537" ht="15.75" customHeight="1">
      <c r="A537" s="109"/>
      <c r="B537" s="104"/>
      <c r="C537" s="104"/>
      <c r="D537" s="105"/>
      <c r="E537" s="135"/>
      <c r="F537" s="107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</row>
    <row r="538" ht="15.75" customHeight="1">
      <c r="A538" s="109"/>
      <c r="B538" s="104"/>
      <c r="C538" s="104"/>
      <c r="D538" s="105"/>
      <c r="E538" s="135"/>
      <c r="F538" s="107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</row>
    <row r="539" ht="15.75" customHeight="1">
      <c r="A539" s="109"/>
      <c r="B539" s="104"/>
      <c r="C539" s="104"/>
      <c r="D539" s="105"/>
      <c r="E539" s="135"/>
      <c r="F539" s="107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</row>
    <row r="540" ht="15.75" customHeight="1">
      <c r="A540" s="109"/>
      <c r="B540" s="104"/>
      <c r="C540" s="104"/>
      <c r="D540" s="105"/>
      <c r="E540" s="135"/>
      <c r="F540" s="107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</row>
    <row r="541" ht="15.75" customHeight="1">
      <c r="A541" s="109"/>
      <c r="B541" s="104"/>
      <c r="C541" s="104"/>
      <c r="D541" s="105"/>
      <c r="E541" s="135"/>
      <c r="F541" s="107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</row>
    <row r="542" ht="15.75" customHeight="1">
      <c r="A542" s="109"/>
      <c r="B542" s="104"/>
      <c r="C542" s="104"/>
      <c r="D542" s="105"/>
      <c r="E542" s="135"/>
      <c r="F542" s="107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</row>
    <row r="543" ht="15.75" customHeight="1">
      <c r="A543" s="109"/>
      <c r="B543" s="104"/>
      <c r="C543" s="104"/>
      <c r="D543" s="105"/>
      <c r="E543" s="135"/>
      <c r="F543" s="107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</row>
    <row r="544" ht="15.75" customHeight="1">
      <c r="A544" s="109"/>
      <c r="B544" s="104"/>
      <c r="C544" s="104"/>
      <c r="D544" s="105"/>
      <c r="E544" s="135"/>
      <c r="F544" s="107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</row>
    <row r="545" ht="15.75" customHeight="1">
      <c r="A545" s="109"/>
      <c r="B545" s="104"/>
      <c r="C545" s="104"/>
      <c r="D545" s="105"/>
      <c r="E545" s="135"/>
      <c r="F545" s="107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</row>
    <row r="546" ht="15.75" customHeight="1">
      <c r="A546" s="109"/>
      <c r="B546" s="104"/>
      <c r="C546" s="104"/>
      <c r="D546" s="105"/>
      <c r="E546" s="135"/>
      <c r="F546" s="107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</row>
    <row r="547" ht="15.75" customHeight="1">
      <c r="A547" s="109"/>
      <c r="B547" s="104"/>
      <c r="C547" s="104"/>
      <c r="D547" s="105"/>
      <c r="E547" s="135"/>
      <c r="F547" s="107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</row>
    <row r="548" ht="15.75" customHeight="1">
      <c r="A548" s="109"/>
      <c r="B548" s="104"/>
      <c r="C548" s="104"/>
      <c r="D548" s="105"/>
      <c r="E548" s="135"/>
      <c r="F548" s="107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</row>
    <row r="549" ht="15.75" customHeight="1">
      <c r="A549" s="109"/>
      <c r="B549" s="104"/>
      <c r="C549" s="104"/>
      <c r="D549" s="105"/>
      <c r="E549" s="135"/>
      <c r="F549" s="107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</row>
    <row r="550" ht="15.75" customHeight="1">
      <c r="A550" s="109"/>
      <c r="B550" s="104"/>
      <c r="C550" s="104"/>
      <c r="D550" s="105"/>
      <c r="E550" s="135"/>
      <c r="F550" s="107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</row>
    <row r="551" ht="15.75" customHeight="1">
      <c r="A551" s="109"/>
      <c r="B551" s="104"/>
      <c r="C551" s="104"/>
      <c r="D551" s="105"/>
      <c r="E551" s="135"/>
      <c r="F551" s="107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</row>
    <row r="552" ht="15.75" customHeight="1">
      <c r="A552" s="109"/>
      <c r="B552" s="104"/>
      <c r="C552" s="104"/>
      <c r="D552" s="105"/>
      <c r="E552" s="135"/>
      <c r="F552" s="107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</row>
    <row r="553" ht="15.75" customHeight="1">
      <c r="A553" s="109"/>
      <c r="B553" s="104"/>
      <c r="C553" s="104"/>
      <c r="D553" s="105"/>
      <c r="E553" s="135"/>
      <c r="F553" s="107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</row>
    <row r="554" ht="15.75" customHeight="1">
      <c r="A554" s="109"/>
      <c r="B554" s="104"/>
      <c r="C554" s="104"/>
      <c r="D554" s="105"/>
      <c r="E554" s="135"/>
      <c r="F554" s="107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</row>
    <row r="555" ht="15.75" customHeight="1">
      <c r="A555" s="109"/>
      <c r="B555" s="104"/>
      <c r="C555" s="104"/>
      <c r="D555" s="105"/>
      <c r="E555" s="135"/>
      <c r="F555" s="107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</row>
    <row r="556" ht="15.75" customHeight="1">
      <c r="A556" s="109"/>
      <c r="B556" s="104"/>
      <c r="C556" s="104"/>
      <c r="D556" s="105"/>
      <c r="E556" s="135"/>
      <c r="F556" s="107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</row>
    <row r="557" ht="15.75" customHeight="1">
      <c r="A557" s="109"/>
      <c r="B557" s="104"/>
      <c r="C557" s="104"/>
      <c r="D557" s="105"/>
      <c r="E557" s="135"/>
      <c r="F557" s="107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</row>
    <row r="558" ht="15.75" customHeight="1">
      <c r="A558" s="109"/>
      <c r="B558" s="104"/>
      <c r="C558" s="104"/>
      <c r="D558" s="105"/>
      <c r="E558" s="135"/>
      <c r="F558" s="107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</row>
    <row r="559" ht="15.75" customHeight="1">
      <c r="A559" s="109"/>
      <c r="B559" s="104"/>
      <c r="C559" s="104"/>
      <c r="D559" s="105"/>
      <c r="E559" s="135"/>
      <c r="F559" s="107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</row>
    <row r="560" ht="15.75" customHeight="1">
      <c r="A560" s="109"/>
      <c r="B560" s="104"/>
      <c r="C560" s="104"/>
      <c r="D560" s="105"/>
      <c r="E560" s="135"/>
      <c r="F560" s="107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</row>
    <row r="561" ht="15.75" customHeight="1">
      <c r="A561" s="109"/>
      <c r="B561" s="104"/>
      <c r="C561" s="104"/>
      <c r="D561" s="105"/>
      <c r="E561" s="135"/>
      <c r="F561" s="107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</row>
    <row r="562" ht="15.75" customHeight="1">
      <c r="A562" s="109"/>
      <c r="B562" s="104"/>
      <c r="C562" s="104"/>
      <c r="D562" s="105"/>
      <c r="E562" s="135"/>
      <c r="F562" s="107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</row>
    <row r="563" ht="15.75" customHeight="1">
      <c r="A563" s="109"/>
      <c r="B563" s="104"/>
      <c r="C563" s="104"/>
      <c r="D563" s="105"/>
      <c r="E563" s="135"/>
      <c r="F563" s="107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</row>
    <row r="564" ht="15.75" customHeight="1">
      <c r="A564" s="109"/>
      <c r="B564" s="104"/>
      <c r="C564" s="104"/>
      <c r="D564" s="105"/>
      <c r="E564" s="135"/>
      <c r="F564" s="107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</row>
    <row r="565" ht="15.75" customHeight="1">
      <c r="A565" s="109"/>
      <c r="B565" s="104"/>
      <c r="C565" s="104"/>
      <c r="D565" s="105"/>
      <c r="E565" s="135"/>
      <c r="F565" s="107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</row>
    <row r="566" ht="15.75" customHeight="1">
      <c r="A566" s="109"/>
      <c r="B566" s="104"/>
      <c r="C566" s="104"/>
      <c r="D566" s="105"/>
      <c r="E566" s="135"/>
      <c r="F566" s="107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</row>
    <row r="567" ht="15.75" customHeight="1">
      <c r="A567" s="109"/>
      <c r="B567" s="104"/>
      <c r="C567" s="104"/>
      <c r="D567" s="105"/>
      <c r="E567" s="135"/>
      <c r="F567" s="107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</row>
    <row r="568" ht="15.75" customHeight="1">
      <c r="A568" s="109"/>
      <c r="B568" s="104"/>
      <c r="C568" s="104"/>
      <c r="D568" s="105"/>
      <c r="E568" s="135"/>
      <c r="F568" s="107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</row>
    <row r="569" ht="15.75" customHeight="1">
      <c r="A569" s="109"/>
      <c r="B569" s="104"/>
      <c r="C569" s="104"/>
      <c r="D569" s="105"/>
      <c r="E569" s="135"/>
      <c r="F569" s="107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</row>
    <row r="570" ht="15.75" customHeight="1">
      <c r="A570" s="109"/>
      <c r="B570" s="104"/>
      <c r="C570" s="104"/>
      <c r="D570" s="105"/>
      <c r="E570" s="135"/>
      <c r="F570" s="107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</row>
    <row r="571" ht="15.75" customHeight="1">
      <c r="A571" s="109"/>
      <c r="B571" s="104"/>
      <c r="C571" s="104"/>
      <c r="D571" s="105"/>
      <c r="E571" s="135"/>
      <c r="F571" s="107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</row>
    <row r="572" ht="15.75" customHeight="1">
      <c r="A572" s="109"/>
      <c r="B572" s="104"/>
      <c r="C572" s="104"/>
      <c r="D572" s="105"/>
      <c r="E572" s="135"/>
      <c r="F572" s="107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</row>
    <row r="573" ht="15.75" customHeight="1">
      <c r="A573" s="109"/>
      <c r="B573" s="104"/>
      <c r="C573" s="104"/>
      <c r="D573" s="105"/>
      <c r="E573" s="135"/>
      <c r="F573" s="107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</row>
    <row r="574" ht="15.75" customHeight="1">
      <c r="A574" s="109"/>
      <c r="B574" s="104"/>
      <c r="C574" s="104"/>
      <c r="D574" s="105"/>
      <c r="E574" s="135"/>
      <c r="F574" s="107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</row>
    <row r="575" ht="15.75" customHeight="1">
      <c r="A575" s="109"/>
      <c r="B575" s="104"/>
      <c r="C575" s="104"/>
      <c r="D575" s="105"/>
      <c r="E575" s="135"/>
      <c r="F575" s="107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</row>
    <row r="576" ht="15.75" customHeight="1">
      <c r="A576" s="109"/>
      <c r="B576" s="104"/>
      <c r="C576" s="104"/>
      <c r="D576" s="105"/>
      <c r="E576" s="135"/>
      <c r="F576" s="107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</row>
    <row r="577" ht="15.75" customHeight="1">
      <c r="A577" s="109"/>
      <c r="B577" s="104"/>
      <c r="C577" s="104"/>
      <c r="D577" s="105"/>
      <c r="E577" s="135"/>
      <c r="F577" s="107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</row>
    <row r="578" ht="15.75" customHeight="1">
      <c r="A578" s="109"/>
      <c r="B578" s="104"/>
      <c r="C578" s="104"/>
      <c r="D578" s="105"/>
      <c r="E578" s="135"/>
      <c r="F578" s="107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</row>
    <row r="579" ht="15.75" customHeight="1">
      <c r="A579" s="109"/>
      <c r="B579" s="104"/>
      <c r="C579" s="104"/>
      <c r="D579" s="105"/>
      <c r="E579" s="135"/>
      <c r="F579" s="107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</row>
    <row r="580" ht="15.75" customHeight="1">
      <c r="A580" s="109"/>
      <c r="B580" s="104"/>
      <c r="C580" s="104"/>
      <c r="D580" s="105"/>
      <c r="E580" s="135"/>
      <c r="F580" s="107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</row>
    <row r="581" ht="15.75" customHeight="1">
      <c r="A581" s="109"/>
      <c r="B581" s="104"/>
      <c r="C581" s="104"/>
      <c r="D581" s="105"/>
      <c r="E581" s="135"/>
      <c r="F581" s="107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</row>
    <row r="582" ht="15.75" customHeight="1">
      <c r="A582" s="109"/>
      <c r="B582" s="104"/>
      <c r="C582" s="104"/>
      <c r="D582" s="105"/>
      <c r="E582" s="135"/>
      <c r="F582" s="107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</row>
    <row r="583" ht="15.75" customHeight="1">
      <c r="A583" s="109"/>
      <c r="B583" s="104"/>
      <c r="C583" s="104"/>
      <c r="D583" s="105"/>
      <c r="E583" s="135"/>
      <c r="F583" s="107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</row>
    <row r="584" ht="15.75" customHeight="1">
      <c r="A584" s="109"/>
      <c r="B584" s="104"/>
      <c r="C584" s="104"/>
      <c r="D584" s="105"/>
      <c r="E584" s="135"/>
      <c r="F584" s="107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</row>
    <row r="585" ht="15.75" customHeight="1">
      <c r="A585" s="109"/>
      <c r="B585" s="104"/>
      <c r="C585" s="104"/>
      <c r="D585" s="105"/>
      <c r="E585" s="135"/>
      <c r="F585" s="107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</row>
    <row r="586" ht="15.75" customHeight="1">
      <c r="A586" s="109"/>
      <c r="B586" s="104"/>
      <c r="C586" s="104"/>
      <c r="D586" s="105"/>
      <c r="E586" s="135"/>
      <c r="F586" s="107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</row>
    <row r="587" ht="15.75" customHeight="1">
      <c r="A587" s="109"/>
      <c r="B587" s="104"/>
      <c r="C587" s="104"/>
      <c r="D587" s="105"/>
      <c r="E587" s="135"/>
      <c r="F587" s="107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</row>
    <row r="588" ht="15.75" customHeight="1">
      <c r="A588" s="109"/>
      <c r="B588" s="104"/>
      <c r="C588" s="104"/>
      <c r="D588" s="105"/>
      <c r="E588" s="135"/>
      <c r="F588" s="107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</row>
    <row r="589" ht="15.75" customHeight="1">
      <c r="A589" s="109"/>
      <c r="B589" s="104"/>
      <c r="C589" s="104"/>
      <c r="D589" s="105"/>
      <c r="E589" s="135"/>
      <c r="F589" s="107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</row>
    <row r="590" ht="15.75" customHeight="1">
      <c r="A590" s="109"/>
      <c r="B590" s="104"/>
      <c r="C590" s="104"/>
      <c r="D590" s="105"/>
      <c r="E590" s="135"/>
      <c r="F590" s="107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</row>
    <row r="591" ht="15.75" customHeight="1">
      <c r="A591" s="109"/>
      <c r="B591" s="104"/>
      <c r="C591" s="104"/>
      <c r="D591" s="105"/>
      <c r="E591" s="135"/>
      <c r="F591" s="107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</row>
    <row r="592" ht="15.75" customHeight="1">
      <c r="A592" s="109"/>
      <c r="B592" s="104"/>
      <c r="C592" s="104"/>
      <c r="D592" s="105"/>
      <c r="E592" s="135"/>
      <c r="F592" s="107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</row>
    <row r="593" ht="15.75" customHeight="1">
      <c r="A593" s="109"/>
      <c r="B593" s="104"/>
      <c r="C593" s="104"/>
      <c r="D593" s="105"/>
      <c r="E593" s="135"/>
      <c r="F593" s="107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</row>
    <row r="594" ht="15.75" customHeight="1">
      <c r="A594" s="109"/>
      <c r="B594" s="104"/>
      <c r="C594" s="104"/>
      <c r="D594" s="105"/>
      <c r="E594" s="135"/>
      <c r="F594" s="107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</row>
    <row r="595" ht="15.75" customHeight="1">
      <c r="A595" s="109"/>
      <c r="B595" s="104"/>
      <c r="C595" s="104"/>
      <c r="D595" s="105"/>
      <c r="E595" s="135"/>
      <c r="F595" s="107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</row>
    <row r="596" ht="15.75" customHeight="1">
      <c r="A596" s="109"/>
      <c r="B596" s="104"/>
      <c r="C596" s="104"/>
      <c r="D596" s="105"/>
      <c r="E596" s="135"/>
      <c r="F596" s="107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</row>
    <row r="597" ht="15.75" customHeight="1">
      <c r="A597" s="109"/>
      <c r="B597" s="104"/>
      <c r="C597" s="104"/>
      <c r="D597" s="105"/>
      <c r="E597" s="135"/>
      <c r="F597" s="107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</row>
    <row r="598" ht="15.75" customHeight="1">
      <c r="A598" s="109"/>
      <c r="B598" s="104"/>
      <c r="C598" s="104"/>
      <c r="D598" s="105"/>
      <c r="E598" s="135"/>
      <c r="F598" s="107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</row>
    <row r="599" ht="15.75" customHeight="1">
      <c r="A599" s="109"/>
      <c r="B599" s="104"/>
      <c r="C599" s="104"/>
      <c r="D599" s="105"/>
      <c r="E599" s="135"/>
      <c r="F599" s="107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</row>
    <row r="600" ht="15.75" customHeight="1">
      <c r="A600" s="109"/>
      <c r="B600" s="104"/>
      <c r="C600" s="104"/>
      <c r="D600" s="105"/>
      <c r="E600" s="135"/>
      <c r="F600" s="107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</row>
    <row r="601" ht="15.75" customHeight="1">
      <c r="A601" s="109"/>
      <c r="B601" s="104"/>
      <c r="C601" s="104"/>
      <c r="D601" s="105"/>
      <c r="E601" s="135"/>
      <c r="F601" s="107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</row>
    <row r="602" ht="15.75" customHeight="1">
      <c r="A602" s="109"/>
      <c r="B602" s="104"/>
      <c r="C602" s="104"/>
      <c r="D602" s="105"/>
      <c r="E602" s="135"/>
      <c r="F602" s="107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</row>
    <row r="603" ht="15.75" customHeight="1">
      <c r="A603" s="109"/>
      <c r="B603" s="104"/>
      <c r="C603" s="104"/>
      <c r="D603" s="105"/>
      <c r="E603" s="135"/>
      <c r="F603" s="107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</row>
    <row r="604" ht="15.75" customHeight="1">
      <c r="A604" s="109"/>
      <c r="B604" s="104"/>
      <c r="C604" s="104"/>
      <c r="D604" s="105"/>
      <c r="E604" s="135"/>
      <c r="F604" s="107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</row>
    <row r="605" ht="15.75" customHeight="1">
      <c r="A605" s="109"/>
      <c r="B605" s="104"/>
      <c r="C605" s="104"/>
      <c r="D605" s="105"/>
      <c r="E605" s="135"/>
      <c r="F605" s="107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</row>
    <row r="606" ht="15.75" customHeight="1">
      <c r="A606" s="109"/>
      <c r="B606" s="104"/>
      <c r="C606" s="104"/>
      <c r="D606" s="105"/>
      <c r="E606" s="135"/>
      <c r="F606" s="107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</row>
    <row r="607" ht="15.75" customHeight="1">
      <c r="A607" s="109"/>
      <c r="B607" s="104"/>
      <c r="C607" s="104"/>
      <c r="D607" s="105"/>
      <c r="E607" s="135"/>
      <c r="F607" s="107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</row>
    <row r="608" ht="15.75" customHeight="1">
      <c r="A608" s="109"/>
      <c r="B608" s="104"/>
      <c r="C608" s="104"/>
      <c r="D608" s="105"/>
      <c r="E608" s="135"/>
      <c r="F608" s="107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</row>
    <row r="609" ht="15.75" customHeight="1">
      <c r="A609" s="109"/>
      <c r="B609" s="104"/>
      <c r="C609" s="104"/>
      <c r="D609" s="105"/>
      <c r="E609" s="135"/>
      <c r="F609" s="107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</row>
    <row r="610" ht="15.75" customHeight="1">
      <c r="A610" s="109"/>
      <c r="B610" s="104"/>
      <c r="C610" s="104"/>
      <c r="D610" s="105"/>
      <c r="E610" s="135"/>
      <c r="F610" s="107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</row>
    <row r="611" ht="15.75" customHeight="1">
      <c r="A611" s="109"/>
      <c r="B611" s="104"/>
      <c r="C611" s="104"/>
      <c r="D611" s="105"/>
      <c r="E611" s="135"/>
      <c r="F611" s="107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</row>
    <row r="612" ht="15.75" customHeight="1">
      <c r="A612" s="109"/>
      <c r="B612" s="104"/>
      <c r="C612" s="104"/>
      <c r="D612" s="105"/>
      <c r="E612" s="135"/>
      <c r="F612" s="107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</row>
    <row r="613" ht="15.75" customHeight="1">
      <c r="A613" s="109"/>
      <c r="B613" s="104"/>
      <c r="C613" s="104"/>
      <c r="D613" s="105"/>
      <c r="E613" s="135"/>
      <c r="F613" s="107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</row>
    <row r="614" ht="15.75" customHeight="1">
      <c r="A614" s="109"/>
      <c r="B614" s="104"/>
      <c r="C614" s="104"/>
      <c r="D614" s="105"/>
      <c r="E614" s="135"/>
      <c r="F614" s="107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</row>
    <row r="615" ht="15.75" customHeight="1">
      <c r="A615" s="109"/>
      <c r="B615" s="104"/>
      <c r="C615" s="104"/>
      <c r="D615" s="105"/>
      <c r="E615" s="135"/>
      <c r="F615" s="107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</row>
    <row r="616" ht="15.75" customHeight="1">
      <c r="A616" s="109"/>
      <c r="B616" s="104"/>
      <c r="C616" s="104"/>
      <c r="D616" s="105"/>
      <c r="E616" s="135"/>
      <c r="F616" s="107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</row>
    <row r="617" ht="15.75" customHeight="1">
      <c r="A617" s="109"/>
      <c r="B617" s="104"/>
      <c r="C617" s="104"/>
      <c r="D617" s="105"/>
      <c r="E617" s="135"/>
      <c r="F617" s="107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</row>
    <row r="618" ht="15.75" customHeight="1">
      <c r="A618" s="109"/>
      <c r="B618" s="104"/>
      <c r="C618" s="104"/>
      <c r="D618" s="105"/>
      <c r="E618" s="135"/>
      <c r="F618" s="107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</row>
    <row r="619" ht="15.75" customHeight="1">
      <c r="A619" s="109"/>
      <c r="B619" s="104"/>
      <c r="C619" s="104"/>
      <c r="D619" s="105"/>
      <c r="E619" s="135"/>
      <c r="F619" s="107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</row>
    <row r="620" ht="15.75" customHeight="1">
      <c r="A620" s="109"/>
      <c r="B620" s="104"/>
      <c r="C620" s="104"/>
      <c r="D620" s="105"/>
      <c r="E620" s="135"/>
      <c r="F620" s="107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</row>
    <row r="621" ht="15.75" customHeight="1">
      <c r="A621" s="109"/>
      <c r="B621" s="104"/>
      <c r="C621" s="104"/>
      <c r="D621" s="105"/>
      <c r="E621" s="135"/>
      <c r="F621" s="107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</row>
    <row r="622" ht="15.75" customHeight="1">
      <c r="A622" s="109"/>
      <c r="B622" s="104"/>
      <c r="C622" s="104"/>
      <c r="D622" s="105"/>
      <c r="E622" s="135"/>
      <c r="F622" s="107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</row>
    <row r="623" ht="15.75" customHeight="1">
      <c r="A623" s="109"/>
      <c r="B623" s="104"/>
      <c r="C623" s="104"/>
      <c r="D623" s="105"/>
      <c r="E623" s="135"/>
      <c r="F623" s="107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  <c r="AB623" s="106"/>
    </row>
    <row r="624" ht="15.75" customHeight="1">
      <c r="A624" s="109"/>
      <c r="B624" s="104"/>
      <c r="C624" s="104"/>
      <c r="D624" s="105"/>
      <c r="E624" s="135"/>
      <c r="F624" s="107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  <c r="AB624" s="106"/>
    </row>
    <row r="625" ht="15.75" customHeight="1">
      <c r="A625" s="109"/>
      <c r="B625" s="104"/>
      <c r="C625" s="104"/>
      <c r="D625" s="105"/>
      <c r="E625" s="135"/>
      <c r="F625" s="107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  <c r="AB625" s="106"/>
    </row>
    <row r="626" ht="15.75" customHeight="1">
      <c r="A626" s="109"/>
      <c r="B626" s="104"/>
      <c r="C626" s="104"/>
      <c r="D626" s="105"/>
      <c r="E626" s="135"/>
      <c r="F626" s="107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  <c r="AB626" s="106"/>
    </row>
    <row r="627" ht="15.75" customHeight="1">
      <c r="A627" s="109"/>
      <c r="B627" s="104"/>
      <c r="C627" s="104"/>
      <c r="D627" s="105"/>
      <c r="E627" s="135"/>
      <c r="F627" s="107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  <c r="AB627" s="106"/>
    </row>
    <row r="628" ht="15.75" customHeight="1">
      <c r="A628" s="109"/>
      <c r="B628" s="104"/>
      <c r="C628" s="104"/>
      <c r="D628" s="105"/>
      <c r="E628" s="135"/>
      <c r="F628" s="107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  <c r="AB628" s="106"/>
    </row>
    <row r="629" ht="15.75" customHeight="1">
      <c r="A629" s="109"/>
      <c r="B629" s="104"/>
      <c r="C629" s="104"/>
      <c r="D629" s="105"/>
      <c r="E629" s="135"/>
      <c r="F629" s="107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  <c r="AB629" s="106"/>
    </row>
    <row r="630" ht="15.75" customHeight="1">
      <c r="A630" s="109"/>
      <c r="B630" s="104"/>
      <c r="C630" s="104"/>
      <c r="D630" s="105"/>
      <c r="E630" s="135"/>
      <c r="F630" s="107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  <c r="AB630" s="106"/>
    </row>
    <row r="631" ht="15.75" customHeight="1">
      <c r="A631" s="109"/>
      <c r="B631" s="104"/>
      <c r="C631" s="104"/>
      <c r="D631" s="105"/>
      <c r="E631" s="135"/>
      <c r="F631" s="107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  <c r="AB631" s="106"/>
    </row>
    <row r="632" ht="15.75" customHeight="1">
      <c r="A632" s="109"/>
      <c r="B632" s="104"/>
      <c r="C632" s="104"/>
      <c r="D632" s="105"/>
      <c r="E632" s="135"/>
      <c r="F632" s="107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  <c r="AB632" s="106"/>
    </row>
    <row r="633" ht="15.75" customHeight="1">
      <c r="A633" s="109"/>
      <c r="B633" s="104"/>
      <c r="C633" s="104"/>
      <c r="D633" s="105"/>
      <c r="E633" s="135"/>
      <c r="F633" s="107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  <c r="AB633" s="106"/>
    </row>
    <row r="634" ht="15.75" customHeight="1">
      <c r="A634" s="109"/>
      <c r="B634" s="104"/>
      <c r="C634" s="104"/>
      <c r="D634" s="105"/>
      <c r="E634" s="135"/>
      <c r="F634" s="107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  <c r="AB634" s="106"/>
    </row>
    <row r="635" ht="15.75" customHeight="1">
      <c r="A635" s="109"/>
      <c r="B635" s="104"/>
      <c r="C635" s="104"/>
      <c r="D635" s="105"/>
      <c r="E635" s="135"/>
      <c r="F635" s="107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</row>
    <row r="636" ht="15.75" customHeight="1">
      <c r="A636" s="109"/>
      <c r="B636" s="104"/>
      <c r="C636" s="104"/>
      <c r="D636" s="105"/>
      <c r="E636" s="135"/>
      <c r="F636" s="107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  <c r="AB636" s="106"/>
    </row>
    <row r="637" ht="15.75" customHeight="1">
      <c r="A637" s="109"/>
      <c r="B637" s="104"/>
      <c r="C637" s="104"/>
      <c r="D637" s="105"/>
      <c r="E637" s="135"/>
      <c r="F637" s="107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  <c r="AB637" s="106"/>
    </row>
    <row r="638" ht="15.75" customHeight="1">
      <c r="A638" s="109"/>
      <c r="B638" s="104"/>
      <c r="C638" s="104"/>
      <c r="D638" s="105"/>
      <c r="E638" s="135"/>
      <c r="F638" s="107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  <c r="AB638" s="106"/>
    </row>
    <row r="639" ht="15.75" customHeight="1">
      <c r="A639" s="109"/>
      <c r="B639" s="104"/>
      <c r="C639" s="104"/>
      <c r="D639" s="105"/>
      <c r="E639" s="135"/>
      <c r="F639" s="107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  <c r="AB639" s="106"/>
    </row>
    <row r="640" ht="15.75" customHeight="1">
      <c r="A640" s="109"/>
      <c r="B640" s="104"/>
      <c r="C640" s="104"/>
      <c r="D640" s="105"/>
      <c r="E640" s="135"/>
      <c r="F640" s="107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  <c r="AB640" s="106"/>
    </row>
    <row r="641" ht="15.75" customHeight="1">
      <c r="A641" s="109"/>
      <c r="B641" s="104"/>
      <c r="C641" s="104"/>
      <c r="D641" s="105"/>
      <c r="E641" s="135"/>
      <c r="F641" s="107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  <c r="AB641" s="106"/>
    </row>
    <row r="642" ht="15.75" customHeight="1">
      <c r="A642" s="109"/>
      <c r="B642" s="104"/>
      <c r="C642" s="104"/>
      <c r="D642" s="105"/>
      <c r="E642" s="135"/>
      <c r="F642" s="107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  <c r="AB642" s="106"/>
    </row>
    <row r="643" ht="15.75" customHeight="1">
      <c r="A643" s="109"/>
      <c r="B643" s="104"/>
      <c r="C643" s="104"/>
      <c r="D643" s="105"/>
      <c r="E643" s="135"/>
      <c r="F643" s="107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  <c r="AB643" s="106"/>
    </row>
    <row r="644" ht="15.75" customHeight="1">
      <c r="A644" s="109"/>
      <c r="B644" s="104"/>
      <c r="C644" s="104"/>
      <c r="D644" s="105"/>
      <c r="E644" s="135"/>
      <c r="F644" s="107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</row>
    <row r="645" ht="15.75" customHeight="1">
      <c r="A645" s="109"/>
      <c r="B645" s="104"/>
      <c r="C645" s="104"/>
      <c r="D645" s="105"/>
      <c r="E645" s="135"/>
      <c r="F645" s="107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  <c r="AB645" s="106"/>
    </row>
    <row r="646" ht="15.75" customHeight="1">
      <c r="A646" s="109"/>
      <c r="B646" s="104"/>
      <c r="C646" s="104"/>
      <c r="D646" s="105"/>
      <c r="E646" s="135"/>
      <c r="F646" s="107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  <c r="AB646" s="106"/>
    </row>
    <row r="647" ht="15.75" customHeight="1">
      <c r="A647" s="109"/>
      <c r="B647" s="104"/>
      <c r="C647" s="104"/>
      <c r="D647" s="105"/>
      <c r="E647" s="135"/>
      <c r="F647" s="107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</row>
    <row r="648" ht="15.75" customHeight="1">
      <c r="A648" s="109"/>
      <c r="B648" s="104"/>
      <c r="C648" s="104"/>
      <c r="D648" s="105"/>
      <c r="E648" s="135"/>
      <c r="F648" s="107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</row>
    <row r="649" ht="15.75" customHeight="1">
      <c r="A649" s="109"/>
      <c r="B649" s="104"/>
      <c r="C649" s="104"/>
      <c r="D649" s="105"/>
      <c r="E649" s="135"/>
      <c r="F649" s="107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  <c r="AB649" s="106"/>
    </row>
    <row r="650" ht="15.75" customHeight="1">
      <c r="A650" s="109"/>
      <c r="B650" s="104"/>
      <c r="C650" s="104"/>
      <c r="D650" s="105"/>
      <c r="E650" s="135"/>
      <c r="F650" s="107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</row>
    <row r="651" ht="15.75" customHeight="1">
      <c r="A651" s="109"/>
      <c r="B651" s="104"/>
      <c r="C651" s="104"/>
      <c r="D651" s="105"/>
      <c r="E651" s="135"/>
      <c r="F651" s="107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  <c r="AB651" s="106"/>
    </row>
    <row r="652" ht="15.75" customHeight="1">
      <c r="A652" s="109"/>
      <c r="B652" s="104"/>
      <c r="C652" s="104"/>
      <c r="D652" s="105"/>
      <c r="E652" s="135"/>
      <c r="F652" s="107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  <c r="AB652" s="106"/>
    </row>
    <row r="653" ht="15.75" customHeight="1">
      <c r="A653" s="109"/>
      <c r="B653" s="104"/>
      <c r="C653" s="104"/>
      <c r="D653" s="105"/>
      <c r="E653" s="135"/>
      <c r="F653" s="107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  <c r="AB653" s="106"/>
    </row>
    <row r="654" ht="15.75" customHeight="1">
      <c r="A654" s="109"/>
      <c r="B654" s="104"/>
      <c r="C654" s="104"/>
      <c r="D654" s="105"/>
      <c r="E654" s="135"/>
      <c r="F654" s="107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  <c r="AB654" s="106"/>
    </row>
    <row r="655" ht="15.75" customHeight="1">
      <c r="A655" s="109"/>
      <c r="B655" s="104"/>
      <c r="C655" s="104"/>
      <c r="D655" s="105"/>
      <c r="E655" s="135"/>
      <c r="F655" s="107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  <c r="AB655" s="106"/>
    </row>
    <row r="656" ht="15.75" customHeight="1">
      <c r="A656" s="109"/>
      <c r="B656" s="104"/>
      <c r="C656" s="104"/>
      <c r="D656" s="105"/>
      <c r="E656" s="135"/>
      <c r="F656" s="107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  <c r="AB656" s="106"/>
    </row>
    <row r="657" ht="15.75" customHeight="1">
      <c r="A657" s="109"/>
      <c r="B657" s="104"/>
      <c r="C657" s="104"/>
      <c r="D657" s="105"/>
      <c r="E657" s="135"/>
      <c r="F657" s="107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</row>
    <row r="658" ht="15.75" customHeight="1">
      <c r="A658" s="109"/>
      <c r="B658" s="104"/>
      <c r="C658" s="104"/>
      <c r="D658" s="105"/>
      <c r="E658" s="135"/>
      <c r="F658" s="107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</row>
    <row r="659" ht="15.75" customHeight="1">
      <c r="A659" s="109"/>
      <c r="B659" s="104"/>
      <c r="C659" s="104"/>
      <c r="D659" s="105"/>
      <c r="E659" s="135"/>
      <c r="F659" s="107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  <c r="AB659" s="106"/>
    </row>
    <row r="660" ht="15.75" customHeight="1">
      <c r="A660" s="109"/>
      <c r="B660" s="104"/>
      <c r="C660" s="104"/>
      <c r="D660" s="105"/>
      <c r="E660" s="135"/>
      <c r="F660" s="107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</row>
    <row r="661" ht="15.75" customHeight="1">
      <c r="A661" s="109"/>
      <c r="B661" s="104"/>
      <c r="C661" s="104"/>
      <c r="D661" s="105"/>
      <c r="E661" s="135"/>
      <c r="F661" s="107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  <c r="AB661" s="106"/>
    </row>
    <row r="662" ht="15.75" customHeight="1">
      <c r="A662" s="109"/>
      <c r="B662" s="104"/>
      <c r="C662" s="104"/>
      <c r="D662" s="105"/>
      <c r="E662" s="135"/>
      <c r="F662" s="107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</row>
    <row r="663" ht="15.75" customHeight="1">
      <c r="A663" s="109"/>
      <c r="B663" s="104"/>
      <c r="C663" s="104"/>
      <c r="D663" s="105"/>
      <c r="E663" s="135"/>
      <c r="F663" s="107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</row>
    <row r="664" ht="15.75" customHeight="1">
      <c r="A664" s="109"/>
      <c r="B664" s="104"/>
      <c r="C664" s="104"/>
      <c r="D664" s="105"/>
      <c r="E664" s="135"/>
      <c r="F664" s="107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  <c r="AB664" s="106"/>
    </row>
    <row r="665" ht="15.75" customHeight="1">
      <c r="A665" s="109"/>
      <c r="B665" s="104"/>
      <c r="C665" s="104"/>
      <c r="D665" s="105"/>
      <c r="E665" s="135"/>
      <c r="F665" s="107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  <c r="AB665" s="106"/>
    </row>
    <row r="666" ht="15.75" customHeight="1">
      <c r="A666" s="109"/>
      <c r="B666" s="104"/>
      <c r="C666" s="104"/>
      <c r="D666" s="105"/>
      <c r="E666" s="135"/>
      <c r="F666" s="107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  <c r="AB666" s="106"/>
    </row>
    <row r="667" ht="15.75" customHeight="1">
      <c r="A667" s="109"/>
      <c r="B667" s="104"/>
      <c r="C667" s="104"/>
      <c r="D667" s="105"/>
      <c r="E667" s="135"/>
      <c r="F667" s="107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  <c r="AB667" s="106"/>
    </row>
    <row r="668" ht="15.75" customHeight="1">
      <c r="A668" s="109"/>
      <c r="B668" s="104"/>
      <c r="C668" s="104"/>
      <c r="D668" s="105"/>
      <c r="E668" s="135"/>
      <c r="F668" s="107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  <c r="AB668" s="106"/>
    </row>
    <row r="669" ht="15.75" customHeight="1">
      <c r="A669" s="109"/>
      <c r="B669" s="104"/>
      <c r="C669" s="104"/>
      <c r="D669" s="105"/>
      <c r="E669" s="135"/>
      <c r="F669" s="107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</row>
    <row r="670" ht="15.75" customHeight="1">
      <c r="A670" s="109"/>
      <c r="B670" s="104"/>
      <c r="C670" s="104"/>
      <c r="D670" s="105"/>
      <c r="E670" s="135"/>
      <c r="F670" s="107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</row>
    <row r="671" ht="15.75" customHeight="1">
      <c r="A671" s="109"/>
      <c r="B671" s="104"/>
      <c r="C671" s="104"/>
      <c r="D671" s="105"/>
      <c r="E671" s="135"/>
      <c r="F671" s="107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</row>
    <row r="672" ht="15.75" customHeight="1">
      <c r="A672" s="109"/>
      <c r="B672" s="104"/>
      <c r="C672" s="104"/>
      <c r="D672" s="105"/>
      <c r="E672" s="135"/>
      <c r="F672" s="107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</row>
    <row r="673" ht="15.75" customHeight="1">
      <c r="A673" s="109"/>
      <c r="B673" s="104"/>
      <c r="C673" s="104"/>
      <c r="D673" s="105"/>
      <c r="E673" s="135"/>
      <c r="F673" s="107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  <c r="AB673" s="106"/>
    </row>
    <row r="674" ht="15.75" customHeight="1">
      <c r="A674" s="109"/>
      <c r="B674" s="104"/>
      <c r="C674" s="104"/>
      <c r="D674" s="105"/>
      <c r="E674" s="135"/>
      <c r="F674" s="107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  <c r="AB674" s="106"/>
    </row>
    <row r="675" ht="15.75" customHeight="1">
      <c r="A675" s="109"/>
      <c r="B675" s="104"/>
      <c r="C675" s="104"/>
      <c r="D675" s="105"/>
      <c r="E675" s="135"/>
      <c r="F675" s="107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  <c r="AB675" s="106"/>
    </row>
    <row r="676" ht="15.75" customHeight="1">
      <c r="A676" s="109"/>
      <c r="B676" s="104"/>
      <c r="C676" s="104"/>
      <c r="D676" s="105"/>
      <c r="E676" s="135"/>
      <c r="F676" s="107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</row>
    <row r="677" ht="15.75" customHeight="1">
      <c r="A677" s="109"/>
      <c r="B677" s="104"/>
      <c r="C677" s="104"/>
      <c r="D677" s="105"/>
      <c r="E677" s="135"/>
      <c r="F677" s="107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  <c r="AB677" s="106"/>
    </row>
    <row r="678" ht="15.75" customHeight="1">
      <c r="A678" s="109"/>
      <c r="B678" s="104"/>
      <c r="C678" s="104"/>
      <c r="D678" s="105"/>
      <c r="E678" s="135"/>
      <c r="F678" s="107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  <c r="AB678" s="106"/>
    </row>
    <row r="679" ht="15.75" customHeight="1">
      <c r="A679" s="109"/>
      <c r="B679" s="104"/>
      <c r="C679" s="104"/>
      <c r="D679" s="105"/>
      <c r="E679" s="135"/>
      <c r="F679" s="107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  <c r="AB679" s="106"/>
    </row>
    <row r="680" ht="15.75" customHeight="1">
      <c r="A680" s="109"/>
      <c r="B680" s="104"/>
      <c r="C680" s="104"/>
      <c r="D680" s="105"/>
      <c r="E680" s="135"/>
      <c r="F680" s="107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  <c r="AB680" s="106"/>
    </row>
    <row r="681" ht="15.75" customHeight="1">
      <c r="A681" s="109"/>
      <c r="B681" s="104"/>
      <c r="C681" s="104"/>
      <c r="D681" s="105"/>
      <c r="E681" s="135"/>
      <c r="F681" s="107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  <c r="AB681" s="106"/>
    </row>
    <row r="682" ht="15.75" customHeight="1">
      <c r="A682" s="109"/>
      <c r="B682" s="104"/>
      <c r="C682" s="104"/>
      <c r="D682" s="105"/>
      <c r="E682" s="135"/>
      <c r="F682" s="107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  <c r="AB682" s="106"/>
    </row>
    <row r="683" ht="15.75" customHeight="1">
      <c r="A683" s="109"/>
      <c r="B683" s="104"/>
      <c r="C683" s="104"/>
      <c r="D683" s="105"/>
      <c r="E683" s="135"/>
      <c r="F683" s="107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  <c r="AB683" s="106"/>
    </row>
    <row r="684" ht="15.75" customHeight="1">
      <c r="A684" s="109"/>
      <c r="B684" s="104"/>
      <c r="C684" s="104"/>
      <c r="D684" s="105"/>
      <c r="E684" s="135"/>
      <c r="F684" s="107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  <c r="AB684" s="106"/>
    </row>
    <row r="685" ht="15.75" customHeight="1">
      <c r="A685" s="109"/>
      <c r="B685" s="104"/>
      <c r="C685" s="104"/>
      <c r="D685" s="105"/>
      <c r="E685" s="135"/>
      <c r="F685" s="107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  <c r="AB685" s="106"/>
    </row>
    <row r="686" ht="15.75" customHeight="1">
      <c r="A686" s="109"/>
      <c r="B686" s="104"/>
      <c r="C686" s="104"/>
      <c r="D686" s="105"/>
      <c r="E686" s="135"/>
      <c r="F686" s="107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  <c r="AB686" s="106"/>
    </row>
    <row r="687" ht="15.75" customHeight="1">
      <c r="A687" s="109"/>
      <c r="B687" s="104"/>
      <c r="C687" s="104"/>
      <c r="D687" s="105"/>
      <c r="E687" s="135"/>
      <c r="F687" s="107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</row>
    <row r="688" ht="15.75" customHeight="1">
      <c r="A688" s="109"/>
      <c r="B688" s="104"/>
      <c r="C688" s="104"/>
      <c r="D688" s="105"/>
      <c r="E688" s="135"/>
      <c r="F688" s="107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  <c r="AB688" s="106"/>
    </row>
    <row r="689" ht="15.75" customHeight="1">
      <c r="A689" s="109"/>
      <c r="B689" s="104"/>
      <c r="C689" s="104"/>
      <c r="D689" s="105"/>
      <c r="E689" s="135"/>
      <c r="F689" s="107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</row>
    <row r="690" ht="15.75" customHeight="1">
      <c r="A690" s="109"/>
      <c r="B690" s="104"/>
      <c r="C690" s="104"/>
      <c r="D690" s="105"/>
      <c r="E690" s="135"/>
      <c r="F690" s="107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</row>
    <row r="691" ht="15.75" customHeight="1">
      <c r="A691" s="109"/>
      <c r="B691" s="104"/>
      <c r="C691" s="104"/>
      <c r="D691" s="105"/>
      <c r="E691" s="135"/>
      <c r="F691" s="107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  <c r="AB691" s="106"/>
    </row>
    <row r="692" ht="15.75" customHeight="1">
      <c r="A692" s="109"/>
      <c r="B692" s="104"/>
      <c r="C692" s="104"/>
      <c r="D692" s="105"/>
      <c r="E692" s="135"/>
      <c r="F692" s="107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</row>
    <row r="693" ht="15.75" customHeight="1">
      <c r="A693" s="109"/>
      <c r="B693" s="104"/>
      <c r="C693" s="104"/>
      <c r="D693" s="105"/>
      <c r="E693" s="135"/>
      <c r="F693" s="107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</row>
    <row r="694" ht="15.75" customHeight="1">
      <c r="A694" s="109"/>
      <c r="B694" s="104"/>
      <c r="C694" s="104"/>
      <c r="D694" s="105"/>
      <c r="E694" s="135"/>
      <c r="F694" s="107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  <c r="AB694" s="106"/>
    </row>
    <row r="695" ht="15.75" customHeight="1">
      <c r="A695" s="109"/>
      <c r="B695" s="104"/>
      <c r="C695" s="104"/>
      <c r="D695" s="105"/>
      <c r="E695" s="135"/>
      <c r="F695" s="107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  <c r="AB695" s="106"/>
    </row>
    <row r="696" ht="15.75" customHeight="1">
      <c r="A696" s="109"/>
      <c r="B696" s="104"/>
      <c r="C696" s="104"/>
      <c r="D696" s="105"/>
      <c r="E696" s="135"/>
      <c r="F696" s="107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  <c r="AB696" s="106"/>
    </row>
    <row r="697" ht="15.75" customHeight="1">
      <c r="A697" s="109"/>
      <c r="B697" s="104"/>
      <c r="C697" s="104"/>
      <c r="D697" s="105"/>
      <c r="E697" s="135"/>
      <c r="F697" s="107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  <c r="AB697" s="106"/>
    </row>
    <row r="698" ht="15.75" customHeight="1">
      <c r="A698" s="109"/>
      <c r="B698" s="104"/>
      <c r="C698" s="104"/>
      <c r="D698" s="105"/>
      <c r="E698" s="135"/>
      <c r="F698" s="107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  <c r="AB698" s="106"/>
    </row>
    <row r="699" ht="15.75" customHeight="1">
      <c r="A699" s="109"/>
      <c r="B699" s="104"/>
      <c r="C699" s="104"/>
      <c r="D699" s="105"/>
      <c r="E699" s="135"/>
      <c r="F699" s="107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  <c r="AB699" s="106"/>
    </row>
    <row r="700" ht="15.75" customHeight="1">
      <c r="A700" s="109"/>
      <c r="B700" s="104"/>
      <c r="C700" s="104"/>
      <c r="D700" s="105"/>
      <c r="E700" s="135"/>
      <c r="F700" s="107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  <c r="AB700" s="106"/>
    </row>
    <row r="701" ht="15.75" customHeight="1">
      <c r="A701" s="109"/>
      <c r="B701" s="104"/>
      <c r="C701" s="104"/>
      <c r="D701" s="105"/>
      <c r="E701" s="135"/>
      <c r="F701" s="107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  <c r="AB701" s="106"/>
    </row>
    <row r="702" ht="15.75" customHeight="1">
      <c r="A702" s="109"/>
      <c r="B702" s="104"/>
      <c r="C702" s="104"/>
      <c r="D702" s="105"/>
      <c r="E702" s="135"/>
      <c r="F702" s="107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  <c r="AB702" s="106"/>
    </row>
    <row r="703" ht="15.75" customHeight="1">
      <c r="A703" s="109"/>
      <c r="B703" s="104"/>
      <c r="C703" s="104"/>
      <c r="D703" s="105"/>
      <c r="E703" s="135"/>
      <c r="F703" s="107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</row>
    <row r="704" ht="15.75" customHeight="1">
      <c r="A704" s="109"/>
      <c r="B704" s="104"/>
      <c r="C704" s="104"/>
      <c r="D704" s="105"/>
      <c r="E704" s="135"/>
      <c r="F704" s="107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  <c r="AB704" s="106"/>
    </row>
    <row r="705" ht="15.75" customHeight="1">
      <c r="A705" s="109"/>
      <c r="B705" s="104"/>
      <c r="C705" s="104"/>
      <c r="D705" s="105"/>
      <c r="E705" s="135"/>
      <c r="F705" s="107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  <c r="AB705" s="106"/>
    </row>
    <row r="706" ht="15.75" customHeight="1">
      <c r="A706" s="109"/>
      <c r="B706" s="104"/>
      <c r="C706" s="104"/>
      <c r="D706" s="105"/>
      <c r="E706" s="135"/>
      <c r="F706" s="107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  <c r="AB706" s="106"/>
    </row>
    <row r="707" ht="15.75" customHeight="1">
      <c r="A707" s="109"/>
      <c r="B707" s="104"/>
      <c r="C707" s="104"/>
      <c r="D707" s="105"/>
      <c r="E707" s="135"/>
      <c r="F707" s="107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  <c r="AB707" s="106"/>
    </row>
    <row r="708" ht="15.75" customHeight="1">
      <c r="A708" s="109"/>
      <c r="B708" s="104"/>
      <c r="C708" s="104"/>
      <c r="D708" s="105"/>
      <c r="E708" s="135"/>
      <c r="F708" s="107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</row>
    <row r="709" ht="15.75" customHeight="1">
      <c r="A709" s="109"/>
      <c r="B709" s="104"/>
      <c r="C709" s="104"/>
      <c r="D709" s="105"/>
      <c r="E709" s="135"/>
      <c r="F709" s="107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  <c r="AB709" s="106"/>
    </row>
    <row r="710" ht="15.75" customHeight="1">
      <c r="A710" s="109"/>
      <c r="B710" s="104"/>
      <c r="C710" s="104"/>
      <c r="D710" s="105"/>
      <c r="E710" s="135"/>
      <c r="F710" s="107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  <c r="AB710" s="106"/>
    </row>
    <row r="711" ht="15.75" customHeight="1">
      <c r="A711" s="109"/>
      <c r="B711" s="104"/>
      <c r="C711" s="104"/>
      <c r="D711" s="105"/>
      <c r="E711" s="135"/>
      <c r="F711" s="107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  <c r="AB711" s="106"/>
    </row>
    <row r="712" ht="15.75" customHeight="1">
      <c r="A712" s="109"/>
      <c r="B712" s="104"/>
      <c r="C712" s="104"/>
      <c r="D712" s="105"/>
      <c r="E712" s="135"/>
      <c r="F712" s="107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</row>
    <row r="713" ht="15.75" customHeight="1">
      <c r="A713" s="109"/>
      <c r="B713" s="104"/>
      <c r="C713" s="104"/>
      <c r="D713" s="105"/>
      <c r="E713" s="135"/>
      <c r="F713" s="107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</row>
    <row r="714" ht="15.75" customHeight="1">
      <c r="A714" s="109"/>
      <c r="B714" s="104"/>
      <c r="C714" s="104"/>
      <c r="D714" s="105"/>
      <c r="E714" s="135"/>
      <c r="F714" s="107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  <c r="AB714" s="106"/>
    </row>
    <row r="715" ht="15.75" customHeight="1">
      <c r="A715" s="109"/>
      <c r="B715" s="104"/>
      <c r="C715" s="104"/>
      <c r="D715" s="105"/>
      <c r="E715" s="135"/>
      <c r="F715" s="107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</row>
    <row r="716" ht="15.75" customHeight="1">
      <c r="A716" s="109"/>
      <c r="B716" s="104"/>
      <c r="C716" s="104"/>
      <c r="D716" s="105"/>
      <c r="E716" s="135"/>
      <c r="F716" s="107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</row>
    <row r="717" ht="15.75" customHeight="1">
      <c r="A717" s="109"/>
      <c r="B717" s="104"/>
      <c r="C717" s="104"/>
      <c r="D717" s="105"/>
      <c r="E717" s="135"/>
      <c r="F717" s="107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</row>
    <row r="718" ht="15.75" customHeight="1">
      <c r="A718" s="109"/>
      <c r="B718" s="104"/>
      <c r="C718" s="104"/>
      <c r="D718" s="105"/>
      <c r="E718" s="135"/>
      <c r="F718" s="107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  <c r="AB718" s="106"/>
    </row>
    <row r="719" ht="15.75" customHeight="1">
      <c r="A719" s="109"/>
      <c r="B719" s="104"/>
      <c r="C719" s="104"/>
      <c r="D719" s="105"/>
      <c r="E719" s="135"/>
      <c r="F719" s="107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</row>
    <row r="720" ht="15.75" customHeight="1">
      <c r="A720" s="109"/>
      <c r="B720" s="104"/>
      <c r="C720" s="104"/>
      <c r="D720" s="105"/>
      <c r="E720" s="135"/>
      <c r="F720" s="107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  <c r="AB720" s="106"/>
    </row>
    <row r="721" ht="15.75" customHeight="1">
      <c r="A721" s="109"/>
      <c r="B721" s="104"/>
      <c r="C721" s="104"/>
      <c r="D721" s="105"/>
      <c r="E721" s="135"/>
      <c r="F721" s="107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  <c r="AB721" s="106"/>
    </row>
    <row r="722" ht="15.75" customHeight="1">
      <c r="A722" s="109"/>
      <c r="B722" s="104"/>
      <c r="C722" s="104"/>
      <c r="D722" s="105"/>
      <c r="E722" s="135"/>
      <c r="F722" s="107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  <c r="AB722" s="106"/>
    </row>
    <row r="723" ht="15.75" customHeight="1">
      <c r="A723" s="109"/>
      <c r="B723" s="104"/>
      <c r="C723" s="104"/>
      <c r="D723" s="105"/>
      <c r="E723" s="135"/>
      <c r="F723" s="107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</row>
    <row r="724" ht="15.75" customHeight="1">
      <c r="A724" s="109"/>
      <c r="B724" s="104"/>
      <c r="C724" s="104"/>
      <c r="D724" s="105"/>
      <c r="E724" s="135"/>
      <c r="F724" s="107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</row>
    <row r="725" ht="15.75" customHeight="1">
      <c r="A725" s="109"/>
      <c r="B725" s="104"/>
      <c r="C725" s="104"/>
      <c r="D725" s="105"/>
      <c r="E725" s="135"/>
      <c r="F725" s="107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  <c r="AB725" s="106"/>
    </row>
    <row r="726" ht="15.75" customHeight="1">
      <c r="A726" s="109"/>
      <c r="B726" s="104"/>
      <c r="C726" s="104"/>
      <c r="D726" s="105"/>
      <c r="E726" s="135"/>
      <c r="F726" s="107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  <c r="AB726" s="106"/>
    </row>
    <row r="727" ht="15.75" customHeight="1">
      <c r="A727" s="109"/>
      <c r="B727" s="104"/>
      <c r="C727" s="104"/>
      <c r="D727" s="105"/>
      <c r="E727" s="135"/>
      <c r="F727" s="107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  <c r="AB727" s="106"/>
    </row>
    <row r="728" ht="15.75" customHeight="1">
      <c r="A728" s="109"/>
      <c r="B728" s="104"/>
      <c r="C728" s="104"/>
      <c r="D728" s="105"/>
      <c r="E728" s="135"/>
      <c r="F728" s="107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</row>
    <row r="729" ht="15.75" customHeight="1">
      <c r="A729" s="109"/>
      <c r="B729" s="104"/>
      <c r="C729" s="104"/>
      <c r="D729" s="105"/>
      <c r="E729" s="135"/>
      <c r="F729" s="107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  <c r="AB729" s="106"/>
    </row>
    <row r="730" ht="15.75" customHeight="1">
      <c r="A730" s="109"/>
      <c r="B730" s="104"/>
      <c r="C730" s="104"/>
      <c r="D730" s="105"/>
      <c r="E730" s="135"/>
      <c r="F730" s="107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  <c r="AB730" s="106"/>
    </row>
    <row r="731" ht="15.75" customHeight="1">
      <c r="A731" s="109"/>
      <c r="B731" s="104"/>
      <c r="C731" s="104"/>
      <c r="D731" s="105"/>
      <c r="E731" s="135"/>
      <c r="F731" s="107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  <c r="AB731" s="106"/>
    </row>
    <row r="732" ht="15.75" customHeight="1">
      <c r="A732" s="109"/>
      <c r="B732" s="104"/>
      <c r="C732" s="104"/>
      <c r="D732" s="105"/>
      <c r="E732" s="135"/>
      <c r="F732" s="107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  <c r="AB732" s="106"/>
    </row>
    <row r="733" ht="15.75" customHeight="1">
      <c r="A733" s="109"/>
      <c r="B733" s="104"/>
      <c r="C733" s="104"/>
      <c r="D733" s="105"/>
      <c r="E733" s="135"/>
      <c r="F733" s="107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</row>
    <row r="734" ht="15.75" customHeight="1">
      <c r="A734" s="109"/>
      <c r="B734" s="104"/>
      <c r="C734" s="104"/>
      <c r="D734" s="105"/>
      <c r="E734" s="135"/>
      <c r="F734" s="107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</row>
    <row r="735" ht="15.75" customHeight="1">
      <c r="A735" s="109"/>
      <c r="B735" s="104"/>
      <c r="C735" s="104"/>
      <c r="D735" s="105"/>
      <c r="E735" s="135"/>
      <c r="F735" s="107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</row>
    <row r="736" ht="15.75" customHeight="1">
      <c r="A736" s="109"/>
      <c r="B736" s="104"/>
      <c r="C736" s="104"/>
      <c r="D736" s="105"/>
      <c r="E736" s="135"/>
      <c r="F736" s="107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</row>
    <row r="737" ht="15.75" customHeight="1">
      <c r="A737" s="109"/>
      <c r="B737" s="104"/>
      <c r="C737" s="104"/>
      <c r="D737" s="105"/>
      <c r="E737" s="135"/>
      <c r="F737" s="107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</row>
    <row r="738" ht="15.75" customHeight="1">
      <c r="A738" s="109"/>
      <c r="B738" s="104"/>
      <c r="C738" s="104"/>
      <c r="D738" s="105"/>
      <c r="E738" s="135"/>
      <c r="F738" s="107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</row>
    <row r="739" ht="15.75" customHeight="1">
      <c r="A739" s="109"/>
      <c r="B739" s="104"/>
      <c r="C739" s="104"/>
      <c r="D739" s="105"/>
      <c r="E739" s="135"/>
      <c r="F739" s="107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</row>
    <row r="740" ht="15.75" customHeight="1">
      <c r="A740" s="109"/>
      <c r="B740" s="104"/>
      <c r="C740" s="104"/>
      <c r="D740" s="105"/>
      <c r="E740" s="135"/>
      <c r="F740" s="107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</row>
    <row r="741" ht="15.75" customHeight="1">
      <c r="A741" s="109"/>
      <c r="B741" s="104"/>
      <c r="C741" s="104"/>
      <c r="D741" s="105"/>
      <c r="E741" s="135"/>
      <c r="F741" s="107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</row>
    <row r="742" ht="15.75" customHeight="1">
      <c r="A742" s="109"/>
      <c r="B742" s="104"/>
      <c r="C742" s="104"/>
      <c r="D742" s="105"/>
      <c r="E742" s="135"/>
      <c r="F742" s="107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</row>
    <row r="743" ht="15.75" customHeight="1">
      <c r="A743" s="109"/>
      <c r="B743" s="104"/>
      <c r="C743" s="104"/>
      <c r="D743" s="105"/>
      <c r="E743" s="135"/>
      <c r="F743" s="107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</row>
    <row r="744" ht="15.75" customHeight="1">
      <c r="A744" s="109"/>
      <c r="B744" s="104"/>
      <c r="C744" s="104"/>
      <c r="D744" s="105"/>
      <c r="E744" s="135"/>
      <c r="F744" s="107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</row>
    <row r="745" ht="15.75" customHeight="1">
      <c r="A745" s="109"/>
      <c r="B745" s="104"/>
      <c r="C745" s="104"/>
      <c r="D745" s="105"/>
      <c r="E745" s="135"/>
      <c r="F745" s="107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</row>
    <row r="746" ht="15.75" customHeight="1">
      <c r="A746" s="109"/>
      <c r="B746" s="104"/>
      <c r="C746" s="104"/>
      <c r="D746" s="105"/>
      <c r="E746" s="135"/>
      <c r="F746" s="107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</row>
    <row r="747" ht="15.75" customHeight="1">
      <c r="A747" s="109"/>
      <c r="B747" s="104"/>
      <c r="C747" s="104"/>
      <c r="D747" s="105"/>
      <c r="E747" s="135"/>
      <c r="F747" s="107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</row>
    <row r="748" ht="15.75" customHeight="1">
      <c r="A748" s="109"/>
      <c r="B748" s="104"/>
      <c r="C748" s="104"/>
      <c r="D748" s="105"/>
      <c r="E748" s="135"/>
      <c r="F748" s="107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</row>
    <row r="749" ht="15.75" customHeight="1">
      <c r="A749" s="109"/>
      <c r="B749" s="104"/>
      <c r="C749" s="104"/>
      <c r="D749" s="105"/>
      <c r="E749" s="135"/>
      <c r="F749" s="107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  <c r="AB749" s="106"/>
    </row>
    <row r="750" ht="15.75" customHeight="1">
      <c r="A750" s="109"/>
      <c r="B750" s="104"/>
      <c r="C750" s="104"/>
      <c r="D750" s="105"/>
      <c r="E750" s="135"/>
      <c r="F750" s="107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  <c r="AB750" s="106"/>
    </row>
    <row r="751" ht="15.75" customHeight="1">
      <c r="A751" s="109"/>
      <c r="B751" s="104"/>
      <c r="C751" s="104"/>
      <c r="D751" s="105"/>
      <c r="E751" s="135"/>
      <c r="F751" s="107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  <c r="AB751" s="106"/>
    </row>
    <row r="752" ht="15.75" customHeight="1">
      <c r="A752" s="109"/>
      <c r="B752" s="104"/>
      <c r="C752" s="104"/>
      <c r="D752" s="105"/>
      <c r="E752" s="135"/>
      <c r="F752" s="107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  <c r="AB752" s="106"/>
    </row>
    <row r="753" ht="15.75" customHeight="1">
      <c r="A753" s="109"/>
      <c r="B753" s="104"/>
      <c r="C753" s="104"/>
      <c r="D753" s="105"/>
      <c r="E753" s="135"/>
      <c r="F753" s="107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  <c r="AB753" s="106"/>
    </row>
    <row r="754" ht="15.75" customHeight="1">
      <c r="A754" s="109"/>
      <c r="B754" s="104"/>
      <c r="C754" s="104"/>
      <c r="D754" s="105"/>
      <c r="E754" s="135"/>
      <c r="F754" s="107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  <c r="AB754" s="106"/>
    </row>
    <row r="755" ht="15.75" customHeight="1">
      <c r="A755" s="109"/>
      <c r="B755" s="104"/>
      <c r="C755" s="104"/>
      <c r="D755" s="105"/>
      <c r="E755" s="135"/>
      <c r="F755" s="107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  <c r="AB755" s="106"/>
    </row>
    <row r="756" ht="15.75" customHeight="1">
      <c r="A756" s="109"/>
      <c r="B756" s="104"/>
      <c r="C756" s="104"/>
      <c r="D756" s="105"/>
      <c r="E756" s="135"/>
      <c r="F756" s="107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  <c r="AB756" s="106"/>
    </row>
    <row r="757" ht="15.75" customHeight="1">
      <c r="A757" s="109"/>
      <c r="B757" s="104"/>
      <c r="C757" s="104"/>
      <c r="D757" s="105"/>
      <c r="E757" s="135"/>
      <c r="F757" s="107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  <c r="AB757" s="106"/>
    </row>
    <row r="758" ht="15.75" customHeight="1">
      <c r="A758" s="109"/>
      <c r="B758" s="104"/>
      <c r="C758" s="104"/>
      <c r="D758" s="105"/>
      <c r="E758" s="135"/>
      <c r="F758" s="107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  <c r="AB758" s="106"/>
    </row>
    <row r="759" ht="15.75" customHeight="1">
      <c r="A759" s="109"/>
      <c r="B759" s="104"/>
      <c r="C759" s="104"/>
      <c r="D759" s="105"/>
      <c r="E759" s="135"/>
      <c r="F759" s="107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  <c r="AB759" s="106"/>
    </row>
    <row r="760" ht="15.75" customHeight="1">
      <c r="A760" s="109"/>
      <c r="B760" s="104"/>
      <c r="C760" s="104"/>
      <c r="D760" s="105"/>
      <c r="E760" s="135"/>
      <c r="F760" s="107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  <c r="AB760" s="106"/>
    </row>
    <row r="761" ht="15.75" customHeight="1">
      <c r="A761" s="109"/>
      <c r="B761" s="104"/>
      <c r="C761" s="104"/>
      <c r="D761" s="105"/>
      <c r="E761" s="135"/>
      <c r="F761" s="107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  <c r="AB761" s="106"/>
    </row>
    <row r="762" ht="15.75" customHeight="1">
      <c r="A762" s="109"/>
      <c r="B762" s="104"/>
      <c r="C762" s="104"/>
      <c r="D762" s="105"/>
      <c r="E762" s="135"/>
      <c r="F762" s="107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  <c r="AB762" s="106"/>
    </row>
    <row r="763" ht="15.75" customHeight="1">
      <c r="A763" s="109"/>
      <c r="B763" s="104"/>
      <c r="C763" s="104"/>
      <c r="D763" s="105"/>
      <c r="E763" s="135"/>
      <c r="F763" s="107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  <c r="AB763" s="106"/>
    </row>
    <row r="764" ht="15.75" customHeight="1">
      <c r="A764" s="109"/>
      <c r="B764" s="104"/>
      <c r="C764" s="104"/>
      <c r="D764" s="105"/>
      <c r="E764" s="135"/>
      <c r="F764" s="107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  <c r="AB764" s="106"/>
    </row>
    <row r="765" ht="15.75" customHeight="1">
      <c r="A765" s="109"/>
      <c r="B765" s="104"/>
      <c r="C765" s="104"/>
      <c r="D765" s="105"/>
      <c r="E765" s="135"/>
      <c r="F765" s="107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</row>
    <row r="766" ht="15.75" customHeight="1">
      <c r="A766" s="109"/>
      <c r="B766" s="104"/>
      <c r="C766" s="104"/>
      <c r="D766" s="105"/>
      <c r="E766" s="135"/>
      <c r="F766" s="107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  <c r="AB766" s="106"/>
    </row>
    <row r="767" ht="15.75" customHeight="1">
      <c r="A767" s="109"/>
      <c r="B767" s="104"/>
      <c r="C767" s="104"/>
      <c r="D767" s="105"/>
      <c r="E767" s="135"/>
      <c r="F767" s="107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  <c r="AB767" s="106"/>
    </row>
    <row r="768" ht="15.75" customHeight="1">
      <c r="A768" s="109"/>
      <c r="B768" s="104"/>
      <c r="C768" s="104"/>
      <c r="D768" s="105"/>
      <c r="E768" s="135"/>
      <c r="F768" s="107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  <c r="AB768" s="106"/>
    </row>
    <row r="769" ht="15.75" customHeight="1">
      <c r="A769" s="109"/>
      <c r="B769" s="104"/>
      <c r="C769" s="104"/>
      <c r="D769" s="105"/>
      <c r="E769" s="135"/>
      <c r="F769" s="107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</row>
    <row r="770" ht="15.75" customHeight="1">
      <c r="A770" s="109"/>
      <c r="B770" s="104"/>
      <c r="C770" s="104"/>
      <c r="D770" s="105"/>
      <c r="E770" s="135"/>
      <c r="F770" s="107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  <c r="AB770" s="106"/>
    </row>
    <row r="771" ht="15.75" customHeight="1">
      <c r="A771" s="109"/>
      <c r="B771" s="104"/>
      <c r="C771" s="104"/>
      <c r="D771" s="105"/>
      <c r="E771" s="135"/>
      <c r="F771" s="107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</row>
    <row r="772" ht="15.75" customHeight="1">
      <c r="A772" s="109"/>
      <c r="B772" s="104"/>
      <c r="C772" s="104"/>
      <c r="D772" s="105"/>
      <c r="E772" s="135"/>
      <c r="F772" s="107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</row>
    <row r="773" ht="15.75" customHeight="1">
      <c r="A773" s="109"/>
      <c r="B773" s="104"/>
      <c r="C773" s="104"/>
      <c r="D773" s="105"/>
      <c r="E773" s="135"/>
      <c r="F773" s="107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  <c r="AB773" s="106"/>
    </row>
    <row r="774" ht="15.75" customHeight="1">
      <c r="A774" s="109"/>
      <c r="B774" s="104"/>
      <c r="C774" s="104"/>
      <c r="D774" s="105"/>
      <c r="E774" s="135"/>
      <c r="F774" s="107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</row>
    <row r="775" ht="15.75" customHeight="1">
      <c r="A775" s="109"/>
      <c r="B775" s="104"/>
      <c r="C775" s="104"/>
      <c r="D775" s="105"/>
      <c r="E775" s="135"/>
      <c r="F775" s="107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  <c r="AB775" s="106"/>
    </row>
    <row r="776" ht="15.75" customHeight="1">
      <c r="A776" s="109"/>
      <c r="B776" s="104"/>
      <c r="C776" s="104"/>
      <c r="D776" s="105"/>
      <c r="E776" s="135"/>
      <c r="F776" s="107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  <c r="AB776" s="106"/>
    </row>
    <row r="777" ht="15.75" customHeight="1">
      <c r="A777" s="109"/>
      <c r="B777" s="104"/>
      <c r="C777" s="104"/>
      <c r="D777" s="105"/>
      <c r="E777" s="135"/>
      <c r="F777" s="107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  <c r="AB777" s="106"/>
    </row>
    <row r="778" ht="15.75" customHeight="1">
      <c r="A778" s="109"/>
      <c r="B778" s="104"/>
      <c r="C778" s="104"/>
      <c r="D778" s="105"/>
      <c r="E778" s="135"/>
      <c r="F778" s="107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</row>
    <row r="779" ht="15.75" customHeight="1">
      <c r="A779" s="109"/>
      <c r="B779" s="104"/>
      <c r="C779" s="104"/>
      <c r="D779" s="105"/>
      <c r="E779" s="135"/>
      <c r="F779" s="107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  <c r="AB779" s="106"/>
    </row>
    <row r="780" ht="15.75" customHeight="1">
      <c r="A780" s="109"/>
      <c r="B780" s="104"/>
      <c r="C780" s="104"/>
      <c r="D780" s="105"/>
      <c r="E780" s="135"/>
      <c r="F780" s="107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</row>
    <row r="781" ht="15.75" customHeight="1">
      <c r="A781" s="109"/>
      <c r="B781" s="104"/>
      <c r="C781" s="104"/>
      <c r="D781" s="105"/>
      <c r="E781" s="135"/>
      <c r="F781" s="107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  <c r="AB781" s="106"/>
    </row>
    <row r="782" ht="15.75" customHeight="1">
      <c r="A782" s="109"/>
      <c r="B782" s="104"/>
      <c r="C782" s="104"/>
      <c r="D782" s="105"/>
      <c r="E782" s="135"/>
      <c r="F782" s="107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  <c r="AB782" s="106"/>
    </row>
    <row r="783" ht="15.75" customHeight="1">
      <c r="A783" s="109"/>
      <c r="B783" s="104"/>
      <c r="C783" s="104"/>
      <c r="D783" s="105"/>
      <c r="E783" s="135"/>
      <c r="F783" s="107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  <c r="AB783" s="106"/>
    </row>
    <row r="784" ht="15.75" customHeight="1">
      <c r="A784" s="109"/>
      <c r="B784" s="104"/>
      <c r="C784" s="104"/>
      <c r="D784" s="105"/>
      <c r="E784" s="135"/>
      <c r="F784" s="107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</row>
    <row r="785" ht="15.75" customHeight="1">
      <c r="A785" s="109"/>
      <c r="B785" s="104"/>
      <c r="C785" s="104"/>
      <c r="D785" s="105"/>
      <c r="E785" s="135"/>
      <c r="F785" s="107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  <c r="AB785" s="106"/>
    </row>
    <row r="786" ht="15.75" customHeight="1">
      <c r="A786" s="109"/>
      <c r="B786" s="104"/>
      <c r="C786" s="104"/>
      <c r="D786" s="105"/>
      <c r="E786" s="135"/>
      <c r="F786" s="107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</row>
    <row r="787" ht="15.75" customHeight="1">
      <c r="A787" s="109"/>
      <c r="B787" s="104"/>
      <c r="C787" s="104"/>
      <c r="D787" s="105"/>
      <c r="E787" s="135"/>
      <c r="F787" s="107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  <c r="AB787" s="106"/>
    </row>
    <row r="788" ht="15.75" customHeight="1">
      <c r="A788" s="109"/>
      <c r="B788" s="104"/>
      <c r="C788" s="104"/>
      <c r="D788" s="105"/>
      <c r="E788" s="135"/>
      <c r="F788" s="107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  <c r="AB788" s="106"/>
    </row>
    <row r="789" ht="15.75" customHeight="1">
      <c r="A789" s="109"/>
      <c r="B789" s="104"/>
      <c r="C789" s="104"/>
      <c r="D789" s="105"/>
      <c r="E789" s="135"/>
      <c r="F789" s="107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  <c r="AB789" s="106"/>
    </row>
    <row r="790" ht="15.75" customHeight="1">
      <c r="A790" s="109"/>
      <c r="B790" s="104"/>
      <c r="C790" s="104"/>
      <c r="D790" s="105"/>
      <c r="E790" s="135"/>
      <c r="F790" s="107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  <c r="AB790" s="106"/>
    </row>
    <row r="791" ht="15.75" customHeight="1">
      <c r="A791" s="109"/>
      <c r="B791" s="104"/>
      <c r="C791" s="104"/>
      <c r="D791" s="105"/>
      <c r="E791" s="135"/>
      <c r="F791" s="107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</row>
    <row r="792" ht="15.75" customHeight="1">
      <c r="A792" s="109"/>
      <c r="B792" s="104"/>
      <c r="C792" s="104"/>
      <c r="D792" s="105"/>
      <c r="E792" s="135"/>
      <c r="F792" s="107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  <c r="AB792" s="106"/>
    </row>
    <row r="793" ht="15.75" customHeight="1">
      <c r="A793" s="109"/>
      <c r="B793" s="104"/>
      <c r="C793" s="104"/>
      <c r="D793" s="105"/>
      <c r="E793" s="135"/>
      <c r="F793" s="107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  <c r="AB793" s="106"/>
    </row>
    <row r="794" ht="15.75" customHeight="1">
      <c r="A794" s="109"/>
      <c r="B794" s="104"/>
      <c r="C794" s="104"/>
      <c r="D794" s="105"/>
      <c r="E794" s="135"/>
      <c r="F794" s="107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  <c r="AB794" s="106"/>
    </row>
    <row r="795" ht="15.75" customHeight="1">
      <c r="A795" s="109"/>
      <c r="B795" s="104"/>
      <c r="C795" s="104"/>
      <c r="D795" s="105"/>
      <c r="E795" s="135"/>
      <c r="F795" s="107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  <c r="AB795" s="106"/>
    </row>
    <row r="796" ht="15.75" customHeight="1">
      <c r="A796" s="109"/>
      <c r="B796" s="104"/>
      <c r="C796" s="104"/>
      <c r="D796" s="105"/>
      <c r="E796" s="135"/>
      <c r="F796" s="107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  <c r="AB796" s="106"/>
    </row>
    <row r="797" ht="15.75" customHeight="1">
      <c r="A797" s="109"/>
      <c r="B797" s="104"/>
      <c r="C797" s="104"/>
      <c r="D797" s="105"/>
      <c r="E797" s="135"/>
      <c r="F797" s="107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  <c r="AB797" s="106"/>
    </row>
    <row r="798" ht="15.75" customHeight="1">
      <c r="A798" s="109"/>
      <c r="B798" s="104"/>
      <c r="C798" s="104"/>
      <c r="D798" s="105"/>
      <c r="E798" s="135"/>
      <c r="F798" s="107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  <c r="AB798" s="106"/>
    </row>
    <row r="799" ht="15.75" customHeight="1">
      <c r="A799" s="109"/>
      <c r="B799" s="104"/>
      <c r="C799" s="104"/>
      <c r="D799" s="105"/>
      <c r="E799" s="135"/>
      <c r="F799" s="107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  <c r="AB799" s="106"/>
    </row>
    <row r="800" ht="15.75" customHeight="1">
      <c r="A800" s="109"/>
      <c r="B800" s="104"/>
      <c r="C800" s="104"/>
      <c r="D800" s="105"/>
      <c r="E800" s="135"/>
      <c r="F800" s="107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  <c r="AB800" s="106"/>
    </row>
    <row r="801" ht="15.75" customHeight="1">
      <c r="A801" s="109"/>
      <c r="B801" s="104"/>
      <c r="C801" s="104"/>
      <c r="D801" s="105"/>
      <c r="E801" s="135"/>
      <c r="F801" s="107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  <c r="AB801" s="106"/>
    </row>
    <row r="802" ht="15.75" customHeight="1">
      <c r="A802" s="109"/>
      <c r="B802" s="104"/>
      <c r="C802" s="104"/>
      <c r="D802" s="105"/>
      <c r="E802" s="135"/>
      <c r="F802" s="107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  <c r="AB802" s="106"/>
    </row>
    <row r="803" ht="15.75" customHeight="1">
      <c r="A803" s="109"/>
      <c r="B803" s="104"/>
      <c r="C803" s="104"/>
      <c r="D803" s="105"/>
      <c r="E803" s="135"/>
      <c r="F803" s="107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  <c r="AB803" s="106"/>
    </row>
    <row r="804" ht="15.75" customHeight="1">
      <c r="A804" s="109"/>
      <c r="B804" s="104"/>
      <c r="C804" s="104"/>
      <c r="D804" s="105"/>
      <c r="E804" s="135"/>
      <c r="F804" s="107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  <c r="AB804" s="106"/>
    </row>
    <row r="805" ht="15.75" customHeight="1">
      <c r="A805" s="109"/>
      <c r="B805" s="104"/>
      <c r="C805" s="104"/>
      <c r="D805" s="105"/>
      <c r="E805" s="135"/>
      <c r="F805" s="107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  <c r="AB805" s="106"/>
    </row>
    <row r="806" ht="15.75" customHeight="1">
      <c r="A806" s="109"/>
      <c r="B806" s="104"/>
      <c r="C806" s="104"/>
      <c r="D806" s="105"/>
      <c r="E806" s="135"/>
      <c r="F806" s="107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  <c r="AB806" s="106"/>
    </row>
    <row r="807" ht="15.75" customHeight="1">
      <c r="A807" s="109"/>
      <c r="B807" s="104"/>
      <c r="C807" s="104"/>
      <c r="D807" s="105"/>
      <c r="E807" s="135"/>
      <c r="F807" s="107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  <c r="AB807" s="106"/>
    </row>
    <row r="808" ht="15.75" customHeight="1">
      <c r="A808" s="109"/>
      <c r="B808" s="104"/>
      <c r="C808" s="104"/>
      <c r="D808" s="105"/>
      <c r="E808" s="135"/>
      <c r="F808" s="107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  <c r="AB808" s="106"/>
    </row>
    <row r="809" ht="15.75" customHeight="1">
      <c r="A809" s="109"/>
      <c r="B809" s="104"/>
      <c r="C809" s="104"/>
      <c r="D809" s="105"/>
      <c r="E809" s="135"/>
      <c r="F809" s="107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  <c r="AB809" s="106"/>
    </row>
    <row r="810" ht="15.75" customHeight="1">
      <c r="A810" s="109"/>
      <c r="B810" s="104"/>
      <c r="C810" s="104"/>
      <c r="D810" s="105"/>
      <c r="E810" s="135"/>
      <c r="F810" s="107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  <c r="AB810" s="106"/>
    </row>
    <row r="811" ht="15.75" customHeight="1">
      <c r="A811" s="109"/>
      <c r="B811" s="104"/>
      <c r="C811" s="104"/>
      <c r="D811" s="105"/>
      <c r="E811" s="135"/>
      <c r="F811" s="107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  <c r="AB811" s="106"/>
    </row>
    <row r="812" ht="15.75" customHeight="1">
      <c r="A812" s="109"/>
      <c r="B812" s="104"/>
      <c r="C812" s="104"/>
      <c r="D812" s="105"/>
      <c r="E812" s="135"/>
      <c r="F812" s="107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  <c r="AB812" s="106"/>
    </row>
    <row r="813" ht="15.75" customHeight="1">
      <c r="A813" s="109"/>
      <c r="B813" s="104"/>
      <c r="C813" s="104"/>
      <c r="D813" s="105"/>
      <c r="E813" s="135"/>
      <c r="F813" s="107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  <c r="AB813" s="106"/>
    </row>
    <row r="814" ht="15.75" customHeight="1">
      <c r="A814" s="109"/>
      <c r="B814" s="104"/>
      <c r="C814" s="104"/>
      <c r="D814" s="105"/>
      <c r="E814" s="135"/>
      <c r="F814" s="107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  <c r="AB814" s="106"/>
    </row>
    <row r="815" ht="15.75" customHeight="1">
      <c r="A815" s="109"/>
      <c r="B815" s="104"/>
      <c r="C815" s="104"/>
      <c r="D815" s="105"/>
      <c r="E815" s="135"/>
      <c r="F815" s="107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  <c r="AB815" s="106"/>
    </row>
    <row r="816" ht="15.75" customHeight="1">
      <c r="A816" s="109"/>
      <c r="B816" s="104"/>
      <c r="C816" s="104"/>
      <c r="D816" s="105"/>
      <c r="E816" s="135"/>
      <c r="F816" s="107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  <c r="AB816" s="106"/>
    </row>
    <row r="817" ht="15.75" customHeight="1">
      <c r="A817" s="109"/>
      <c r="B817" s="104"/>
      <c r="C817" s="104"/>
      <c r="D817" s="105"/>
      <c r="E817" s="135"/>
      <c r="F817" s="107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  <c r="AB817" s="106"/>
    </row>
    <row r="818" ht="15.75" customHeight="1">
      <c r="A818" s="109"/>
      <c r="B818" s="104"/>
      <c r="C818" s="104"/>
      <c r="D818" s="105"/>
      <c r="E818" s="135"/>
      <c r="F818" s="107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</row>
    <row r="819" ht="15.75" customHeight="1">
      <c r="A819" s="109"/>
      <c r="B819" s="104"/>
      <c r="C819" s="104"/>
      <c r="D819" s="105"/>
      <c r="E819" s="135"/>
      <c r="F819" s="107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  <c r="AB819" s="106"/>
    </row>
    <row r="820" ht="15.75" customHeight="1">
      <c r="A820" s="109"/>
      <c r="B820" s="104"/>
      <c r="C820" s="104"/>
      <c r="D820" s="105"/>
      <c r="E820" s="135"/>
      <c r="F820" s="107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  <c r="AB820" s="106"/>
    </row>
    <row r="821" ht="15.75" customHeight="1">
      <c r="A821" s="109"/>
      <c r="B821" s="104"/>
      <c r="C821" s="104"/>
      <c r="D821" s="105"/>
      <c r="E821" s="135"/>
      <c r="F821" s="107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  <c r="AB821" s="106"/>
    </row>
    <row r="822" ht="15.75" customHeight="1">
      <c r="A822" s="109"/>
      <c r="B822" s="104"/>
      <c r="C822" s="104"/>
      <c r="D822" s="105"/>
      <c r="E822" s="135"/>
      <c r="F822" s="107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  <c r="AB822" s="106"/>
    </row>
    <row r="823" ht="15.75" customHeight="1">
      <c r="A823" s="109"/>
      <c r="B823" s="104"/>
      <c r="C823" s="104"/>
      <c r="D823" s="105"/>
      <c r="E823" s="135"/>
      <c r="F823" s="107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  <c r="AB823" s="106"/>
    </row>
    <row r="824" ht="15.75" customHeight="1">
      <c r="A824" s="109"/>
      <c r="B824" s="104"/>
      <c r="C824" s="104"/>
      <c r="D824" s="105"/>
      <c r="E824" s="135"/>
      <c r="F824" s="107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  <c r="AB824" s="106"/>
    </row>
    <row r="825" ht="15.75" customHeight="1">
      <c r="A825" s="109"/>
      <c r="B825" s="104"/>
      <c r="C825" s="104"/>
      <c r="D825" s="105"/>
      <c r="E825" s="135"/>
      <c r="F825" s="107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  <c r="AB825" s="106"/>
    </row>
    <row r="826" ht="15.75" customHeight="1">
      <c r="A826" s="109"/>
      <c r="B826" s="104"/>
      <c r="C826" s="104"/>
      <c r="D826" s="105"/>
      <c r="E826" s="135"/>
      <c r="F826" s="107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  <c r="AB826" s="106"/>
    </row>
    <row r="827" ht="15.75" customHeight="1">
      <c r="A827" s="109"/>
      <c r="B827" s="104"/>
      <c r="C827" s="104"/>
      <c r="D827" s="105"/>
      <c r="E827" s="135"/>
      <c r="F827" s="107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  <c r="AB827" s="106"/>
    </row>
    <row r="828" ht="15.75" customHeight="1">
      <c r="A828" s="109"/>
      <c r="B828" s="104"/>
      <c r="C828" s="104"/>
      <c r="D828" s="105"/>
      <c r="E828" s="135"/>
      <c r="F828" s="107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  <c r="AB828" s="106"/>
    </row>
    <row r="829" ht="15.75" customHeight="1">
      <c r="A829" s="109"/>
      <c r="B829" s="104"/>
      <c r="C829" s="104"/>
      <c r="D829" s="105"/>
      <c r="E829" s="135"/>
      <c r="F829" s="107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  <c r="AB829" s="106"/>
    </row>
    <row r="830" ht="15.75" customHeight="1">
      <c r="A830" s="109"/>
      <c r="B830" s="104"/>
      <c r="C830" s="104"/>
      <c r="D830" s="105"/>
      <c r="E830" s="135"/>
      <c r="F830" s="107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  <c r="AB830" s="106"/>
    </row>
    <row r="831" ht="15.75" customHeight="1">
      <c r="A831" s="109"/>
      <c r="B831" s="104"/>
      <c r="C831" s="104"/>
      <c r="D831" s="105"/>
      <c r="E831" s="135"/>
      <c r="F831" s="107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  <c r="AB831" s="106"/>
    </row>
    <row r="832" ht="15.75" customHeight="1">
      <c r="A832" s="109"/>
      <c r="B832" s="104"/>
      <c r="C832" s="104"/>
      <c r="D832" s="105"/>
      <c r="E832" s="135"/>
      <c r="F832" s="107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  <c r="AB832" s="106"/>
    </row>
    <row r="833" ht="15.75" customHeight="1">
      <c r="A833" s="109"/>
      <c r="B833" s="104"/>
      <c r="C833" s="104"/>
      <c r="D833" s="105"/>
      <c r="E833" s="135"/>
      <c r="F833" s="107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  <c r="AB833" s="106"/>
    </row>
    <row r="834" ht="15.75" customHeight="1">
      <c r="A834" s="109"/>
      <c r="B834" s="104"/>
      <c r="C834" s="104"/>
      <c r="D834" s="105"/>
      <c r="E834" s="135"/>
      <c r="F834" s="107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</row>
    <row r="835" ht="15.75" customHeight="1">
      <c r="A835" s="109"/>
      <c r="B835" s="104"/>
      <c r="C835" s="104"/>
      <c r="D835" s="105"/>
      <c r="E835" s="135"/>
      <c r="F835" s="107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  <c r="AB835" s="106"/>
    </row>
    <row r="836" ht="15.75" customHeight="1">
      <c r="A836" s="109"/>
      <c r="B836" s="104"/>
      <c r="C836" s="104"/>
      <c r="D836" s="105"/>
      <c r="E836" s="135"/>
      <c r="F836" s="107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  <c r="AB836" s="106"/>
    </row>
    <row r="837" ht="15.75" customHeight="1">
      <c r="A837" s="109"/>
      <c r="B837" s="104"/>
      <c r="C837" s="104"/>
      <c r="D837" s="105"/>
      <c r="E837" s="135"/>
      <c r="F837" s="107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  <c r="AB837" s="106"/>
    </row>
    <row r="838" ht="15.75" customHeight="1">
      <c r="A838" s="109"/>
      <c r="B838" s="104"/>
      <c r="C838" s="104"/>
      <c r="D838" s="105"/>
      <c r="E838" s="135"/>
      <c r="F838" s="107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</row>
    <row r="839" ht="15.75" customHeight="1">
      <c r="A839" s="109"/>
      <c r="B839" s="104"/>
      <c r="C839" s="104"/>
      <c r="D839" s="105"/>
      <c r="E839" s="135"/>
      <c r="F839" s="107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  <c r="AB839" s="106"/>
    </row>
    <row r="840" ht="15.75" customHeight="1">
      <c r="A840" s="109"/>
      <c r="B840" s="104"/>
      <c r="C840" s="104"/>
      <c r="D840" s="105"/>
      <c r="E840" s="135"/>
      <c r="F840" s="107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  <c r="AB840" s="106"/>
    </row>
    <row r="841" ht="15.75" customHeight="1">
      <c r="A841" s="109"/>
      <c r="B841" s="104"/>
      <c r="C841" s="104"/>
      <c r="D841" s="105"/>
      <c r="E841" s="135"/>
      <c r="F841" s="107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  <c r="AB841" s="106"/>
    </row>
    <row r="842" ht="15.75" customHeight="1">
      <c r="A842" s="109"/>
      <c r="B842" s="104"/>
      <c r="C842" s="104"/>
      <c r="D842" s="105"/>
      <c r="E842" s="135"/>
      <c r="F842" s="107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  <c r="AB842" s="106"/>
    </row>
    <row r="843" ht="15.75" customHeight="1">
      <c r="A843" s="109"/>
      <c r="B843" s="104"/>
      <c r="C843" s="104"/>
      <c r="D843" s="105"/>
      <c r="E843" s="135"/>
      <c r="F843" s="107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  <c r="AB843" s="106"/>
    </row>
    <row r="844" ht="15.75" customHeight="1">
      <c r="A844" s="109"/>
      <c r="B844" s="104"/>
      <c r="C844" s="104"/>
      <c r="D844" s="105"/>
      <c r="E844" s="135"/>
      <c r="F844" s="107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  <c r="AB844" s="106"/>
    </row>
    <row r="845" ht="15.75" customHeight="1">
      <c r="A845" s="109"/>
      <c r="B845" s="104"/>
      <c r="C845" s="104"/>
      <c r="D845" s="105"/>
      <c r="E845" s="135"/>
      <c r="F845" s="107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  <c r="AB845" s="106"/>
    </row>
    <row r="846" ht="15.75" customHeight="1">
      <c r="A846" s="109"/>
      <c r="B846" s="104"/>
      <c r="C846" s="104"/>
      <c r="D846" s="105"/>
      <c r="E846" s="135"/>
      <c r="F846" s="107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  <c r="AB846" s="106"/>
    </row>
    <row r="847" ht="15.75" customHeight="1">
      <c r="A847" s="109"/>
      <c r="B847" s="104"/>
      <c r="C847" s="104"/>
      <c r="D847" s="105"/>
      <c r="E847" s="135"/>
      <c r="F847" s="107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  <c r="AB847" s="106"/>
    </row>
    <row r="848" ht="15.75" customHeight="1">
      <c r="A848" s="109"/>
      <c r="B848" s="104"/>
      <c r="C848" s="104"/>
      <c r="D848" s="105"/>
      <c r="E848" s="135"/>
      <c r="F848" s="107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  <c r="AB848" s="106"/>
    </row>
    <row r="849" ht="15.75" customHeight="1">
      <c r="A849" s="109"/>
      <c r="B849" s="104"/>
      <c r="C849" s="104"/>
      <c r="D849" s="105"/>
      <c r="E849" s="135"/>
      <c r="F849" s="107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  <c r="AB849" s="106"/>
    </row>
    <row r="850" ht="15.75" customHeight="1">
      <c r="A850" s="109"/>
      <c r="B850" s="104"/>
      <c r="C850" s="104"/>
      <c r="D850" s="105"/>
      <c r="E850" s="135"/>
      <c r="F850" s="107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  <c r="AB850" s="106"/>
    </row>
    <row r="851" ht="15.75" customHeight="1">
      <c r="A851" s="109"/>
      <c r="B851" s="104"/>
      <c r="C851" s="104"/>
      <c r="D851" s="105"/>
      <c r="E851" s="135"/>
      <c r="F851" s="107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  <c r="AB851" s="106"/>
    </row>
    <row r="852" ht="15.75" customHeight="1">
      <c r="A852" s="109"/>
      <c r="B852" s="104"/>
      <c r="C852" s="104"/>
      <c r="D852" s="105"/>
      <c r="E852" s="135"/>
      <c r="F852" s="107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  <c r="AB852" s="106"/>
    </row>
    <row r="853" ht="15.75" customHeight="1">
      <c r="A853" s="109"/>
      <c r="B853" s="104"/>
      <c r="C853" s="104"/>
      <c r="D853" s="105"/>
      <c r="E853" s="135"/>
      <c r="F853" s="107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  <c r="AB853" s="106"/>
    </row>
    <row r="854" ht="15.75" customHeight="1">
      <c r="A854" s="109"/>
      <c r="B854" s="104"/>
      <c r="C854" s="104"/>
      <c r="D854" s="105"/>
      <c r="E854" s="135"/>
      <c r="F854" s="107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  <c r="AB854" s="106"/>
    </row>
    <row r="855" ht="15.75" customHeight="1">
      <c r="A855" s="109"/>
      <c r="B855" s="104"/>
      <c r="C855" s="104"/>
      <c r="D855" s="105"/>
      <c r="E855" s="135"/>
      <c r="F855" s="107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  <c r="AB855" s="106"/>
    </row>
    <row r="856" ht="15.75" customHeight="1">
      <c r="A856" s="109"/>
      <c r="B856" s="104"/>
      <c r="C856" s="104"/>
      <c r="D856" s="105"/>
      <c r="E856" s="135"/>
      <c r="F856" s="107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  <c r="AB856" s="106"/>
    </row>
    <row r="857" ht="15.75" customHeight="1">
      <c r="A857" s="109"/>
      <c r="B857" s="104"/>
      <c r="C857" s="104"/>
      <c r="D857" s="105"/>
      <c r="E857" s="135"/>
      <c r="F857" s="107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  <c r="AB857" s="106"/>
    </row>
    <row r="858" ht="15.75" customHeight="1">
      <c r="A858" s="109"/>
      <c r="B858" s="104"/>
      <c r="C858" s="104"/>
      <c r="D858" s="105"/>
      <c r="E858" s="135"/>
      <c r="F858" s="107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  <c r="AB858" s="106"/>
    </row>
    <row r="859" ht="15.75" customHeight="1">
      <c r="A859" s="109"/>
      <c r="B859" s="104"/>
      <c r="C859" s="104"/>
      <c r="D859" s="105"/>
      <c r="E859" s="135"/>
      <c r="F859" s="107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  <c r="AB859" s="106"/>
    </row>
    <row r="860" ht="15.75" customHeight="1">
      <c r="A860" s="109"/>
      <c r="B860" s="104"/>
      <c r="C860" s="104"/>
      <c r="D860" s="105"/>
      <c r="E860" s="135"/>
      <c r="F860" s="107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  <c r="AB860" s="106"/>
    </row>
    <row r="861" ht="15.75" customHeight="1">
      <c r="A861" s="109"/>
      <c r="B861" s="104"/>
      <c r="C861" s="104"/>
      <c r="D861" s="105"/>
      <c r="E861" s="135"/>
      <c r="F861" s="107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  <c r="AB861" s="106"/>
    </row>
    <row r="862" ht="15.75" customHeight="1">
      <c r="A862" s="109"/>
      <c r="B862" s="104"/>
      <c r="C862" s="104"/>
      <c r="D862" s="105"/>
      <c r="E862" s="135"/>
      <c r="F862" s="107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  <c r="AB862" s="106"/>
    </row>
    <row r="863" ht="15.75" customHeight="1">
      <c r="A863" s="109"/>
      <c r="B863" s="104"/>
      <c r="C863" s="104"/>
      <c r="D863" s="105"/>
      <c r="E863" s="135"/>
      <c r="F863" s="107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  <c r="AB863" s="106"/>
    </row>
    <row r="864" ht="15.75" customHeight="1">
      <c r="A864" s="109"/>
      <c r="B864" s="104"/>
      <c r="C864" s="104"/>
      <c r="D864" s="105"/>
      <c r="E864" s="135"/>
      <c r="F864" s="107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  <c r="AB864" s="106"/>
    </row>
    <row r="865" ht="15.75" customHeight="1">
      <c r="A865" s="109"/>
      <c r="B865" s="104"/>
      <c r="C865" s="104"/>
      <c r="D865" s="105"/>
      <c r="E865" s="135"/>
      <c r="F865" s="107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</row>
    <row r="866" ht="15.75" customHeight="1">
      <c r="A866" s="109"/>
      <c r="B866" s="104"/>
      <c r="C866" s="104"/>
      <c r="D866" s="105"/>
      <c r="E866" s="135"/>
      <c r="F866" s="107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  <c r="AB866" s="106"/>
    </row>
    <row r="867" ht="15.75" customHeight="1">
      <c r="A867" s="109"/>
      <c r="B867" s="104"/>
      <c r="C867" s="104"/>
      <c r="D867" s="105"/>
      <c r="E867" s="135"/>
      <c r="F867" s="107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  <c r="AB867" s="106"/>
    </row>
    <row r="868" ht="15.75" customHeight="1">
      <c r="A868" s="109"/>
      <c r="B868" s="104"/>
      <c r="C868" s="104"/>
      <c r="D868" s="105"/>
      <c r="E868" s="135"/>
      <c r="F868" s="107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  <c r="AB868" s="106"/>
    </row>
    <row r="869" ht="15.75" customHeight="1">
      <c r="A869" s="109"/>
      <c r="B869" s="104"/>
      <c r="C869" s="104"/>
      <c r="D869" s="105"/>
      <c r="E869" s="135"/>
      <c r="F869" s="107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  <c r="AB869" s="106"/>
    </row>
    <row r="870" ht="15.75" customHeight="1">
      <c r="A870" s="109"/>
      <c r="B870" s="104"/>
      <c r="C870" s="104"/>
      <c r="D870" s="105"/>
      <c r="E870" s="135"/>
      <c r="F870" s="107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  <c r="AB870" s="106"/>
    </row>
    <row r="871" ht="15.75" customHeight="1">
      <c r="A871" s="109"/>
      <c r="B871" s="104"/>
      <c r="C871" s="104"/>
      <c r="D871" s="105"/>
      <c r="E871" s="135"/>
      <c r="F871" s="107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  <c r="AB871" s="106"/>
    </row>
    <row r="872" ht="15.75" customHeight="1">
      <c r="A872" s="109"/>
      <c r="B872" s="104"/>
      <c r="C872" s="104"/>
      <c r="D872" s="105"/>
      <c r="E872" s="135"/>
      <c r="F872" s="107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  <c r="AB872" s="106"/>
    </row>
    <row r="873" ht="15.75" customHeight="1">
      <c r="A873" s="109"/>
      <c r="B873" s="104"/>
      <c r="C873" s="104"/>
      <c r="D873" s="105"/>
      <c r="E873" s="135"/>
      <c r="F873" s="107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  <c r="AB873" s="106"/>
    </row>
    <row r="874" ht="15.75" customHeight="1">
      <c r="A874" s="109"/>
      <c r="B874" s="104"/>
      <c r="C874" s="104"/>
      <c r="D874" s="105"/>
      <c r="E874" s="135"/>
      <c r="F874" s="107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  <c r="AB874" s="106"/>
    </row>
    <row r="875" ht="15.75" customHeight="1">
      <c r="A875" s="109"/>
      <c r="B875" s="104"/>
      <c r="C875" s="104"/>
      <c r="D875" s="105"/>
      <c r="E875" s="135"/>
      <c r="F875" s="107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  <c r="AB875" s="106"/>
    </row>
    <row r="876" ht="15.75" customHeight="1">
      <c r="A876" s="109"/>
      <c r="B876" s="104"/>
      <c r="C876" s="104"/>
      <c r="D876" s="105"/>
      <c r="E876" s="135"/>
      <c r="F876" s="107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  <c r="AB876" s="106"/>
    </row>
    <row r="877" ht="15.75" customHeight="1">
      <c r="A877" s="109"/>
      <c r="B877" s="104"/>
      <c r="C877" s="104"/>
      <c r="D877" s="105"/>
      <c r="E877" s="135"/>
      <c r="F877" s="107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  <c r="AB877" s="106"/>
    </row>
    <row r="878" ht="15.75" customHeight="1">
      <c r="A878" s="109"/>
      <c r="B878" s="104"/>
      <c r="C878" s="104"/>
      <c r="D878" s="105"/>
      <c r="E878" s="135"/>
      <c r="F878" s="107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  <c r="AB878" s="106"/>
    </row>
    <row r="879" ht="15.75" customHeight="1">
      <c r="A879" s="109"/>
      <c r="B879" s="104"/>
      <c r="C879" s="104"/>
      <c r="D879" s="105"/>
      <c r="E879" s="135"/>
      <c r="F879" s="107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  <c r="AB879" s="106"/>
    </row>
    <row r="880" ht="15.75" customHeight="1">
      <c r="A880" s="109"/>
      <c r="B880" s="104"/>
      <c r="C880" s="104"/>
      <c r="D880" s="105"/>
      <c r="E880" s="135"/>
      <c r="F880" s="107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  <c r="AB880" s="106"/>
    </row>
    <row r="881" ht="15.75" customHeight="1">
      <c r="A881" s="109"/>
      <c r="B881" s="104"/>
      <c r="C881" s="104"/>
      <c r="D881" s="105"/>
      <c r="E881" s="135"/>
      <c r="F881" s="107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</row>
    <row r="882" ht="15.75" customHeight="1">
      <c r="A882" s="109"/>
      <c r="B882" s="104"/>
      <c r="C882" s="104"/>
      <c r="D882" s="105"/>
      <c r="E882" s="135"/>
      <c r="F882" s="107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  <c r="AB882" s="106"/>
    </row>
    <row r="883" ht="15.75" customHeight="1">
      <c r="A883" s="109"/>
      <c r="B883" s="104"/>
      <c r="C883" s="104"/>
      <c r="D883" s="105"/>
      <c r="E883" s="135"/>
      <c r="F883" s="107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  <c r="AB883" s="106"/>
    </row>
    <row r="884" ht="15.75" customHeight="1">
      <c r="A884" s="109"/>
      <c r="B884" s="104"/>
      <c r="C884" s="104"/>
      <c r="D884" s="105"/>
      <c r="E884" s="135"/>
      <c r="F884" s="107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  <c r="AB884" s="106"/>
    </row>
    <row r="885" ht="15.75" customHeight="1">
      <c r="A885" s="109"/>
      <c r="B885" s="104"/>
      <c r="C885" s="104"/>
      <c r="D885" s="105"/>
      <c r="E885" s="135"/>
      <c r="F885" s="107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  <c r="AB885" s="106"/>
    </row>
    <row r="886" ht="15.75" customHeight="1">
      <c r="A886" s="109"/>
      <c r="B886" s="104"/>
      <c r="C886" s="104"/>
      <c r="D886" s="105"/>
      <c r="E886" s="135"/>
      <c r="F886" s="107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  <c r="AB886" s="106"/>
    </row>
    <row r="887" ht="15.75" customHeight="1">
      <c r="A887" s="109"/>
      <c r="B887" s="104"/>
      <c r="C887" s="104"/>
      <c r="D887" s="105"/>
      <c r="E887" s="135"/>
      <c r="F887" s="107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</row>
    <row r="888" ht="15.75" customHeight="1">
      <c r="A888" s="109"/>
      <c r="B888" s="104"/>
      <c r="C888" s="104"/>
      <c r="D888" s="105"/>
      <c r="E888" s="135"/>
      <c r="F888" s="107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  <c r="AB888" s="106"/>
    </row>
    <row r="889" ht="15.75" customHeight="1">
      <c r="A889" s="109"/>
      <c r="B889" s="104"/>
      <c r="C889" s="104"/>
      <c r="D889" s="105"/>
      <c r="E889" s="135"/>
      <c r="F889" s="107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  <c r="AB889" s="106"/>
    </row>
    <row r="890" ht="15.75" customHeight="1">
      <c r="A890" s="109"/>
      <c r="B890" s="104"/>
      <c r="C890" s="104"/>
      <c r="D890" s="105"/>
      <c r="E890" s="135"/>
      <c r="F890" s="107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  <c r="AB890" s="106"/>
    </row>
    <row r="891" ht="15.75" customHeight="1">
      <c r="A891" s="109"/>
      <c r="B891" s="104"/>
      <c r="C891" s="104"/>
      <c r="D891" s="105"/>
      <c r="E891" s="135"/>
      <c r="F891" s="107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  <c r="AB891" s="106"/>
    </row>
    <row r="892" ht="15.75" customHeight="1">
      <c r="A892" s="109"/>
      <c r="B892" s="104"/>
      <c r="C892" s="104"/>
      <c r="D892" s="105"/>
      <c r="E892" s="135"/>
      <c r="F892" s="107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  <c r="AB892" s="106"/>
    </row>
    <row r="893" ht="15.75" customHeight="1">
      <c r="A893" s="109"/>
      <c r="B893" s="104"/>
      <c r="C893" s="104"/>
      <c r="D893" s="105"/>
      <c r="E893" s="135"/>
      <c r="F893" s="107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  <c r="AB893" s="106"/>
    </row>
    <row r="894" ht="15.75" customHeight="1">
      <c r="A894" s="109"/>
      <c r="B894" s="104"/>
      <c r="C894" s="104"/>
      <c r="D894" s="105"/>
      <c r="E894" s="135"/>
      <c r="F894" s="107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  <c r="AB894" s="106"/>
    </row>
    <row r="895" ht="15.75" customHeight="1">
      <c r="A895" s="109"/>
      <c r="B895" s="104"/>
      <c r="C895" s="104"/>
      <c r="D895" s="105"/>
      <c r="E895" s="135"/>
      <c r="F895" s="107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  <c r="AB895" s="106"/>
    </row>
    <row r="896" ht="15.75" customHeight="1">
      <c r="A896" s="109"/>
      <c r="B896" s="104"/>
      <c r="C896" s="104"/>
      <c r="D896" s="105"/>
      <c r="E896" s="135"/>
      <c r="F896" s="107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  <c r="AB896" s="106"/>
    </row>
    <row r="897" ht="15.75" customHeight="1">
      <c r="A897" s="109"/>
      <c r="B897" s="104"/>
      <c r="C897" s="104"/>
      <c r="D897" s="105"/>
      <c r="E897" s="135"/>
      <c r="F897" s="107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  <c r="AB897" s="106"/>
    </row>
    <row r="898" ht="15.75" customHeight="1">
      <c r="A898" s="109"/>
      <c r="B898" s="104"/>
      <c r="C898" s="104"/>
      <c r="D898" s="105"/>
      <c r="E898" s="135"/>
      <c r="F898" s="107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  <c r="AB898" s="106"/>
    </row>
    <row r="899" ht="15.75" customHeight="1">
      <c r="A899" s="109"/>
      <c r="B899" s="104"/>
      <c r="C899" s="104"/>
      <c r="D899" s="105"/>
      <c r="E899" s="135"/>
      <c r="F899" s="107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  <c r="AB899" s="106"/>
    </row>
    <row r="900" ht="15.75" customHeight="1">
      <c r="A900" s="109"/>
      <c r="B900" s="104"/>
      <c r="C900" s="104"/>
      <c r="D900" s="105"/>
      <c r="E900" s="135"/>
      <c r="F900" s="107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  <c r="AB900" s="106"/>
    </row>
    <row r="901" ht="15.75" customHeight="1">
      <c r="A901" s="109"/>
      <c r="B901" s="104"/>
      <c r="C901" s="104"/>
      <c r="D901" s="105"/>
      <c r="E901" s="135"/>
      <c r="F901" s="107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  <c r="AB901" s="106"/>
    </row>
    <row r="902" ht="15.75" customHeight="1">
      <c r="A902" s="109"/>
      <c r="B902" s="104"/>
      <c r="C902" s="104"/>
      <c r="D902" s="105"/>
      <c r="E902" s="135"/>
      <c r="F902" s="107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  <c r="AB902" s="106"/>
    </row>
    <row r="903" ht="15.75" customHeight="1">
      <c r="A903" s="109"/>
      <c r="B903" s="104"/>
      <c r="C903" s="104"/>
      <c r="D903" s="105"/>
      <c r="E903" s="135"/>
      <c r="F903" s="107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  <c r="AB903" s="106"/>
    </row>
    <row r="904" ht="15.75" customHeight="1">
      <c r="A904" s="109"/>
      <c r="B904" s="104"/>
      <c r="C904" s="104"/>
      <c r="D904" s="105"/>
      <c r="E904" s="135"/>
      <c r="F904" s="107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  <c r="AB904" s="106"/>
    </row>
    <row r="905" ht="15.75" customHeight="1">
      <c r="A905" s="109"/>
      <c r="B905" s="104"/>
      <c r="C905" s="104"/>
      <c r="D905" s="105"/>
      <c r="E905" s="135"/>
      <c r="F905" s="107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  <c r="AB905" s="106"/>
    </row>
    <row r="906" ht="15.75" customHeight="1">
      <c r="A906" s="109"/>
      <c r="B906" s="104"/>
      <c r="C906" s="104"/>
      <c r="D906" s="105"/>
      <c r="E906" s="135"/>
      <c r="F906" s="107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  <c r="AB906" s="106"/>
    </row>
    <row r="907" ht="15.75" customHeight="1">
      <c r="A907" s="109"/>
      <c r="B907" s="104"/>
      <c r="C907" s="104"/>
      <c r="D907" s="105"/>
      <c r="E907" s="135"/>
      <c r="F907" s="107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  <c r="AB907" s="106"/>
    </row>
    <row r="908" ht="15.75" customHeight="1">
      <c r="A908" s="109"/>
      <c r="B908" s="104"/>
      <c r="C908" s="104"/>
      <c r="D908" s="105"/>
      <c r="E908" s="135"/>
      <c r="F908" s="107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  <c r="AB908" s="106"/>
    </row>
    <row r="909" ht="15.75" customHeight="1">
      <c r="A909" s="109"/>
      <c r="B909" s="104"/>
      <c r="C909" s="104"/>
      <c r="D909" s="105"/>
      <c r="E909" s="135"/>
      <c r="F909" s="107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  <c r="AB909" s="106"/>
    </row>
    <row r="910" ht="15.75" customHeight="1">
      <c r="A910" s="109"/>
      <c r="B910" s="104"/>
      <c r="C910" s="104"/>
      <c r="D910" s="105"/>
      <c r="E910" s="135"/>
      <c r="F910" s="107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  <c r="AB910" s="106"/>
    </row>
    <row r="911" ht="15.75" customHeight="1">
      <c r="A911" s="109"/>
      <c r="B911" s="104"/>
      <c r="C911" s="104"/>
      <c r="D911" s="105"/>
      <c r="E911" s="135"/>
      <c r="F911" s="107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  <c r="AB911" s="106"/>
    </row>
    <row r="912" ht="15.75" customHeight="1">
      <c r="A912" s="109"/>
      <c r="B912" s="104"/>
      <c r="C912" s="104"/>
      <c r="D912" s="105"/>
      <c r="E912" s="135"/>
      <c r="F912" s="107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  <c r="AB912" s="106"/>
    </row>
    <row r="913" ht="15.75" customHeight="1">
      <c r="A913" s="109"/>
      <c r="B913" s="104"/>
      <c r="C913" s="104"/>
      <c r="D913" s="105"/>
      <c r="E913" s="135"/>
      <c r="F913" s="107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  <c r="AB913" s="106"/>
    </row>
    <row r="914" ht="15.75" customHeight="1">
      <c r="A914" s="109"/>
      <c r="B914" s="104"/>
      <c r="C914" s="104"/>
      <c r="D914" s="105"/>
      <c r="E914" s="135"/>
      <c r="F914" s="107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  <c r="AB914" s="106"/>
    </row>
    <row r="915" ht="15.75" customHeight="1">
      <c r="A915" s="109"/>
      <c r="B915" s="104"/>
      <c r="C915" s="104"/>
      <c r="D915" s="105"/>
      <c r="E915" s="135"/>
      <c r="F915" s="107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  <c r="AB915" s="106"/>
    </row>
    <row r="916" ht="15.75" customHeight="1">
      <c r="A916" s="109"/>
      <c r="B916" s="104"/>
      <c r="C916" s="104"/>
      <c r="D916" s="105"/>
      <c r="E916" s="135"/>
      <c r="F916" s="107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  <c r="AB916" s="106"/>
    </row>
    <row r="917" ht="15.75" customHeight="1">
      <c r="A917" s="109"/>
      <c r="B917" s="104"/>
      <c r="C917" s="104"/>
      <c r="D917" s="105"/>
      <c r="E917" s="135"/>
      <c r="F917" s="107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  <c r="AB917" s="106"/>
    </row>
    <row r="918" ht="15.75" customHeight="1">
      <c r="A918" s="109"/>
      <c r="B918" s="104"/>
      <c r="C918" s="104"/>
      <c r="D918" s="105"/>
      <c r="E918" s="135"/>
      <c r="F918" s="107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  <c r="AB918" s="106"/>
    </row>
    <row r="919" ht="15.75" customHeight="1">
      <c r="A919" s="109"/>
      <c r="B919" s="104"/>
      <c r="C919" s="104"/>
      <c r="D919" s="105"/>
      <c r="E919" s="135"/>
      <c r="F919" s="107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  <c r="AB919" s="106"/>
    </row>
    <row r="920" ht="15.75" customHeight="1">
      <c r="A920" s="109"/>
      <c r="B920" s="104"/>
      <c r="C920" s="104"/>
      <c r="D920" s="105"/>
      <c r="E920" s="135"/>
      <c r="F920" s="107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  <c r="AB920" s="106"/>
    </row>
    <row r="921" ht="15.75" customHeight="1">
      <c r="A921" s="109"/>
      <c r="B921" s="104"/>
      <c r="C921" s="104"/>
      <c r="D921" s="105"/>
      <c r="E921" s="135"/>
      <c r="F921" s="107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  <c r="AB921" s="106"/>
    </row>
    <row r="922" ht="15.75" customHeight="1">
      <c r="A922" s="109"/>
      <c r="B922" s="104"/>
      <c r="C922" s="104"/>
      <c r="D922" s="105"/>
      <c r="E922" s="135"/>
      <c r="F922" s="107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  <c r="AB922" s="106"/>
    </row>
    <row r="923" ht="15.75" customHeight="1">
      <c r="A923" s="109"/>
      <c r="B923" s="104"/>
      <c r="C923" s="104"/>
      <c r="D923" s="105"/>
      <c r="E923" s="135"/>
      <c r="F923" s="107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  <c r="AB923" s="106"/>
    </row>
    <row r="924" ht="15.75" customHeight="1">
      <c r="A924" s="109"/>
      <c r="B924" s="104"/>
      <c r="C924" s="104"/>
      <c r="D924" s="105"/>
      <c r="E924" s="135"/>
      <c r="F924" s="107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  <c r="AB924" s="106"/>
    </row>
    <row r="925" ht="15.75" customHeight="1">
      <c r="A925" s="109"/>
      <c r="B925" s="104"/>
      <c r="C925" s="104"/>
      <c r="D925" s="105"/>
      <c r="E925" s="135"/>
      <c r="F925" s="107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  <c r="AB925" s="106"/>
    </row>
    <row r="926" ht="15.75" customHeight="1">
      <c r="A926" s="109"/>
      <c r="B926" s="104"/>
      <c r="C926" s="104"/>
      <c r="D926" s="105"/>
      <c r="E926" s="135"/>
      <c r="F926" s="107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  <c r="AB926" s="106"/>
    </row>
    <row r="927" ht="15.75" customHeight="1">
      <c r="A927" s="109"/>
      <c r="B927" s="104"/>
      <c r="C927" s="104"/>
      <c r="D927" s="105"/>
      <c r="E927" s="135"/>
      <c r="F927" s="107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  <c r="AB927" s="106"/>
    </row>
    <row r="928" ht="15.75" customHeight="1">
      <c r="A928" s="109"/>
      <c r="B928" s="104"/>
      <c r="C928" s="104"/>
      <c r="D928" s="105"/>
      <c r="E928" s="135"/>
      <c r="F928" s="107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  <c r="AB928" s="106"/>
    </row>
    <row r="929" ht="15.75" customHeight="1">
      <c r="A929" s="109"/>
      <c r="B929" s="104"/>
      <c r="C929" s="104"/>
      <c r="D929" s="105"/>
      <c r="E929" s="135"/>
      <c r="F929" s="107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  <c r="AB929" s="106"/>
    </row>
    <row r="930" ht="15.75" customHeight="1">
      <c r="A930" s="109"/>
      <c r="B930" s="104"/>
      <c r="C930" s="104"/>
      <c r="D930" s="105"/>
      <c r="E930" s="135"/>
      <c r="F930" s="107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  <c r="AB930" s="106"/>
    </row>
    <row r="931" ht="15.75" customHeight="1">
      <c r="A931" s="109"/>
      <c r="B931" s="104"/>
      <c r="C931" s="104"/>
      <c r="D931" s="105"/>
      <c r="E931" s="135"/>
      <c r="F931" s="107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  <c r="AB931" s="106"/>
    </row>
    <row r="932" ht="15.75" customHeight="1">
      <c r="A932" s="109"/>
      <c r="B932" s="104"/>
      <c r="C932" s="104"/>
      <c r="D932" s="105"/>
      <c r="E932" s="135"/>
      <c r="F932" s="107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  <c r="AB932" s="106"/>
    </row>
    <row r="933" ht="15.75" customHeight="1">
      <c r="A933" s="109"/>
      <c r="B933" s="104"/>
      <c r="C933" s="104"/>
      <c r="D933" s="105"/>
      <c r="E933" s="135"/>
      <c r="F933" s="107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  <c r="AB933" s="106"/>
    </row>
    <row r="934" ht="15.75" customHeight="1">
      <c r="A934" s="109"/>
      <c r="B934" s="104"/>
      <c r="C934" s="104"/>
      <c r="D934" s="105"/>
      <c r="E934" s="135"/>
      <c r="F934" s="107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  <c r="AB934" s="106"/>
    </row>
    <row r="935" ht="15.75" customHeight="1">
      <c r="A935" s="109"/>
      <c r="B935" s="104"/>
      <c r="C935" s="104"/>
      <c r="D935" s="105"/>
      <c r="E935" s="135"/>
      <c r="F935" s="107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  <c r="AB935" s="106"/>
    </row>
    <row r="936" ht="15.75" customHeight="1">
      <c r="A936" s="109"/>
      <c r="B936" s="104"/>
      <c r="C936" s="104"/>
      <c r="D936" s="105"/>
      <c r="E936" s="135"/>
      <c r="F936" s="107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  <c r="AB936" s="106"/>
    </row>
    <row r="937" ht="15.75" customHeight="1">
      <c r="A937" s="109"/>
      <c r="B937" s="104"/>
      <c r="C937" s="104"/>
      <c r="D937" s="105"/>
      <c r="E937" s="135"/>
      <c r="F937" s="107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  <c r="AB937" s="106"/>
    </row>
    <row r="938" ht="15.75" customHeight="1">
      <c r="A938" s="109"/>
      <c r="B938" s="104"/>
      <c r="C938" s="104"/>
      <c r="D938" s="105"/>
      <c r="E938" s="135"/>
      <c r="F938" s="107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  <c r="AB938" s="106"/>
    </row>
    <row r="939" ht="15.75" customHeight="1">
      <c r="A939" s="109"/>
      <c r="B939" s="104"/>
      <c r="C939" s="104"/>
      <c r="D939" s="105"/>
      <c r="E939" s="135"/>
      <c r="F939" s="107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  <c r="AB939" s="106"/>
    </row>
    <row r="940" ht="15.75" customHeight="1">
      <c r="A940" s="109"/>
      <c r="B940" s="104"/>
      <c r="C940" s="104"/>
      <c r="D940" s="105"/>
      <c r="E940" s="135"/>
      <c r="F940" s="107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  <c r="AB940" s="106"/>
    </row>
    <row r="941" ht="15.75" customHeight="1">
      <c r="A941" s="109"/>
      <c r="B941" s="104"/>
      <c r="C941" s="104"/>
      <c r="D941" s="105"/>
      <c r="E941" s="135"/>
      <c r="F941" s="107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  <c r="AB941" s="106"/>
    </row>
    <row r="942" ht="15.75" customHeight="1">
      <c r="A942" s="109"/>
      <c r="B942" s="104"/>
      <c r="C942" s="104"/>
      <c r="D942" s="105"/>
      <c r="E942" s="135"/>
      <c r="F942" s="107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  <c r="AB942" s="106"/>
    </row>
    <row r="943" ht="15.75" customHeight="1">
      <c r="A943" s="109"/>
      <c r="B943" s="104"/>
      <c r="C943" s="104"/>
      <c r="D943" s="105"/>
      <c r="E943" s="135"/>
      <c r="F943" s="107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  <c r="AB943" s="106"/>
    </row>
    <row r="944" ht="15.75" customHeight="1">
      <c r="A944" s="109"/>
      <c r="B944" s="104"/>
      <c r="C944" s="104"/>
      <c r="D944" s="105"/>
      <c r="E944" s="135"/>
      <c r="F944" s="107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  <c r="AB944" s="106"/>
    </row>
    <row r="945" ht="15.75" customHeight="1">
      <c r="A945" s="109"/>
      <c r="B945" s="104"/>
      <c r="C945" s="104"/>
      <c r="D945" s="105"/>
      <c r="E945" s="135"/>
      <c r="F945" s="107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  <c r="AB945" s="106"/>
    </row>
    <row r="946" ht="15.75" customHeight="1">
      <c r="A946" s="109"/>
      <c r="B946" s="104"/>
      <c r="C946" s="104"/>
      <c r="D946" s="105"/>
      <c r="E946" s="135"/>
      <c r="F946" s="107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  <c r="AB946" s="106"/>
    </row>
    <row r="947" ht="15.75" customHeight="1">
      <c r="A947" s="109"/>
      <c r="B947" s="104"/>
      <c r="C947" s="104"/>
      <c r="D947" s="105"/>
      <c r="E947" s="135"/>
      <c r="F947" s="107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  <c r="AB947" s="106"/>
    </row>
    <row r="948" ht="15.75" customHeight="1">
      <c r="A948" s="109"/>
      <c r="B948" s="104"/>
      <c r="C948" s="104"/>
      <c r="D948" s="105"/>
      <c r="E948" s="135"/>
      <c r="F948" s="107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  <c r="AB948" s="106"/>
    </row>
    <row r="949" ht="15.75" customHeight="1">
      <c r="A949" s="109"/>
      <c r="B949" s="104"/>
      <c r="C949" s="104"/>
      <c r="D949" s="105"/>
      <c r="E949" s="135"/>
      <c r="F949" s="107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  <c r="AB949" s="106"/>
    </row>
    <row r="950" ht="15.75" customHeight="1">
      <c r="A950" s="109"/>
      <c r="B950" s="104"/>
      <c r="C950" s="104"/>
      <c r="D950" s="105"/>
      <c r="E950" s="135"/>
      <c r="F950" s="107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  <c r="AB950" s="106"/>
    </row>
    <row r="951" ht="15.75" customHeight="1">
      <c r="A951" s="109"/>
      <c r="B951" s="104"/>
      <c r="C951" s="104"/>
      <c r="D951" s="105"/>
      <c r="E951" s="135"/>
      <c r="F951" s="107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  <c r="AB951" s="106"/>
    </row>
    <row r="952" ht="15.75" customHeight="1">
      <c r="A952" s="109"/>
      <c r="B952" s="104"/>
      <c r="C952" s="104"/>
      <c r="D952" s="105"/>
      <c r="E952" s="135"/>
      <c r="F952" s="107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  <c r="AB952" s="106"/>
    </row>
    <row r="953" ht="15.75" customHeight="1">
      <c r="A953" s="109"/>
      <c r="B953" s="104"/>
      <c r="C953" s="104"/>
      <c r="D953" s="105"/>
      <c r="E953" s="135"/>
      <c r="F953" s="107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  <c r="AB953" s="106"/>
    </row>
    <row r="954" ht="15.75" customHeight="1">
      <c r="A954" s="109"/>
      <c r="B954" s="104"/>
      <c r="C954" s="104"/>
      <c r="D954" s="105"/>
      <c r="E954" s="135"/>
      <c r="F954" s="107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  <c r="AB954" s="106"/>
    </row>
    <row r="955" ht="15.75" customHeight="1">
      <c r="A955" s="109"/>
      <c r="B955" s="104"/>
      <c r="C955" s="104"/>
      <c r="D955" s="105"/>
      <c r="E955" s="135"/>
      <c r="F955" s="107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  <c r="AB955" s="106"/>
    </row>
    <row r="956" ht="15.75" customHeight="1">
      <c r="A956" s="109"/>
      <c r="B956" s="104"/>
      <c r="C956" s="104"/>
      <c r="D956" s="105"/>
      <c r="E956" s="135"/>
      <c r="F956" s="107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  <c r="AB956" s="106"/>
    </row>
    <row r="957" ht="15.75" customHeight="1">
      <c r="A957" s="109"/>
      <c r="B957" s="104"/>
      <c r="C957" s="104"/>
      <c r="D957" s="105"/>
      <c r="E957" s="135"/>
      <c r="F957" s="107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  <c r="AB957" s="106"/>
    </row>
    <row r="958" ht="15.75" customHeight="1">
      <c r="A958" s="109"/>
      <c r="B958" s="104"/>
      <c r="C958" s="104"/>
      <c r="D958" s="105"/>
      <c r="E958" s="135"/>
      <c r="F958" s="107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  <c r="AB958" s="106"/>
    </row>
    <row r="959" ht="15.75" customHeight="1">
      <c r="A959" s="109"/>
      <c r="B959" s="104"/>
      <c r="C959" s="104"/>
      <c r="D959" s="105"/>
      <c r="E959" s="135"/>
      <c r="F959" s="107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  <c r="AB959" s="106"/>
    </row>
    <row r="960" ht="15.75" customHeight="1">
      <c r="A960" s="109"/>
      <c r="B960" s="104"/>
      <c r="C960" s="104"/>
      <c r="D960" s="105"/>
      <c r="E960" s="135"/>
      <c r="F960" s="107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  <c r="AB960" s="106"/>
    </row>
    <row r="961" ht="15.75" customHeight="1">
      <c r="A961" s="109"/>
      <c r="B961" s="104"/>
      <c r="C961" s="104"/>
      <c r="D961" s="105"/>
      <c r="E961" s="135"/>
      <c r="F961" s="107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  <c r="AB961" s="106"/>
    </row>
    <row r="962" ht="15.75" customHeight="1">
      <c r="A962" s="109"/>
      <c r="B962" s="104"/>
      <c r="C962" s="104"/>
      <c r="D962" s="105"/>
      <c r="E962" s="135"/>
      <c r="F962" s="107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  <c r="AB962" s="106"/>
    </row>
    <row r="963" ht="15.75" customHeight="1">
      <c r="A963" s="109"/>
      <c r="B963" s="104"/>
      <c r="C963" s="104"/>
      <c r="D963" s="105"/>
      <c r="E963" s="135"/>
      <c r="F963" s="107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  <c r="AB963" s="106"/>
    </row>
    <row r="964" ht="15.75" customHeight="1">
      <c r="A964" s="109"/>
      <c r="B964" s="104"/>
      <c r="C964" s="104"/>
      <c r="D964" s="105"/>
      <c r="E964" s="135"/>
      <c r="F964" s="107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  <c r="AB964" s="106"/>
    </row>
    <row r="965" ht="15.75" customHeight="1">
      <c r="A965" s="109"/>
      <c r="B965" s="104"/>
      <c r="C965" s="104"/>
      <c r="D965" s="105"/>
      <c r="E965" s="135"/>
      <c r="F965" s="107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  <c r="AB965" s="106"/>
    </row>
    <row r="966" ht="15.75" customHeight="1">
      <c r="A966" s="109"/>
      <c r="B966" s="104"/>
      <c r="C966" s="104"/>
      <c r="D966" s="105"/>
      <c r="E966" s="135"/>
      <c r="F966" s="107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  <c r="AB966" s="106"/>
    </row>
    <row r="967" ht="15.75" customHeight="1">
      <c r="A967" s="109"/>
      <c r="B967" s="104"/>
      <c r="C967" s="104"/>
      <c r="D967" s="105"/>
      <c r="E967" s="135"/>
      <c r="F967" s="107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  <c r="AB967" s="106"/>
    </row>
    <row r="968" ht="15.75" customHeight="1">
      <c r="A968" s="109"/>
      <c r="B968" s="104"/>
      <c r="C968" s="104"/>
      <c r="D968" s="105"/>
      <c r="E968" s="135"/>
      <c r="F968" s="107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  <c r="AB968" s="106"/>
    </row>
    <row r="969" ht="15.75" customHeight="1">
      <c r="A969" s="109"/>
      <c r="B969" s="104"/>
      <c r="C969" s="104"/>
      <c r="D969" s="105"/>
      <c r="E969" s="135"/>
      <c r="F969" s="107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6"/>
      <c r="S969" s="106"/>
      <c r="T969" s="106"/>
      <c r="U969" s="106"/>
      <c r="V969" s="106"/>
      <c r="W969" s="106"/>
      <c r="X969" s="106"/>
      <c r="Y969" s="106"/>
      <c r="Z969" s="106"/>
      <c r="AA969" s="106"/>
      <c r="AB969" s="106"/>
    </row>
    <row r="970" ht="15.75" customHeight="1">
      <c r="A970" s="109"/>
      <c r="B970" s="104"/>
      <c r="C970" s="104"/>
      <c r="D970" s="105"/>
      <c r="E970" s="135"/>
      <c r="F970" s="107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6"/>
      <c r="S970" s="106"/>
      <c r="T970" s="106"/>
      <c r="U970" s="106"/>
      <c r="V970" s="106"/>
      <c r="W970" s="106"/>
      <c r="X970" s="106"/>
      <c r="Y970" s="106"/>
      <c r="Z970" s="106"/>
      <c r="AA970" s="106"/>
      <c r="AB970" s="106"/>
    </row>
    <row r="971" ht="15.75" customHeight="1">
      <c r="A971" s="109"/>
      <c r="B971" s="104"/>
      <c r="C971" s="104"/>
      <c r="D971" s="105"/>
      <c r="E971" s="135"/>
      <c r="F971" s="107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6"/>
      <c r="S971" s="106"/>
      <c r="T971" s="106"/>
      <c r="U971" s="106"/>
      <c r="V971" s="106"/>
      <c r="W971" s="106"/>
      <c r="X971" s="106"/>
      <c r="Y971" s="106"/>
      <c r="Z971" s="106"/>
      <c r="AA971" s="106"/>
      <c r="AB971" s="106"/>
    </row>
    <row r="972" ht="15.75" customHeight="1">
      <c r="A972" s="109"/>
      <c r="B972" s="104"/>
      <c r="C972" s="104"/>
      <c r="D972" s="105"/>
      <c r="E972" s="135"/>
      <c r="F972" s="107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6"/>
      <c r="S972" s="106"/>
      <c r="T972" s="106"/>
      <c r="U972" s="106"/>
      <c r="V972" s="106"/>
      <c r="W972" s="106"/>
      <c r="X972" s="106"/>
      <c r="Y972" s="106"/>
      <c r="Z972" s="106"/>
      <c r="AA972" s="106"/>
      <c r="AB972" s="106"/>
    </row>
    <row r="973" ht="15.75" customHeight="1">
      <c r="A973" s="109"/>
      <c r="B973" s="104"/>
      <c r="C973" s="104"/>
      <c r="D973" s="105"/>
      <c r="E973" s="135"/>
      <c r="F973" s="107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6"/>
      <c r="S973" s="106"/>
      <c r="T973" s="106"/>
      <c r="U973" s="106"/>
      <c r="V973" s="106"/>
      <c r="W973" s="106"/>
      <c r="X973" s="106"/>
      <c r="Y973" s="106"/>
      <c r="Z973" s="106"/>
      <c r="AA973" s="106"/>
      <c r="AB973" s="106"/>
    </row>
    <row r="974" ht="15.75" customHeight="1">
      <c r="A974" s="109"/>
      <c r="B974" s="104"/>
      <c r="C974" s="104"/>
      <c r="D974" s="105"/>
      <c r="E974" s="135"/>
      <c r="F974" s="107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6"/>
      <c r="S974" s="106"/>
      <c r="T974" s="106"/>
      <c r="U974" s="106"/>
      <c r="V974" s="106"/>
      <c r="W974" s="106"/>
      <c r="X974" s="106"/>
      <c r="Y974" s="106"/>
      <c r="Z974" s="106"/>
      <c r="AA974" s="106"/>
      <c r="AB974" s="106"/>
    </row>
    <row r="975" ht="15.75" customHeight="1">
      <c r="A975" s="109"/>
      <c r="B975" s="104"/>
      <c r="C975" s="104"/>
      <c r="D975" s="105"/>
      <c r="E975" s="135"/>
      <c r="F975" s="107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6"/>
      <c r="S975" s="106"/>
      <c r="T975" s="106"/>
      <c r="U975" s="106"/>
      <c r="V975" s="106"/>
      <c r="W975" s="106"/>
      <c r="X975" s="106"/>
      <c r="Y975" s="106"/>
      <c r="Z975" s="106"/>
      <c r="AA975" s="106"/>
      <c r="AB975" s="106"/>
    </row>
    <row r="976" ht="15.75" customHeight="1">
      <c r="A976" s="109"/>
      <c r="B976" s="104"/>
      <c r="C976" s="104"/>
      <c r="D976" s="105"/>
      <c r="E976" s="135"/>
      <c r="F976" s="107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6"/>
      <c r="S976" s="106"/>
      <c r="T976" s="106"/>
      <c r="U976" s="106"/>
      <c r="V976" s="106"/>
      <c r="W976" s="106"/>
      <c r="X976" s="106"/>
      <c r="Y976" s="106"/>
      <c r="Z976" s="106"/>
      <c r="AA976" s="106"/>
      <c r="AB976" s="106"/>
    </row>
    <row r="977" ht="15.75" customHeight="1">
      <c r="A977" s="109"/>
      <c r="B977" s="104"/>
      <c r="C977" s="104"/>
      <c r="D977" s="105"/>
      <c r="E977" s="135"/>
      <c r="F977" s="107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6"/>
      <c r="S977" s="106"/>
      <c r="T977" s="106"/>
      <c r="U977" s="106"/>
      <c r="V977" s="106"/>
      <c r="W977" s="106"/>
      <c r="X977" s="106"/>
      <c r="Y977" s="106"/>
      <c r="Z977" s="106"/>
      <c r="AA977" s="106"/>
      <c r="AB977" s="106"/>
    </row>
    <row r="978" ht="15.75" customHeight="1">
      <c r="A978" s="109"/>
      <c r="B978" s="104"/>
      <c r="C978" s="104"/>
      <c r="D978" s="105"/>
      <c r="E978" s="135"/>
      <c r="F978" s="107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6"/>
      <c r="S978" s="106"/>
      <c r="T978" s="106"/>
      <c r="U978" s="106"/>
      <c r="V978" s="106"/>
      <c r="W978" s="106"/>
      <c r="X978" s="106"/>
      <c r="Y978" s="106"/>
      <c r="Z978" s="106"/>
      <c r="AA978" s="106"/>
      <c r="AB978" s="106"/>
    </row>
    <row r="979" ht="15.75" customHeight="1">
      <c r="A979" s="109"/>
      <c r="B979" s="104"/>
      <c r="C979" s="104"/>
      <c r="D979" s="105"/>
      <c r="E979" s="135"/>
      <c r="F979" s="107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6"/>
      <c r="S979" s="106"/>
      <c r="T979" s="106"/>
      <c r="U979" s="106"/>
      <c r="V979" s="106"/>
      <c r="W979" s="106"/>
      <c r="X979" s="106"/>
      <c r="Y979" s="106"/>
      <c r="Z979" s="106"/>
      <c r="AA979" s="106"/>
      <c r="AB979" s="106"/>
    </row>
    <row r="980" ht="15.75" customHeight="1">
      <c r="A980" s="109"/>
      <c r="B980" s="104"/>
      <c r="C980" s="104"/>
      <c r="D980" s="105"/>
      <c r="E980" s="135"/>
      <c r="F980" s="107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6"/>
      <c r="S980" s="106"/>
      <c r="T980" s="106"/>
      <c r="U980" s="106"/>
      <c r="V980" s="106"/>
      <c r="W980" s="106"/>
      <c r="X980" s="106"/>
      <c r="Y980" s="106"/>
      <c r="Z980" s="106"/>
      <c r="AA980" s="106"/>
      <c r="AB980" s="106"/>
    </row>
    <row r="981" ht="15.75" customHeight="1">
      <c r="A981" s="109"/>
      <c r="B981" s="104"/>
      <c r="C981" s="104"/>
      <c r="D981" s="105"/>
      <c r="E981" s="135"/>
      <c r="F981" s="107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6"/>
      <c r="S981" s="106"/>
      <c r="T981" s="106"/>
      <c r="U981" s="106"/>
      <c r="V981" s="106"/>
      <c r="W981" s="106"/>
      <c r="X981" s="106"/>
      <c r="Y981" s="106"/>
      <c r="Z981" s="106"/>
      <c r="AA981" s="106"/>
      <c r="AB981" s="106"/>
    </row>
    <row r="982" ht="15.75" customHeight="1">
      <c r="A982" s="109"/>
      <c r="B982" s="104"/>
      <c r="C982" s="104"/>
      <c r="D982" s="105"/>
      <c r="E982" s="135"/>
      <c r="F982" s="107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6"/>
      <c r="S982" s="106"/>
      <c r="T982" s="106"/>
      <c r="U982" s="106"/>
      <c r="V982" s="106"/>
      <c r="W982" s="106"/>
      <c r="X982" s="106"/>
      <c r="Y982" s="106"/>
      <c r="Z982" s="106"/>
      <c r="AA982" s="106"/>
      <c r="AB982" s="106"/>
    </row>
    <row r="983" ht="15.75" customHeight="1">
      <c r="A983" s="109"/>
      <c r="B983" s="104"/>
      <c r="C983" s="104"/>
      <c r="D983" s="105"/>
      <c r="E983" s="135"/>
      <c r="F983" s="107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6"/>
      <c r="S983" s="106"/>
      <c r="T983" s="106"/>
      <c r="U983" s="106"/>
      <c r="V983" s="106"/>
      <c r="W983" s="106"/>
      <c r="X983" s="106"/>
      <c r="Y983" s="106"/>
      <c r="Z983" s="106"/>
      <c r="AA983" s="106"/>
      <c r="AB983" s="106"/>
    </row>
    <row r="984" ht="15.75" customHeight="1">
      <c r="A984" s="109"/>
      <c r="B984" s="104"/>
      <c r="C984" s="104"/>
      <c r="D984" s="105"/>
      <c r="E984" s="135"/>
      <c r="F984" s="107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6"/>
      <c r="S984" s="106"/>
      <c r="T984" s="106"/>
      <c r="U984" s="106"/>
      <c r="V984" s="106"/>
      <c r="W984" s="106"/>
      <c r="X984" s="106"/>
      <c r="Y984" s="106"/>
      <c r="Z984" s="106"/>
      <c r="AA984" s="106"/>
      <c r="AB984" s="106"/>
    </row>
    <row r="985" ht="15.75" customHeight="1">
      <c r="A985" s="109"/>
      <c r="B985" s="104"/>
      <c r="C985" s="104"/>
      <c r="D985" s="105"/>
      <c r="E985" s="135"/>
      <c r="F985" s="107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6"/>
      <c r="S985" s="106"/>
      <c r="T985" s="106"/>
      <c r="U985" s="106"/>
      <c r="V985" s="106"/>
      <c r="W985" s="106"/>
      <c r="X985" s="106"/>
      <c r="Y985" s="106"/>
      <c r="Z985" s="106"/>
      <c r="AA985" s="106"/>
      <c r="AB985" s="106"/>
    </row>
    <row r="986" ht="15.75" customHeight="1">
      <c r="A986" s="109"/>
      <c r="B986" s="104"/>
      <c r="C986" s="104"/>
      <c r="D986" s="105"/>
      <c r="E986" s="135"/>
      <c r="F986" s="107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6"/>
      <c r="S986" s="106"/>
      <c r="T986" s="106"/>
      <c r="U986" s="106"/>
      <c r="V986" s="106"/>
      <c r="W986" s="106"/>
      <c r="X986" s="106"/>
      <c r="Y986" s="106"/>
      <c r="Z986" s="106"/>
      <c r="AA986" s="106"/>
      <c r="AB986" s="106"/>
    </row>
    <row r="987" ht="15.75" customHeight="1">
      <c r="A987" s="109"/>
      <c r="B987" s="104"/>
      <c r="C987" s="104"/>
      <c r="D987" s="105"/>
      <c r="E987" s="135"/>
      <c r="F987" s="107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6"/>
      <c r="S987" s="106"/>
      <c r="T987" s="106"/>
      <c r="U987" s="106"/>
      <c r="V987" s="106"/>
      <c r="W987" s="106"/>
      <c r="X987" s="106"/>
      <c r="Y987" s="106"/>
      <c r="Z987" s="106"/>
      <c r="AA987" s="106"/>
      <c r="AB987" s="106"/>
    </row>
    <row r="988" ht="15.75" customHeight="1">
      <c r="A988" s="109"/>
      <c r="B988" s="104"/>
      <c r="C988" s="104"/>
      <c r="D988" s="105"/>
      <c r="E988" s="135"/>
      <c r="F988" s="107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6"/>
      <c r="S988" s="106"/>
      <c r="T988" s="106"/>
      <c r="U988" s="106"/>
      <c r="V988" s="106"/>
      <c r="W988" s="106"/>
      <c r="X988" s="106"/>
      <c r="Y988" s="106"/>
      <c r="Z988" s="106"/>
      <c r="AA988" s="106"/>
      <c r="AB988" s="106"/>
    </row>
    <row r="989" ht="15.75" customHeight="1">
      <c r="A989" s="109"/>
      <c r="B989" s="104"/>
      <c r="C989" s="104"/>
      <c r="D989" s="105"/>
      <c r="E989" s="135"/>
      <c r="F989" s="107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6"/>
      <c r="S989" s="106"/>
      <c r="T989" s="106"/>
      <c r="U989" s="106"/>
      <c r="V989" s="106"/>
      <c r="W989" s="106"/>
      <c r="X989" s="106"/>
      <c r="Y989" s="106"/>
      <c r="Z989" s="106"/>
      <c r="AA989" s="106"/>
      <c r="AB989" s="106"/>
    </row>
    <row r="990" ht="15.75" customHeight="1">
      <c r="A990" s="109"/>
      <c r="B990" s="104"/>
      <c r="C990" s="104"/>
      <c r="D990" s="105"/>
      <c r="E990" s="135"/>
      <c r="F990" s="107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6"/>
      <c r="S990" s="106"/>
      <c r="T990" s="106"/>
      <c r="U990" s="106"/>
      <c r="V990" s="106"/>
      <c r="W990" s="106"/>
      <c r="X990" s="106"/>
      <c r="Y990" s="106"/>
      <c r="Z990" s="106"/>
      <c r="AA990" s="106"/>
      <c r="AB990" s="106"/>
    </row>
    <row r="991" ht="15.75" customHeight="1">
      <c r="A991" s="109"/>
      <c r="B991" s="104"/>
      <c r="C991" s="104"/>
      <c r="D991" s="105"/>
      <c r="E991" s="135"/>
      <c r="F991" s="107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6"/>
      <c r="S991" s="106"/>
      <c r="T991" s="106"/>
      <c r="U991" s="106"/>
      <c r="V991" s="106"/>
      <c r="W991" s="106"/>
      <c r="X991" s="106"/>
      <c r="Y991" s="106"/>
      <c r="Z991" s="106"/>
      <c r="AA991" s="106"/>
      <c r="AB991" s="106"/>
    </row>
    <row r="992" ht="15.75" customHeight="1">
      <c r="A992" s="109"/>
      <c r="B992" s="104"/>
      <c r="C992" s="104"/>
      <c r="D992" s="105"/>
      <c r="E992" s="135"/>
      <c r="F992" s="107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6"/>
      <c r="S992" s="106"/>
      <c r="T992" s="106"/>
      <c r="U992" s="106"/>
      <c r="V992" s="106"/>
      <c r="W992" s="106"/>
      <c r="X992" s="106"/>
      <c r="Y992" s="106"/>
      <c r="Z992" s="106"/>
      <c r="AA992" s="106"/>
      <c r="AB992" s="106"/>
    </row>
    <row r="993" ht="15.75" customHeight="1">
      <c r="A993" s="109"/>
      <c r="B993" s="104"/>
      <c r="C993" s="104"/>
      <c r="D993" s="105"/>
      <c r="E993" s="135"/>
      <c r="F993" s="107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6"/>
      <c r="S993" s="106"/>
      <c r="T993" s="106"/>
      <c r="U993" s="106"/>
      <c r="V993" s="106"/>
      <c r="W993" s="106"/>
      <c r="X993" s="106"/>
      <c r="Y993" s="106"/>
      <c r="Z993" s="106"/>
      <c r="AA993" s="106"/>
      <c r="AB993" s="106"/>
    </row>
    <row r="994" ht="15.75" customHeight="1">
      <c r="A994" s="109"/>
      <c r="B994" s="104"/>
      <c r="C994" s="104"/>
      <c r="D994" s="105"/>
      <c r="E994" s="135"/>
      <c r="F994" s="107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6"/>
      <c r="S994" s="106"/>
      <c r="T994" s="106"/>
      <c r="U994" s="106"/>
      <c r="V994" s="106"/>
      <c r="W994" s="106"/>
      <c r="X994" s="106"/>
      <c r="Y994" s="106"/>
      <c r="Z994" s="106"/>
      <c r="AA994" s="106"/>
      <c r="AB994" s="106"/>
    </row>
    <row r="995" ht="15.75" customHeight="1">
      <c r="A995" s="109"/>
      <c r="B995" s="104"/>
      <c r="C995" s="104"/>
      <c r="D995" s="105"/>
      <c r="E995" s="135"/>
      <c r="F995" s="107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6"/>
      <c r="S995" s="106"/>
      <c r="T995" s="106"/>
      <c r="U995" s="106"/>
      <c r="V995" s="106"/>
      <c r="W995" s="106"/>
      <c r="X995" s="106"/>
      <c r="Y995" s="106"/>
      <c r="Z995" s="106"/>
      <c r="AA995" s="106"/>
      <c r="AB995" s="106"/>
    </row>
    <row r="996" ht="15.75" customHeight="1">
      <c r="A996" s="109"/>
      <c r="B996" s="104"/>
      <c r="C996" s="104"/>
      <c r="D996" s="105"/>
      <c r="E996" s="135"/>
      <c r="F996" s="107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6"/>
      <c r="S996" s="106"/>
      <c r="T996" s="106"/>
      <c r="U996" s="106"/>
      <c r="V996" s="106"/>
      <c r="W996" s="106"/>
      <c r="X996" s="106"/>
      <c r="Y996" s="106"/>
      <c r="Z996" s="106"/>
      <c r="AA996" s="106"/>
      <c r="AB996" s="106"/>
    </row>
    <row r="997" ht="15.75" customHeight="1">
      <c r="A997" s="109"/>
      <c r="B997" s="104"/>
      <c r="C997" s="104"/>
      <c r="D997" s="105"/>
      <c r="E997" s="135"/>
      <c r="F997" s="107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6"/>
      <c r="S997" s="106"/>
      <c r="T997" s="106"/>
      <c r="U997" s="106"/>
      <c r="V997" s="106"/>
      <c r="W997" s="106"/>
      <c r="X997" s="106"/>
      <c r="Y997" s="106"/>
      <c r="Z997" s="106"/>
      <c r="AA997" s="106"/>
      <c r="AB997" s="106"/>
    </row>
    <row r="998" ht="15.75" customHeight="1">
      <c r="A998" s="109"/>
      <c r="B998" s="104"/>
      <c r="C998" s="104"/>
      <c r="D998" s="105"/>
      <c r="E998" s="135"/>
      <c r="F998" s="107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6"/>
      <c r="S998" s="106"/>
      <c r="T998" s="106"/>
      <c r="U998" s="106"/>
      <c r="V998" s="106"/>
      <c r="W998" s="106"/>
      <c r="X998" s="106"/>
      <c r="Y998" s="106"/>
      <c r="Z998" s="106"/>
      <c r="AA998" s="106"/>
      <c r="AB998" s="106"/>
    </row>
    <row r="999" ht="15.75" customHeight="1">
      <c r="A999" s="109"/>
      <c r="B999" s="104"/>
      <c r="C999" s="104"/>
      <c r="D999" s="105"/>
      <c r="E999" s="135"/>
      <c r="F999" s="107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6"/>
      <c r="S999" s="106"/>
      <c r="T999" s="106"/>
      <c r="U999" s="106"/>
      <c r="V999" s="106"/>
      <c r="W999" s="106"/>
      <c r="X999" s="106"/>
      <c r="Y999" s="106"/>
      <c r="Z999" s="106"/>
      <c r="AA999" s="106"/>
      <c r="AB999" s="106"/>
    </row>
    <row r="1000" ht="15.75" customHeight="1">
      <c r="A1000" s="109"/>
      <c r="B1000" s="104"/>
      <c r="C1000" s="104"/>
      <c r="D1000" s="105"/>
      <c r="E1000" s="135"/>
      <c r="F1000" s="107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6"/>
      <c r="S1000" s="106"/>
      <c r="T1000" s="106"/>
      <c r="U1000" s="106"/>
      <c r="V1000" s="106"/>
      <c r="W1000" s="106"/>
      <c r="X1000" s="106"/>
      <c r="Y1000" s="106"/>
      <c r="Z1000" s="106"/>
      <c r="AA1000" s="106"/>
      <c r="AB1000" s="106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1.22" defaultRowHeight="15.0"/>
  <cols>
    <col customWidth="1" min="1" max="1" width="22.78"/>
    <col customWidth="1" min="2" max="2" width="16.44"/>
    <col customWidth="1" min="3" max="3" width="13.44"/>
    <col customWidth="1" min="4" max="4" width="14.11"/>
    <col customWidth="1" min="5" max="7" width="16.78"/>
    <col customWidth="1" min="8" max="8" width="17.33"/>
    <col customWidth="1" min="9" max="11" width="16.78"/>
    <col customWidth="1" min="12" max="12" width="20.0"/>
    <col customWidth="1" min="13" max="16" width="16.78"/>
    <col customWidth="1" min="17" max="17" width="26.56"/>
    <col customWidth="1" min="18" max="18" width="98.89"/>
  </cols>
  <sheetData>
    <row r="1" ht="15.75" customHeight="1">
      <c r="A1" s="25" t="s">
        <v>28</v>
      </c>
      <c r="B1" s="26"/>
      <c r="C1" s="26"/>
      <c r="D1" s="27"/>
      <c r="E1" s="28"/>
      <c r="F1" s="29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28"/>
    </row>
    <row r="2" ht="15.75" customHeight="1">
      <c r="A2" s="31" t="s">
        <v>29</v>
      </c>
      <c r="B2" s="26"/>
      <c r="C2" s="26"/>
      <c r="D2" s="27"/>
      <c r="E2" s="28"/>
      <c r="F2" s="29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28"/>
    </row>
    <row r="3" ht="15.75" customHeight="1">
      <c r="A3" s="32" t="s">
        <v>30</v>
      </c>
      <c r="B3" s="26"/>
      <c r="C3" s="26"/>
      <c r="D3" s="27"/>
      <c r="E3" s="28"/>
      <c r="F3" s="29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28"/>
    </row>
    <row r="4" ht="21.75" customHeight="1">
      <c r="A4" s="33" t="s">
        <v>31</v>
      </c>
      <c r="B4" s="34" t="s">
        <v>84</v>
      </c>
      <c r="C4" s="26"/>
      <c r="D4" s="27"/>
      <c r="E4" s="28"/>
      <c r="F4" s="29"/>
      <c r="G4" s="30"/>
      <c r="H4" s="30"/>
      <c r="I4" s="35"/>
      <c r="J4" s="30"/>
      <c r="K4" s="30"/>
      <c r="L4" s="30"/>
      <c r="M4" s="30"/>
      <c r="N4" s="30"/>
      <c r="O4" s="30"/>
      <c r="P4" s="30"/>
      <c r="Q4" s="30"/>
      <c r="R4" s="28"/>
    </row>
    <row r="5" ht="24.0" customHeight="1">
      <c r="A5" s="36"/>
      <c r="B5" s="37" t="s">
        <v>32</v>
      </c>
      <c r="C5" s="113">
        <v>16.0</v>
      </c>
      <c r="D5" s="27"/>
      <c r="E5" s="28"/>
      <c r="F5" s="29"/>
      <c r="G5" s="30"/>
      <c r="H5" s="39"/>
      <c r="I5" s="35" t="s">
        <v>33</v>
      </c>
      <c r="J5" s="30"/>
      <c r="K5" s="30"/>
      <c r="L5" s="30"/>
      <c r="M5" s="30"/>
      <c r="N5" s="30"/>
      <c r="O5" s="30"/>
      <c r="P5" s="30"/>
      <c r="Q5" s="30"/>
      <c r="R5" s="39"/>
    </row>
    <row r="6" ht="15.75" customHeight="1">
      <c r="A6" s="40"/>
      <c r="B6" s="26"/>
      <c r="C6" s="26"/>
      <c r="D6" s="27"/>
      <c r="E6" s="28"/>
      <c r="F6" s="29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28"/>
    </row>
    <row r="7" ht="15.75" customHeight="1">
      <c r="A7" s="40"/>
      <c r="B7" s="26"/>
      <c r="C7" s="26"/>
      <c r="D7" s="27"/>
      <c r="E7" s="28"/>
      <c r="F7" s="29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28"/>
    </row>
    <row r="8" ht="15.75" customHeight="1">
      <c r="A8" s="40"/>
      <c r="B8" s="26"/>
      <c r="C8" s="26"/>
      <c r="D8" s="27"/>
      <c r="E8" s="28"/>
      <c r="F8" s="29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28"/>
    </row>
    <row r="9" ht="15.75" customHeight="1">
      <c r="A9" s="40"/>
      <c r="B9" s="26"/>
      <c r="C9" s="26"/>
      <c r="D9" s="27"/>
      <c r="E9" s="28"/>
      <c r="F9" s="29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28"/>
    </row>
    <row r="10" ht="78.75" customHeight="1">
      <c r="A10" s="41" t="s">
        <v>34</v>
      </c>
      <c r="B10" s="42" t="s">
        <v>35</v>
      </c>
      <c r="C10" s="42" t="s">
        <v>36</v>
      </c>
      <c r="D10" s="42" t="s">
        <v>37</v>
      </c>
      <c r="E10" s="43" t="s">
        <v>38</v>
      </c>
      <c r="F10" s="44" t="s">
        <v>39</v>
      </c>
      <c r="G10" s="45" t="s">
        <v>40</v>
      </c>
      <c r="H10" s="45" t="s">
        <v>41</v>
      </c>
      <c r="I10" s="45" t="s">
        <v>42</v>
      </c>
      <c r="J10" s="45" t="s">
        <v>43</v>
      </c>
      <c r="K10" s="45" t="s">
        <v>44</v>
      </c>
      <c r="L10" s="45" t="s">
        <v>45</v>
      </c>
      <c r="M10" s="45" t="s">
        <v>46</v>
      </c>
      <c r="N10" s="45" t="s">
        <v>43</v>
      </c>
      <c r="O10" s="45" t="s">
        <v>44</v>
      </c>
      <c r="P10" s="46" t="s">
        <v>47</v>
      </c>
      <c r="Q10" s="46" t="s">
        <v>64</v>
      </c>
      <c r="R10" s="44" t="s">
        <v>65</v>
      </c>
    </row>
    <row r="11" ht="15.75" customHeight="1">
      <c r="A11" s="47">
        <v>45662.0</v>
      </c>
      <c r="B11" s="48">
        <v>16.0</v>
      </c>
      <c r="C11" s="49">
        <f t="shared" ref="C11:C74" si="1">IF(B11=0,"",B11/C$5)</f>
        <v>1</v>
      </c>
      <c r="D11" s="50">
        <v>12875.0</v>
      </c>
      <c r="E11" s="51">
        <f t="shared" ref="E11:E14" si="2">IFERROR(D11/B11,"")</f>
        <v>804.6875</v>
      </c>
      <c r="F11" s="50">
        <v>11580.0</v>
      </c>
      <c r="G11" s="52">
        <f t="shared" ref="G11:G74" si="3">IFERROR(F11/D11,"")</f>
        <v>0.8994174757</v>
      </c>
      <c r="H11" s="53"/>
      <c r="I11" s="53"/>
      <c r="J11" s="54"/>
      <c r="K11" s="55"/>
      <c r="L11" s="53"/>
      <c r="M11" s="53"/>
      <c r="N11" s="55"/>
      <c r="O11" s="55"/>
      <c r="P11" s="115"/>
      <c r="Q11" s="115"/>
      <c r="R11" s="59" t="s">
        <v>85</v>
      </c>
    </row>
    <row r="12" ht="15.75" customHeight="1">
      <c r="A12" s="57">
        <f t="shared" ref="A12:A14" si="4">A11+7</f>
        <v>45669</v>
      </c>
      <c r="B12" s="48">
        <v>16.0</v>
      </c>
      <c r="C12" s="49">
        <f t="shared" si="1"/>
        <v>1</v>
      </c>
      <c r="D12" s="50">
        <v>12875.0</v>
      </c>
      <c r="E12" s="51">
        <f t="shared" si="2"/>
        <v>804.6875</v>
      </c>
      <c r="F12" s="50">
        <v>12025.0</v>
      </c>
      <c r="G12" s="52">
        <f t="shared" si="3"/>
        <v>0.9339805825</v>
      </c>
      <c r="H12" s="58"/>
      <c r="I12" s="58"/>
      <c r="J12" s="54"/>
      <c r="K12" s="55"/>
      <c r="L12" s="58"/>
      <c r="M12" s="58"/>
      <c r="N12" s="55"/>
      <c r="O12" s="55"/>
      <c r="P12" s="74"/>
      <c r="Q12" s="74"/>
      <c r="R12" s="59"/>
    </row>
    <row r="13" ht="15.75" customHeight="1">
      <c r="A13" s="57">
        <f t="shared" si="4"/>
        <v>45676</v>
      </c>
      <c r="B13" s="48">
        <v>16.0</v>
      </c>
      <c r="C13" s="49">
        <f t="shared" si="1"/>
        <v>1</v>
      </c>
      <c r="D13" s="50">
        <v>12875.0</v>
      </c>
      <c r="E13" s="51">
        <f t="shared" si="2"/>
        <v>804.6875</v>
      </c>
      <c r="F13" s="50">
        <v>12025.0</v>
      </c>
      <c r="G13" s="52">
        <f t="shared" si="3"/>
        <v>0.9339805825</v>
      </c>
      <c r="H13" s="58"/>
      <c r="I13" s="58"/>
      <c r="J13" s="54"/>
      <c r="K13" s="55"/>
      <c r="L13" s="58"/>
      <c r="M13" s="58"/>
      <c r="N13" s="55"/>
      <c r="O13" s="55"/>
      <c r="P13" s="74"/>
      <c r="Q13" s="74"/>
      <c r="R13" s="59"/>
    </row>
    <row r="14" ht="15.75" customHeight="1">
      <c r="A14" s="57">
        <f t="shared" si="4"/>
        <v>45683</v>
      </c>
      <c r="B14" s="48">
        <v>16.0</v>
      </c>
      <c r="C14" s="49">
        <f t="shared" si="1"/>
        <v>1</v>
      </c>
      <c r="D14" s="50">
        <v>12875.0</v>
      </c>
      <c r="E14" s="51">
        <f t="shared" si="2"/>
        <v>804.6875</v>
      </c>
      <c r="F14" s="50">
        <v>12025.0</v>
      </c>
      <c r="G14" s="52">
        <f t="shared" si="3"/>
        <v>0.9339805825</v>
      </c>
      <c r="H14" s="60"/>
      <c r="I14" s="60"/>
      <c r="J14" s="54"/>
      <c r="K14" s="55"/>
      <c r="L14" s="58"/>
      <c r="M14" s="58"/>
      <c r="N14" s="55"/>
      <c r="O14" s="55"/>
      <c r="P14" s="74"/>
      <c r="Q14" s="74"/>
      <c r="R14" s="59"/>
    </row>
    <row r="15" ht="15.75" customHeight="1">
      <c r="A15" s="61" t="s">
        <v>51</v>
      </c>
      <c r="B15" s="120">
        <v>15.0</v>
      </c>
      <c r="C15" s="63">
        <f t="shared" si="1"/>
        <v>0.9375</v>
      </c>
      <c r="D15" s="64">
        <v>12250.0</v>
      </c>
      <c r="E15" s="131">
        <f>D15/B15</f>
        <v>816.6666667</v>
      </c>
      <c r="F15" s="64">
        <v>12250.0</v>
      </c>
      <c r="G15" s="66">
        <f t="shared" si="3"/>
        <v>1</v>
      </c>
      <c r="H15" s="67">
        <v>12025.0</v>
      </c>
      <c r="I15" s="67">
        <v>12250.0</v>
      </c>
      <c r="J15" s="68">
        <f>IF(H15=0,"",H15-I15)</f>
        <v>-225</v>
      </c>
      <c r="K15" s="69">
        <f>IFERROR((H15-I15)/H15,"")</f>
        <v>-0.01871101871</v>
      </c>
      <c r="L15" s="67">
        <v>12655.0</v>
      </c>
      <c r="M15" s="67">
        <v>9300.0</v>
      </c>
      <c r="N15" s="68">
        <f>IF(L15=0,"",L15-M15)</f>
        <v>3355</v>
      </c>
      <c r="O15" s="69">
        <f>IFERROR((L15-M15)/L15,"")</f>
        <v>0.2651126037</v>
      </c>
      <c r="P15" s="70">
        <f t="shared" ref="P15:Q15" si="5">H15-L15</f>
        <v>-630</v>
      </c>
      <c r="Q15" s="67">
        <f t="shared" si="5"/>
        <v>2950</v>
      </c>
      <c r="R15" s="71" t="s">
        <v>86</v>
      </c>
    </row>
    <row r="16" ht="15.75" customHeight="1">
      <c r="A16" s="57">
        <f>A14+7</f>
        <v>45690</v>
      </c>
      <c r="B16" s="48">
        <v>16.0</v>
      </c>
      <c r="C16" s="49">
        <f t="shared" si="1"/>
        <v>1</v>
      </c>
      <c r="D16" s="50">
        <v>12875.0</v>
      </c>
      <c r="E16" s="51">
        <f t="shared" ref="E16:E19" si="6">IFERROR(D16/B16,"")</f>
        <v>804.6875</v>
      </c>
      <c r="F16" s="50">
        <v>4198.0</v>
      </c>
      <c r="G16" s="72">
        <f t="shared" si="3"/>
        <v>0.3260582524</v>
      </c>
      <c r="H16" s="73"/>
      <c r="I16" s="74"/>
      <c r="J16" s="75"/>
      <c r="K16" s="76"/>
      <c r="L16" s="74"/>
      <c r="M16" s="74"/>
      <c r="N16" s="77"/>
      <c r="O16" s="55"/>
      <c r="P16" s="74"/>
      <c r="Q16" s="74"/>
      <c r="R16" s="59"/>
    </row>
    <row r="17" ht="15.75" customHeight="1">
      <c r="A17" s="57">
        <f t="shared" ref="A17:A19" si="7">A16+7</f>
        <v>45697</v>
      </c>
      <c r="B17" s="48">
        <v>16.0</v>
      </c>
      <c r="C17" s="49">
        <f t="shared" si="1"/>
        <v>1</v>
      </c>
      <c r="D17" s="50">
        <v>12875.0</v>
      </c>
      <c r="E17" s="51">
        <f t="shared" si="6"/>
        <v>804.6875</v>
      </c>
      <c r="F17" s="50">
        <v>11175.0</v>
      </c>
      <c r="G17" s="52">
        <f t="shared" si="3"/>
        <v>0.867961165</v>
      </c>
      <c r="H17" s="78"/>
      <c r="I17" s="78"/>
      <c r="J17" s="54"/>
      <c r="K17" s="55"/>
      <c r="L17" s="78"/>
      <c r="M17" s="78"/>
      <c r="N17" s="55"/>
      <c r="O17" s="55"/>
      <c r="P17" s="74"/>
      <c r="Q17" s="74"/>
      <c r="R17" s="59"/>
    </row>
    <row r="18" ht="15.75" customHeight="1">
      <c r="A18" s="57">
        <f t="shared" si="7"/>
        <v>45704</v>
      </c>
      <c r="B18" s="48">
        <v>16.0</v>
      </c>
      <c r="C18" s="49">
        <f t="shared" si="1"/>
        <v>1</v>
      </c>
      <c r="D18" s="50">
        <v>12875.0</v>
      </c>
      <c r="E18" s="51">
        <f t="shared" si="6"/>
        <v>804.6875</v>
      </c>
      <c r="F18" s="50">
        <v>12025.0</v>
      </c>
      <c r="G18" s="52">
        <f t="shared" si="3"/>
        <v>0.9339805825</v>
      </c>
      <c r="H18" s="58"/>
      <c r="I18" s="58"/>
      <c r="J18" s="54"/>
      <c r="K18" s="55"/>
      <c r="L18" s="58"/>
      <c r="M18" s="58"/>
      <c r="N18" s="55"/>
      <c r="O18" s="55"/>
      <c r="P18" s="74"/>
      <c r="Q18" s="74"/>
      <c r="R18" s="59"/>
    </row>
    <row r="19" ht="15.75" customHeight="1">
      <c r="A19" s="57">
        <f t="shared" si="7"/>
        <v>45711</v>
      </c>
      <c r="B19" s="48">
        <v>16.0</v>
      </c>
      <c r="C19" s="49">
        <f t="shared" si="1"/>
        <v>1</v>
      </c>
      <c r="D19" s="50">
        <v>12875.0</v>
      </c>
      <c r="E19" s="51">
        <f t="shared" si="6"/>
        <v>804.6875</v>
      </c>
      <c r="F19" s="50">
        <v>12025.0</v>
      </c>
      <c r="G19" s="52">
        <f t="shared" si="3"/>
        <v>0.9339805825</v>
      </c>
      <c r="H19" s="60"/>
      <c r="I19" s="60"/>
      <c r="J19" s="54"/>
      <c r="K19" s="55"/>
      <c r="L19" s="58"/>
      <c r="M19" s="58"/>
      <c r="N19" s="55"/>
      <c r="O19" s="55"/>
      <c r="P19" s="74"/>
      <c r="Q19" s="74"/>
      <c r="R19" s="59"/>
    </row>
    <row r="20" ht="15.75" customHeight="1">
      <c r="A20" s="61" t="s">
        <v>51</v>
      </c>
      <c r="B20" s="120">
        <v>15.0</v>
      </c>
      <c r="C20" s="63">
        <f t="shared" si="1"/>
        <v>0.9375</v>
      </c>
      <c r="D20" s="64">
        <v>12250.0</v>
      </c>
      <c r="E20" s="131">
        <f>D20/B20</f>
        <v>816.6666667</v>
      </c>
      <c r="F20" s="64">
        <v>12250.0</v>
      </c>
      <c r="G20" s="66">
        <f t="shared" si="3"/>
        <v>1</v>
      </c>
      <c r="H20" s="67">
        <v>13814.0</v>
      </c>
      <c r="I20" s="67">
        <v>12250.0</v>
      </c>
      <c r="J20" s="68">
        <f>IF(H20=0,"",H20-I20)</f>
        <v>1564</v>
      </c>
      <c r="K20" s="69">
        <f>IFERROR((H20-I20)/H20,"")</f>
        <v>0.113218474</v>
      </c>
      <c r="L20" s="67">
        <v>12663.0</v>
      </c>
      <c r="M20" s="67">
        <v>9300.0</v>
      </c>
      <c r="N20" s="68">
        <f>IF(L20=0,"",L20-M20)</f>
        <v>3363</v>
      </c>
      <c r="O20" s="69">
        <f>IFERROR((L20-M20)/L20,"")</f>
        <v>0.2655768775</v>
      </c>
      <c r="P20" s="70">
        <f t="shared" ref="P20:Q20" si="8">H20-L20</f>
        <v>1151</v>
      </c>
      <c r="Q20" s="67">
        <f t="shared" si="8"/>
        <v>2950</v>
      </c>
      <c r="R20" s="71" t="s">
        <v>87</v>
      </c>
    </row>
    <row r="21" ht="15.75" customHeight="1">
      <c r="A21" s="57">
        <f>A19+7</f>
        <v>45718</v>
      </c>
      <c r="B21" s="48">
        <v>16.0</v>
      </c>
      <c r="C21" s="49">
        <f t="shared" si="1"/>
        <v>1</v>
      </c>
      <c r="D21" s="50">
        <v>12875.0</v>
      </c>
      <c r="E21" s="51">
        <f t="shared" ref="E21:E25" si="9">IFERROR(D21/B21,"")</f>
        <v>804.6875</v>
      </c>
      <c r="F21" s="50">
        <v>4344.0</v>
      </c>
      <c r="G21" s="79">
        <f t="shared" si="3"/>
        <v>0.3373980583</v>
      </c>
      <c r="H21" s="80"/>
      <c r="I21" s="81"/>
      <c r="J21" s="54"/>
      <c r="K21" s="76"/>
      <c r="L21" s="73"/>
      <c r="M21" s="74"/>
      <c r="N21" s="77"/>
      <c r="O21" s="55"/>
      <c r="P21" s="74"/>
      <c r="Q21" s="74"/>
      <c r="R21" s="59"/>
    </row>
    <row r="22" ht="15.75" customHeight="1">
      <c r="A22" s="57">
        <f t="shared" ref="A22:A25" si="10">A21+7</f>
        <v>45725</v>
      </c>
      <c r="B22" s="48">
        <v>16.0</v>
      </c>
      <c r="C22" s="49">
        <f t="shared" si="1"/>
        <v>1</v>
      </c>
      <c r="D22" s="50">
        <v>12875.0</v>
      </c>
      <c r="E22" s="51">
        <f t="shared" si="9"/>
        <v>804.6875</v>
      </c>
      <c r="F22" s="50">
        <v>11600.0</v>
      </c>
      <c r="G22" s="52">
        <f t="shared" si="3"/>
        <v>0.9009708738</v>
      </c>
      <c r="H22" s="78"/>
      <c r="I22" s="78"/>
      <c r="J22" s="54"/>
      <c r="K22" s="55"/>
      <c r="L22" s="78"/>
      <c r="M22" s="78"/>
      <c r="N22" s="55"/>
      <c r="O22" s="55"/>
      <c r="P22" s="74"/>
      <c r="Q22" s="74"/>
      <c r="R22" s="59"/>
    </row>
    <row r="23" ht="15.75" customHeight="1">
      <c r="A23" s="57">
        <f t="shared" si="10"/>
        <v>45732</v>
      </c>
      <c r="B23" s="48">
        <v>15.0</v>
      </c>
      <c r="C23" s="49">
        <f t="shared" si="1"/>
        <v>0.9375</v>
      </c>
      <c r="D23" s="50">
        <v>12025.0</v>
      </c>
      <c r="E23" s="51">
        <f t="shared" si="9"/>
        <v>801.6666667</v>
      </c>
      <c r="F23" s="50">
        <v>12025.0</v>
      </c>
      <c r="G23" s="52">
        <f t="shared" si="3"/>
        <v>1</v>
      </c>
      <c r="H23" s="58"/>
      <c r="I23" s="58"/>
      <c r="J23" s="54"/>
      <c r="K23" s="55"/>
      <c r="L23" s="58"/>
      <c r="M23" s="58"/>
      <c r="N23" s="55"/>
      <c r="O23" s="55"/>
      <c r="P23" s="74"/>
      <c r="Q23" s="74"/>
      <c r="R23" s="59"/>
    </row>
    <row r="24" ht="15.75" customHeight="1">
      <c r="A24" s="57">
        <f t="shared" si="10"/>
        <v>45739</v>
      </c>
      <c r="B24" s="48">
        <v>15.0</v>
      </c>
      <c r="C24" s="49">
        <f t="shared" si="1"/>
        <v>0.9375</v>
      </c>
      <c r="D24" s="50">
        <v>12025.0</v>
      </c>
      <c r="E24" s="51">
        <f t="shared" si="9"/>
        <v>801.6666667</v>
      </c>
      <c r="F24" s="50">
        <v>12840.0</v>
      </c>
      <c r="G24" s="52">
        <f t="shared" si="3"/>
        <v>1.067775468</v>
      </c>
      <c r="H24" s="58"/>
      <c r="I24" s="58"/>
      <c r="J24" s="54"/>
      <c r="K24" s="55"/>
      <c r="L24" s="58"/>
      <c r="M24" s="58"/>
      <c r="N24" s="55"/>
      <c r="O24" s="55"/>
      <c r="P24" s="74"/>
      <c r="Q24" s="74"/>
      <c r="R24" s="59"/>
    </row>
    <row r="25" ht="15.75" customHeight="1">
      <c r="A25" s="57">
        <f t="shared" si="10"/>
        <v>45746</v>
      </c>
      <c r="B25" s="48">
        <v>15.0</v>
      </c>
      <c r="C25" s="49">
        <f t="shared" si="1"/>
        <v>0.9375</v>
      </c>
      <c r="D25" s="50">
        <v>12025.0</v>
      </c>
      <c r="E25" s="51">
        <f t="shared" si="9"/>
        <v>801.6666667</v>
      </c>
      <c r="F25" s="50">
        <v>12840.0</v>
      </c>
      <c r="G25" s="52">
        <f t="shared" si="3"/>
        <v>1.067775468</v>
      </c>
      <c r="H25" s="82"/>
      <c r="I25" s="82"/>
      <c r="J25" s="54"/>
      <c r="K25" s="55"/>
      <c r="L25" s="82"/>
      <c r="M25" s="82"/>
      <c r="N25" s="55"/>
      <c r="O25" s="55"/>
      <c r="P25" s="118"/>
      <c r="Q25" s="118"/>
      <c r="R25" s="59"/>
    </row>
    <row r="26" ht="15.75" customHeight="1">
      <c r="A26" s="61" t="s">
        <v>51</v>
      </c>
      <c r="B26" s="120">
        <v>15.0</v>
      </c>
      <c r="C26" s="63">
        <f t="shared" si="1"/>
        <v>0.9375</v>
      </c>
      <c r="D26" s="64">
        <v>12250.0</v>
      </c>
      <c r="E26" s="131">
        <f>D26/B26</f>
        <v>816.6666667</v>
      </c>
      <c r="F26" s="64">
        <v>12250.0</v>
      </c>
      <c r="G26" s="66">
        <f t="shared" si="3"/>
        <v>1</v>
      </c>
      <c r="H26" s="83">
        <v>12840.0</v>
      </c>
      <c r="I26" s="67">
        <v>12250.0</v>
      </c>
      <c r="J26" s="68">
        <f>IF(H26=0,"",H26-I26)</f>
        <v>590</v>
      </c>
      <c r="K26" s="69">
        <f>IFERROR((H26-I26)/H26,"")</f>
        <v>0.04595015576</v>
      </c>
      <c r="L26" s="83">
        <v>14039.0</v>
      </c>
      <c r="M26" s="67">
        <v>9300.0</v>
      </c>
      <c r="N26" s="68">
        <f>IF(L26=0,"",L26-M26)</f>
        <v>4739</v>
      </c>
      <c r="O26" s="69">
        <f>IFERROR((L26-M26)/L26,"")</f>
        <v>0.3375596552</v>
      </c>
      <c r="P26" s="119">
        <f t="shared" ref="P26:Q26" si="11">H26-L26</f>
        <v>-1199</v>
      </c>
      <c r="Q26" s="67">
        <f t="shared" si="11"/>
        <v>2950</v>
      </c>
      <c r="R26" s="71" t="s">
        <v>88</v>
      </c>
    </row>
    <row r="27" ht="15.75" customHeight="1">
      <c r="A27" s="57">
        <f>A25+7</f>
        <v>45753</v>
      </c>
      <c r="B27" s="48">
        <v>15.0</v>
      </c>
      <c r="C27" s="49">
        <f t="shared" si="1"/>
        <v>0.9375</v>
      </c>
      <c r="D27" s="50">
        <v>12025.0</v>
      </c>
      <c r="E27" s="51">
        <f t="shared" ref="E27:E30" si="12">IFERROR(D27/B27,"")</f>
        <v>801.6666667</v>
      </c>
      <c r="F27" s="50">
        <v>11600.0</v>
      </c>
      <c r="G27" s="52">
        <f t="shared" si="3"/>
        <v>0.9646569647</v>
      </c>
      <c r="H27" s="53"/>
      <c r="I27" s="53"/>
      <c r="J27" s="54"/>
      <c r="K27" s="55"/>
      <c r="L27" s="53"/>
      <c r="M27" s="53"/>
      <c r="N27" s="55"/>
      <c r="O27" s="55"/>
      <c r="P27" s="115"/>
      <c r="Q27" s="115"/>
      <c r="R27" s="59"/>
    </row>
    <row r="28" ht="15.75" customHeight="1">
      <c r="A28" s="57">
        <f t="shared" ref="A28:A30" si="13">A27+7</f>
        <v>45760</v>
      </c>
      <c r="B28" s="48">
        <v>16.0</v>
      </c>
      <c r="C28" s="49">
        <f t="shared" si="1"/>
        <v>1</v>
      </c>
      <c r="D28" s="50">
        <v>12875.0</v>
      </c>
      <c r="E28" s="51">
        <f t="shared" si="12"/>
        <v>804.6875</v>
      </c>
      <c r="F28" s="50">
        <v>12025.0</v>
      </c>
      <c r="G28" s="52">
        <f t="shared" si="3"/>
        <v>0.9339805825</v>
      </c>
      <c r="H28" s="58"/>
      <c r="I28" s="58"/>
      <c r="J28" s="54"/>
      <c r="K28" s="55"/>
      <c r="L28" s="58"/>
      <c r="M28" s="58"/>
      <c r="N28" s="55"/>
      <c r="O28" s="55"/>
      <c r="P28" s="74"/>
      <c r="Q28" s="74"/>
      <c r="R28" s="59"/>
    </row>
    <row r="29" ht="15.75" customHeight="1">
      <c r="A29" s="57">
        <f t="shared" si="13"/>
        <v>45767</v>
      </c>
      <c r="B29" s="48">
        <v>16.0</v>
      </c>
      <c r="C29" s="49">
        <f t="shared" si="1"/>
        <v>1</v>
      </c>
      <c r="D29" s="50">
        <v>12875.0</v>
      </c>
      <c r="E29" s="51">
        <f t="shared" si="12"/>
        <v>804.6875</v>
      </c>
      <c r="F29" s="50">
        <v>12662.0</v>
      </c>
      <c r="G29" s="52">
        <f t="shared" si="3"/>
        <v>0.9834563107</v>
      </c>
      <c r="H29" s="58"/>
      <c r="I29" s="58"/>
      <c r="J29" s="54"/>
      <c r="K29" s="55"/>
      <c r="L29" s="58"/>
      <c r="M29" s="58"/>
      <c r="N29" s="55"/>
      <c r="O29" s="55"/>
      <c r="P29" s="74"/>
      <c r="Q29" s="74"/>
      <c r="R29" s="59"/>
    </row>
    <row r="30" ht="15.75" customHeight="1">
      <c r="A30" s="85">
        <f t="shared" si="13"/>
        <v>45774</v>
      </c>
      <c r="B30" s="48">
        <v>16.0</v>
      </c>
      <c r="C30" s="49">
        <f t="shared" si="1"/>
        <v>1</v>
      </c>
      <c r="D30" s="50">
        <v>12875.0</v>
      </c>
      <c r="E30" s="51">
        <f t="shared" si="12"/>
        <v>804.6875</v>
      </c>
      <c r="F30" s="50">
        <v>12662.0</v>
      </c>
      <c r="G30" s="52">
        <f t="shared" si="3"/>
        <v>0.9834563107</v>
      </c>
      <c r="H30" s="82"/>
      <c r="I30" s="82"/>
      <c r="J30" s="54"/>
      <c r="K30" s="55"/>
      <c r="L30" s="82"/>
      <c r="M30" s="82"/>
      <c r="N30" s="55"/>
      <c r="O30" s="55"/>
      <c r="P30" s="118"/>
      <c r="Q30" s="118"/>
      <c r="R30" s="59"/>
    </row>
    <row r="31" ht="15.75" customHeight="1">
      <c r="A31" s="61" t="s">
        <v>51</v>
      </c>
      <c r="B31" s="120">
        <v>15.0</v>
      </c>
      <c r="C31" s="63">
        <f t="shared" si="1"/>
        <v>0.9375</v>
      </c>
      <c r="D31" s="64">
        <v>12250.0</v>
      </c>
      <c r="E31" s="131">
        <f>D31/B31</f>
        <v>816.6666667</v>
      </c>
      <c r="F31" s="64">
        <v>12250.0</v>
      </c>
      <c r="G31" s="66">
        <f t="shared" si="3"/>
        <v>1</v>
      </c>
      <c r="H31" s="83">
        <v>14005.0</v>
      </c>
      <c r="I31" s="67">
        <v>12250.0</v>
      </c>
      <c r="J31" s="68">
        <f>IF(H31=0,"",H31-I31)</f>
        <v>1755</v>
      </c>
      <c r="K31" s="69">
        <f>IFERROR((H31-I31)/H31,"")</f>
        <v>0.1253123884</v>
      </c>
      <c r="L31" s="83">
        <v>9954.0</v>
      </c>
      <c r="M31" s="67">
        <v>9300.0</v>
      </c>
      <c r="N31" s="68">
        <f>IF(L31=0,"",L31-M31)</f>
        <v>654</v>
      </c>
      <c r="O31" s="69">
        <f>IFERROR((L31-M31)/L31,"")</f>
        <v>0.06570223026</v>
      </c>
      <c r="P31" s="119">
        <f t="shared" ref="P31:Q31" si="14">H31-L31</f>
        <v>4051</v>
      </c>
      <c r="Q31" s="67">
        <f t="shared" si="14"/>
        <v>2950</v>
      </c>
      <c r="R31" s="87"/>
    </row>
    <row r="32" ht="15.75" customHeight="1">
      <c r="A32" s="57">
        <f>A30+7</f>
        <v>45781</v>
      </c>
      <c r="B32" s="48">
        <v>16.0</v>
      </c>
      <c r="C32" s="49">
        <f t="shared" si="1"/>
        <v>1</v>
      </c>
      <c r="D32" s="50">
        <v>12875.0</v>
      </c>
      <c r="E32" s="51">
        <f t="shared" ref="E32:E35" si="15">IFERROR(D32/B32,"")</f>
        <v>804.6875</v>
      </c>
      <c r="F32" s="50">
        <v>12005.0</v>
      </c>
      <c r="G32" s="52">
        <f t="shared" si="3"/>
        <v>0.9324271845</v>
      </c>
      <c r="H32" s="53"/>
      <c r="I32" s="53"/>
      <c r="J32" s="54"/>
      <c r="K32" s="55"/>
      <c r="L32" s="53"/>
      <c r="M32" s="53"/>
      <c r="N32" s="55"/>
      <c r="O32" s="55"/>
      <c r="P32" s="115"/>
      <c r="Q32" s="115"/>
      <c r="R32" s="59"/>
    </row>
    <row r="33" ht="15.75" customHeight="1">
      <c r="A33" s="57">
        <f t="shared" ref="A33:A35" si="16">A32+7</f>
        <v>45788</v>
      </c>
      <c r="B33" s="48">
        <v>16.0</v>
      </c>
      <c r="C33" s="49">
        <f t="shared" si="1"/>
        <v>1</v>
      </c>
      <c r="D33" s="50">
        <v>12875.0</v>
      </c>
      <c r="E33" s="51">
        <f t="shared" si="15"/>
        <v>804.6875</v>
      </c>
      <c r="F33" s="50">
        <v>12855.0</v>
      </c>
      <c r="G33" s="52">
        <f t="shared" si="3"/>
        <v>0.9984466019</v>
      </c>
      <c r="H33" s="58"/>
      <c r="I33" s="58"/>
      <c r="J33" s="54"/>
      <c r="K33" s="55"/>
      <c r="L33" s="58"/>
      <c r="M33" s="58"/>
      <c r="N33" s="55"/>
      <c r="O33" s="55"/>
      <c r="P33" s="74"/>
      <c r="Q33" s="74"/>
      <c r="R33" s="86"/>
    </row>
    <row r="34" ht="15.75" customHeight="1">
      <c r="A34" s="57">
        <f t="shared" si="16"/>
        <v>45795</v>
      </c>
      <c r="B34" s="48">
        <v>16.0</v>
      </c>
      <c r="C34" s="49">
        <f t="shared" si="1"/>
        <v>1</v>
      </c>
      <c r="D34" s="50">
        <v>12875.0</v>
      </c>
      <c r="E34" s="51">
        <f t="shared" si="15"/>
        <v>804.6875</v>
      </c>
      <c r="F34" s="50">
        <v>12855.0</v>
      </c>
      <c r="G34" s="52">
        <f t="shared" si="3"/>
        <v>0.9984466019</v>
      </c>
      <c r="H34" s="58"/>
      <c r="I34" s="58"/>
      <c r="J34" s="54"/>
      <c r="K34" s="55"/>
      <c r="L34" s="58"/>
      <c r="M34" s="58"/>
      <c r="N34" s="55"/>
      <c r="O34" s="55"/>
      <c r="P34" s="74"/>
      <c r="Q34" s="74"/>
      <c r="R34" s="86"/>
    </row>
    <row r="35" ht="15.75" customHeight="1">
      <c r="A35" s="57">
        <f t="shared" si="16"/>
        <v>45802</v>
      </c>
      <c r="B35" s="48">
        <v>16.0</v>
      </c>
      <c r="C35" s="49">
        <f t="shared" si="1"/>
        <v>1</v>
      </c>
      <c r="D35" s="50">
        <v>12845.0</v>
      </c>
      <c r="E35" s="51">
        <f t="shared" si="15"/>
        <v>802.8125</v>
      </c>
      <c r="F35" s="50">
        <v>12855.0</v>
      </c>
      <c r="G35" s="52">
        <f t="shared" si="3"/>
        <v>1.000778513</v>
      </c>
      <c r="H35" s="60"/>
      <c r="I35" s="60"/>
      <c r="J35" s="54"/>
      <c r="K35" s="55"/>
      <c r="L35" s="58"/>
      <c r="M35" s="58"/>
      <c r="N35" s="55"/>
      <c r="O35" s="55"/>
      <c r="P35" s="74"/>
      <c r="Q35" s="74"/>
      <c r="R35" s="86"/>
    </row>
    <row r="36" ht="15.75" customHeight="1">
      <c r="A36" s="61" t="s">
        <v>51</v>
      </c>
      <c r="B36" s="120">
        <v>15.0</v>
      </c>
      <c r="C36" s="63">
        <f t="shared" si="1"/>
        <v>0.9375</v>
      </c>
      <c r="D36" s="64">
        <v>12250.0</v>
      </c>
      <c r="E36" s="131">
        <f>D36/B36</f>
        <v>816.6666667</v>
      </c>
      <c r="F36" s="64">
        <v>12250.0</v>
      </c>
      <c r="G36" s="66">
        <f t="shared" si="3"/>
        <v>1</v>
      </c>
      <c r="H36" s="67">
        <v>13249.0</v>
      </c>
      <c r="I36" s="67">
        <v>12250.0</v>
      </c>
      <c r="J36" s="68">
        <f>IF(H36=0,"",H36-I36)</f>
        <v>999</v>
      </c>
      <c r="K36" s="69">
        <f>IFERROR((H36-I36)/H36,"")</f>
        <v>0.07540191713</v>
      </c>
      <c r="L36" s="67">
        <v>10849.0</v>
      </c>
      <c r="M36" s="67">
        <v>9300.0</v>
      </c>
      <c r="N36" s="68">
        <f>IF(L36=0,"",L36-M36)</f>
        <v>1549</v>
      </c>
      <c r="O36" s="69">
        <f>IFERROR((L36-M36)/L36,"")</f>
        <v>0.1427781362</v>
      </c>
      <c r="P36" s="70">
        <f t="shared" ref="P36:Q36" si="17">H36-L36</f>
        <v>2400</v>
      </c>
      <c r="Q36" s="67">
        <f t="shared" si="17"/>
        <v>2950</v>
      </c>
      <c r="R36" s="71" t="s">
        <v>89</v>
      </c>
    </row>
    <row r="37" ht="15.75" customHeight="1">
      <c r="A37" s="57">
        <f>A35+7</f>
        <v>45809</v>
      </c>
      <c r="B37" s="48">
        <v>16.0</v>
      </c>
      <c r="C37" s="49">
        <f t="shared" si="1"/>
        <v>1</v>
      </c>
      <c r="D37" s="50">
        <v>12900.0</v>
      </c>
      <c r="E37" s="51">
        <f t="shared" ref="E37:E41" si="18">IFERROR(D37/B37,"")</f>
        <v>806.25</v>
      </c>
      <c r="F37" s="50">
        <v>4001.0</v>
      </c>
      <c r="G37" s="72">
        <f t="shared" si="3"/>
        <v>0.3101550388</v>
      </c>
      <c r="H37" s="74"/>
      <c r="I37" s="80"/>
      <c r="J37" s="75"/>
      <c r="K37" s="55"/>
      <c r="L37" s="60"/>
      <c r="M37" s="60"/>
      <c r="N37" s="55"/>
      <c r="O37" s="55"/>
      <c r="P37" s="74"/>
      <c r="Q37" s="74"/>
      <c r="R37" s="86"/>
    </row>
    <row r="38" ht="15.75" customHeight="1">
      <c r="A38" s="57">
        <f t="shared" ref="A38:A41" si="19">A37+7</f>
        <v>45816</v>
      </c>
      <c r="B38" s="48">
        <v>16.0</v>
      </c>
      <c r="C38" s="49">
        <f t="shared" si="1"/>
        <v>1</v>
      </c>
      <c r="D38" s="50">
        <v>12900.0</v>
      </c>
      <c r="E38" s="51">
        <f t="shared" si="18"/>
        <v>806.25</v>
      </c>
      <c r="F38" s="50">
        <v>11343.0</v>
      </c>
      <c r="G38" s="52">
        <f t="shared" si="3"/>
        <v>0.8793023256</v>
      </c>
      <c r="H38" s="78"/>
      <c r="I38" s="78"/>
      <c r="J38" s="54"/>
      <c r="K38" s="76"/>
      <c r="L38" s="74"/>
      <c r="M38" s="74"/>
      <c r="N38" s="77"/>
      <c r="O38" s="55"/>
      <c r="P38" s="74"/>
      <c r="Q38" s="74"/>
      <c r="R38" s="86"/>
    </row>
    <row r="39" ht="15.75" customHeight="1">
      <c r="A39" s="57">
        <f t="shared" si="19"/>
        <v>45823</v>
      </c>
      <c r="B39" s="48">
        <v>16.0</v>
      </c>
      <c r="C39" s="49">
        <f t="shared" si="1"/>
        <v>1</v>
      </c>
      <c r="D39" s="50">
        <v>12900.0</v>
      </c>
      <c r="E39" s="51">
        <f t="shared" si="18"/>
        <v>806.25</v>
      </c>
      <c r="F39" s="50">
        <v>12920.0</v>
      </c>
      <c r="G39" s="52">
        <f t="shared" si="3"/>
        <v>1.001550388</v>
      </c>
      <c r="H39" s="58"/>
      <c r="I39" s="58"/>
      <c r="J39" s="54"/>
      <c r="K39" s="55"/>
      <c r="L39" s="78"/>
      <c r="M39" s="78"/>
      <c r="N39" s="55"/>
      <c r="O39" s="55"/>
      <c r="P39" s="74"/>
      <c r="Q39" s="74"/>
      <c r="R39" s="86"/>
    </row>
    <row r="40" ht="15.75" customHeight="1">
      <c r="A40" s="57">
        <f t="shared" si="19"/>
        <v>45830</v>
      </c>
      <c r="B40" s="48">
        <v>16.0</v>
      </c>
      <c r="C40" s="49">
        <f t="shared" si="1"/>
        <v>1</v>
      </c>
      <c r="D40" s="50">
        <v>12900.0</v>
      </c>
      <c r="E40" s="51">
        <f t="shared" si="18"/>
        <v>806.25</v>
      </c>
      <c r="F40" s="50">
        <v>12920.0</v>
      </c>
      <c r="G40" s="52">
        <f t="shared" si="3"/>
        <v>1.001550388</v>
      </c>
      <c r="H40" s="58"/>
      <c r="I40" s="58"/>
      <c r="J40" s="54"/>
      <c r="K40" s="55"/>
      <c r="L40" s="58"/>
      <c r="M40" s="58"/>
      <c r="N40" s="55"/>
      <c r="O40" s="55"/>
      <c r="P40" s="74"/>
      <c r="Q40" s="74"/>
      <c r="R40" s="86"/>
    </row>
    <row r="41" ht="15.75" customHeight="1">
      <c r="A41" s="57">
        <f t="shared" si="19"/>
        <v>45837</v>
      </c>
      <c r="B41" s="48">
        <v>15.0</v>
      </c>
      <c r="C41" s="49">
        <f t="shared" si="1"/>
        <v>0.9375</v>
      </c>
      <c r="D41" s="50">
        <v>12050.0</v>
      </c>
      <c r="E41" s="51">
        <f t="shared" si="18"/>
        <v>803.3333333</v>
      </c>
      <c r="F41" s="50">
        <v>12920.0</v>
      </c>
      <c r="G41" s="52">
        <f t="shared" si="3"/>
        <v>1.07219917</v>
      </c>
      <c r="H41" s="82"/>
      <c r="I41" s="82"/>
      <c r="J41" s="54"/>
      <c r="K41" s="55"/>
      <c r="L41" s="82"/>
      <c r="M41" s="82"/>
      <c r="N41" s="55"/>
      <c r="O41" s="55"/>
      <c r="P41" s="118"/>
      <c r="Q41" s="118"/>
      <c r="R41" s="86"/>
    </row>
    <row r="42" ht="15.75" customHeight="1">
      <c r="A42" s="61" t="s">
        <v>51</v>
      </c>
      <c r="B42" s="120">
        <v>15.0</v>
      </c>
      <c r="C42" s="63">
        <f t="shared" si="1"/>
        <v>0.9375</v>
      </c>
      <c r="D42" s="64">
        <v>12250.0</v>
      </c>
      <c r="E42" s="131">
        <f>D42/B42</f>
        <v>816.6666667</v>
      </c>
      <c r="F42" s="64">
        <v>12250.0</v>
      </c>
      <c r="G42" s="66">
        <f t="shared" si="3"/>
        <v>1</v>
      </c>
      <c r="H42" s="83">
        <v>13609.0</v>
      </c>
      <c r="I42" s="67">
        <v>12250.0</v>
      </c>
      <c r="J42" s="68">
        <f>IF(H42=0,"",H42-I42)</f>
        <v>1359</v>
      </c>
      <c r="K42" s="69">
        <f>IFERROR((H42-I42)/H42,"")</f>
        <v>0.09986038651</v>
      </c>
      <c r="L42" s="83">
        <v>9391.0</v>
      </c>
      <c r="M42" s="67">
        <v>9300.0</v>
      </c>
      <c r="N42" s="68">
        <f>IF(L42=0,"",L42-M42)</f>
        <v>91</v>
      </c>
      <c r="O42" s="69">
        <f>IFERROR((L42-M42)/L42,"")</f>
        <v>0.009690128847</v>
      </c>
      <c r="P42" s="119">
        <f t="shared" ref="P42:Q42" si="20">H42-L42</f>
        <v>4218</v>
      </c>
      <c r="Q42" s="67">
        <f t="shared" si="20"/>
        <v>2950</v>
      </c>
      <c r="R42" s="71" t="s">
        <v>90</v>
      </c>
    </row>
    <row r="43" ht="15.75" customHeight="1">
      <c r="A43" s="57">
        <f>A41+7</f>
        <v>45844</v>
      </c>
      <c r="B43" s="48">
        <v>15.0</v>
      </c>
      <c r="C43" s="49">
        <f t="shared" si="1"/>
        <v>0.9375</v>
      </c>
      <c r="D43" s="50">
        <v>12110.0</v>
      </c>
      <c r="E43" s="51">
        <f t="shared" ref="E43:E46" si="21">IFERROR(D43/B43,"")</f>
        <v>807.3333333</v>
      </c>
      <c r="F43" s="50">
        <v>10723.0</v>
      </c>
      <c r="G43" s="52">
        <f t="shared" si="3"/>
        <v>0.8854665566</v>
      </c>
      <c r="H43" s="53"/>
      <c r="I43" s="53"/>
      <c r="J43" s="54"/>
      <c r="K43" s="55"/>
      <c r="L43" s="53"/>
      <c r="M43" s="53"/>
      <c r="N43" s="55"/>
      <c r="O43" s="55"/>
      <c r="P43" s="115"/>
      <c r="Q43" s="115"/>
      <c r="R43" s="86"/>
    </row>
    <row r="44" ht="15.75" customHeight="1">
      <c r="A44" s="57">
        <f t="shared" ref="A44:A46" si="22">A43+7</f>
        <v>45851</v>
      </c>
      <c r="B44" s="48">
        <v>16.0</v>
      </c>
      <c r="C44" s="49">
        <f t="shared" si="1"/>
        <v>1</v>
      </c>
      <c r="D44" s="50">
        <v>12960.0</v>
      </c>
      <c r="E44" s="51">
        <f t="shared" si="21"/>
        <v>810</v>
      </c>
      <c r="F44" s="50">
        <v>10723.0</v>
      </c>
      <c r="G44" s="52">
        <f t="shared" si="3"/>
        <v>0.8273919753</v>
      </c>
      <c r="H44" s="58"/>
      <c r="I44" s="58"/>
      <c r="J44" s="54"/>
      <c r="K44" s="55"/>
      <c r="L44" s="58"/>
      <c r="M44" s="58"/>
      <c r="N44" s="55"/>
      <c r="O44" s="55"/>
      <c r="P44" s="74"/>
      <c r="Q44" s="74"/>
      <c r="R44" s="86"/>
    </row>
    <row r="45" ht="15.75" customHeight="1">
      <c r="A45" s="57">
        <f t="shared" si="22"/>
        <v>45858</v>
      </c>
      <c r="B45" s="48">
        <v>16.0</v>
      </c>
      <c r="C45" s="49">
        <f t="shared" si="1"/>
        <v>1</v>
      </c>
      <c r="D45" s="50">
        <v>12960.0</v>
      </c>
      <c r="E45" s="51">
        <f t="shared" si="21"/>
        <v>810</v>
      </c>
      <c r="F45" s="50">
        <v>10273.0</v>
      </c>
      <c r="G45" s="52">
        <f t="shared" si="3"/>
        <v>0.7926697531</v>
      </c>
      <c r="H45" s="58"/>
      <c r="I45" s="58"/>
      <c r="J45" s="54"/>
      <c r="K45" s="55"/>
      <c r="L45" s="58"/>
      <c r="M45" s="58"/>
      <c r="N45" s="55"/>
      <c r="O45" s="55"/>
      <c r="P45" s="74"/>
      <c r="Q45" s="74"/>
      <c r="R45" s="86"/>
    </row>
    <row r="46" ht="15.75" customHeight="1">
      <c r="A46" s="57">
        <f t="shared" si="22"/>
        <v>45865</v>
      </c>
      <c r="B46" s="48">
        <v>16.0</v>
      </c>
      <c r="C46" s="49">
        <f t="shared" si="1"/>
        <v>1</v>
      </c>
      <c r="D46" s="50">
        <v>12960.0</v>
      </c>
      <c r="E46" s="51">
        <f t="shared" si="21"/>
        <v>810</v>
      </c>
      <c r="F46" s="50">
        <v>10273.0</v>
      </c>
      <c r="G46" s="52">
        <f t="shared" si="3"/>
        <v>0.7926697531</v>
      </c>
      <c r="H46" s="82"/>
      <c r="I46" s="82"/>
      <c r="J46" s="54"/>
      <c r="K46" s="55"/>
      <c r="L46" s="82"/>
      <c r="M46" s="82"/>
      <c r="N46" s="55"/>
      <c r="O46" s="55"/>
      <c r="P46" s="118"/>
      <c r="Q46" s="118"/>
      <c r="R46" s="86"/>
    </row>
    <row r="47" ht="15.75" customHeight="1">
      <c r="A47" s="61" t="s">
        <v>51</v>
      </c>
      <c r="B47" s="120">
        <v>15.0</v>
      </c>
      <c r="C47" s="63">
        <f t="shared" si="1"/>
        <v>0.9375</v>
      </c>
      <c r="D47" s="64">
        <v>12250.0</v>
      </c>
      <c r="E47" s="131">
        <f>D47/B47</f>
        <v>816.6666667</v>
      </c>
      <c r="F47" s="64">
        <v>12250.0</v>
      </c>
      <c r="G47" s="66">
        <f t="shared" si="3"/>
        <v>1</v>
      </c>
      <c r="H47" s="83">
        <v>10427.0</v>
      </c>
      <c r="I47" s="67">
        <v>12250.0</v>
      </c>
      <c r="J47" s="68">
        <f>IF(H47=0,"",H47-I47)</f>
        <v>-1823</v>
      </c>
      <c r="K47" s="69">
        <f>IFERROR((H47-I47)/H47,"")</f>
        <v>-0.1748345641</v>
      </c>
      <c r="L47" s="83">
        <v>14516.0</v>
      </c>
      <c r="M47" s="67">
        <v>9300.0</v>
      </c>
      <c r="N47" s="68">
        <f>IF(L47=0,"",L47-M47)</f>
        <v>5216</v>
      </c>
      <c r="O47" s="69">
        <f>IFERROR((L47-M47)/L47,"")</f>
        <v>0.3593276385</v>
      </c>
      <c r="P47" s="119">
        <f t="shared" ref="P47:Q47" si="23">H47-L47</f>
        <v>-4089</v>
      </c>
      <c r="Q47" s="67">
        <f t="shared" si="23"/>
        <v>2950</v>
      </c>
      <c r="R47" s="71" t="s">
        <v>81</v>
      </c>
    </row>
    <row r="48" ht="15.75" customHeight="1">
      <c r="A48" s="57">
        <f>A46+7</f>
        <v>45872</v>
      </c>
      <c r="B48" s="48">
        <v>16.0</v>
      </c>
      <c r="C48" s="49">
        <f t="shared" si="1"/>
        <v>1</v>
      </c>
      <c r="D48" s="50">
        <v>12960.0</v>
      </c>
      <c r="E48" s="51">
        <f t="shared" ref="E48:E52" si="24">IFERROR(D48/B48,"")</f>
        <v>810</v>
      </c>
      <c r="F48" s="50">
        <v>12950.0</v>
      </c>
      <c r="G48" s="52">
        <f t="shared" si="3"/>
        <v>0.9992283951</v>
      </c>
      <c r="H48" s="53"/>
      <c r="I48" s="53"/>
      <c r="J48" s="54"/>
      <c r="K48" s="55"/>
      <c r="L48" s="53"/>
      <c r="M48" s="53"/>
      <c r="N48" s="55"/>
      <c r="O48" s="55"/>
      <c r="P48" s="115"/>
      <c r="Q48" s="115"/>
      <c r="R48" s="86"/>
    </row>
    <row r="49" ht="15.75" customHeight="1">
      <c r="A49" s="57">
        <f t="shared" ref="A49:A52" si="25">A48+7</f>
        <v>45879</v>
      </c>
      <c r="B49" s="48">
        <v>16.0</v>
      </c>
      <c r="C49" s="49">
        <f t="shared" si="1"/>
        <v>1</v>
      </c>
      <c r="D49" s="50">
        <v>12960.0</v>
      </c>
      <c r="E49" s="51">
        <f t="shared" si="24"/>
        <v>810</v>
      </c>
      <c r="F49" s="50">
        <v>14585.0</v>
      </c>
      <c r="G49" s="52">
        <f t="shared" si="3"/>
        <v>1.125385802</v>
      </c>
      <c r="H49" s="58"/>
      <c r="I49" s="58"/>
      <c r="J49" s="54"/>
      <c r="K49" s="55"/>
      <c r="L49" s="58"/>
      <c r="M49" s="58"/>
      <c r="N49" s="55"/>
      <c r="O49" s="55"/>
      <c r="P49" s="74"/>
      <c r="Q49" s="74"/>
      <c r="R49" s="86"/>
    </row>
    <row r="50" ht="15.75" customHeight="1">
      <c r="A50" s="57">
        <f t="shared" si="25"/>
        <v>45886</v>
      </c>
      <c r="B50" s="48">
        <v>16.0</v>
      </c>
      <c r="C50" s="49">
        <f t="shared" si="1"/>
        <v>1</v>
      </c>
      <c r="D50" s="50">
        <v>12960.0</v>
      </c>
      <c r="E50" s="51">
        <f t="shared" si="24"/>
        <v>810</v>
      </c>
      <c r="F50" s="50">
        <v>14585.0</v>
      </c>
      <c r="G50" s="52">
        <f t="shared" si="3"/>
        <v>1.125385802</v>
      </c>
      <c r="H50" s="58"/>
      <c r="I50" s="58"/>
      <c r="J50" s="54"/>
      <c r="K50" s="55"/>
      <c r="L50" s="58"/>
      <c r="M50" s="58"/>
      <c r="N50" s="55"/>
      <c r="O50" s="55"/>
      <c r="P50" s="74"/>
      <c r="Q50" s="74"/>
      <c r="R50" s="86"/>
    </row>
    <row r="51" ht="15.75" customHeight="1">
      <c r="A51" s="57">
        <f t="shared" si="25"/>
        <v>45893</v>
      </c>
      <c r="B51" s="48">
        <v>16.0</v>
      </c>
      <c r="C51" s="49">
        <f t="shared" si="1"/>
        <v>1</v>
      </c>
      <c r="D51" s="50">
        <v>12960.0</v>
      </c>
      <c r="E51" s="51">
        <f t="shared" si="24"/>
        <v>810</v>
      </c>
      <c r="F51" s="50">
        <v>14585.0</v>
      </c>
      <c r="G51" s="52">
        <f t="shared" si="3"/>
        <v>1.125385802</v>
      </c>
      <c r="H51" s="60"/>
      <c r="I51" s="60"/>
      <c r="J51" s="54"/>
      <c r="K51" s="55"/>
      <c r="L51" s="58"/>
      <c r="M51" s="58"/>
      <c r="N51" s="55"/>
      <c r="O51" s="55"/>
      <c r="P51" s="74"/>
      <c r="Q51" s="74"/>
      <c r="R51" s="86"/>
    </row>
    <row r="52" ht="15.75" customHeight="1">
      <c r="A52" s="57">
        <f t="shared" si="25"/>
        <v>45900</v>
      </c>
      <c r="B52" s="48">
        <v>16.0</v>
      </c>
      <c r="C52" s="49">
        <f t="shared" si="1"/>
        <v>1</v>
      </c>
      <c r="D52" s="50">
        <v>12960.0</v>
      </c>
      <c r="E52" s="51">
        <f t="shared" si="24"/>
        <v>810</v>
      </c>
      <c r="F52" s="50">
        <v>14585.0</v>
      </c>
      <c r="G52" s="72">
        <f t="shared" si="3"/>
        <v>1.125385802</v>
      </c>
      <c r="H52" s="74"/>
      <c r="I52" s="80"/>
      <c r="J52" s="75"/>
      <c r="K52" s="55"/>
      <c r="L52" s="60"/>
      <c r="M52" s="60"/>
      <c r="N52" s="55"/>
      <c r="O52" s="55"/>
      <c r="P52" s="74"/>
      <c r="Q52" s="74"/>
      <c r="R52" s="86"/>
    </row>
    <row r="53" ht="15.75" customHeight="1">
      <c r="A53" s="61" t="s">
        <v>51</v>
      </c>
      <c r="B53" s="120">
        <v>15.0</v>
      </c>
      <c r="C53" s="63">
        <f t="shared" si="1"/>
        <v>0.9375</v>
      </c>
      <c r="D53" s="64">
        <v>12250.0</v>
      </c>
      <c r="E53" s="131">
        <f>D53/B53</f>
        <v>816.6666667</v>
      </c>
      <c r="F53" s="64">
        <v>12250.0</v>
      </c>
      <c r="G53" s="66">
        <f t="shared" si="3"/>
        <v>1</v>
      </c>
      <c r="H53" s="67">
        <v>17994.0</v>
      </c>
      <c r="I53" s="67">
        <v>12250.0</v>
      </c>
      <c r="J53" s="68">
        <f>IF(H53=0,"",H53-I53)</f>
        <v>5744</v>
      </c>
      <c r="K53" s="69">
        <f>IFERROR((H53-I53)/H53,"")</f>
        <v>0.319217517</v>
      </c>
      <c r="L53" s="67">
        <v>6854.0</v>
      </c>
      <c r="M53" s="67">
        <v>9300.0</v>
      </c>
      <c r="N53" s="68">
        <f>IF(L53=0,"",L53-M53)</f>
        <v>-2446</v>
      </c>
      <c r="O53" s="69">
        <f>IFERROR((L53-M53)/L53,"")</f>
        <v>-0.3568718996</v>
      </c>
      <c r="P53" s="70">
        <f t="shared" ref="P53:Q53" si="26">H53-L53</f>
        <v>11140</v>
      </c>
      <c r="Q53" s="67">
        <f t="shared" si="26"/>
        <v>2950</v>
      </c>
      <c r="R53" s="87"/>
    </row>
    <row r="54" ht="15.75" customHeight="1">
      <c r="A54" s="57">
        <f>A52+7</f>
        <v>45907</v>
      </c>
      <c r="B54" s="48">
        <v>16.0</v>
      </c>
      <c r="C54" s="49">
        <f t="shared" si="1"/>
        <v>1</v>
      </c>
      <c r="D54" s="50">
        <v>12985.0</v>
      </c>
      <c r="E54" s="51">
        <f t="shared" ref="E54:E57" si="27">IFERROR(D54/B54,"")</f>
        <v>811.5625</v>
      </c>
      <c r="F54" s="50">
        <v>12135.0</v>
      </c>
      <c r="G54" s="52">
        <f t="shared" si="3"/>
        <v>0.9345398537</v>
      </c>
      <c r="H54" s="78"/>
      <c r="I54" s="78"/>
      <c r="J54" s="54"/>
      <c r="K54" s="76"/>
      <c r="L54" s="74"/>
      <c r="M54" s="74"/>
      <c r="N54" s="77"/>
      <c r="O54" s="55"/>
      <c r="P54" s="74"/>
      <c r="Q54" s="74"/>
      <c r="R54" s="86"/>
    </row>
    <row r="55" ht="15.75" customHeight="1">
      <c r="A55" s="57">
        <f t="shared" ref="A55:A57" si="28">A54+7</f>
        <v>45914</v>
      </c>
      <c r="B55" s="48">
        <v>16.0</v>
      </c>
      <c r="C55" s="49">
        <f t="shared" si="1"/>
        <v>1</v>
      </c>
      <c r="D55" s="50">
        <v>12985.0</v>
      </c>
      <c r="E55" s="51">
        <f t="shared" si="27"/>
        <v>811.5625</v>
      </c>
      <c r="F55" s="50">
        <v>12820.0</v>
      </c>
      <c r="G55" s="52">
        <f t="shared" si="3"/>
        <v>0.9872930304</v>
      </c>
      <c r="H55" s="58"/>
      <c r="I55" s="58"/>
      <c r="J55" s="54"/>
      <c r="K55" s="55"/>
      <c r="L55" s="78"/>
      <c r="M55" s="78"/>
      <c r="N55" s="55"/>
      <c r="O55" s="55"/>
      <c r="P55" s="74"/>
      <c r="Q55" s="74"/>
      <c r="R55" s="86"/>
    </row>
    <row r="56" ht="15.75" customHeight="1">
      <c r="A56" s="57">
        <f t="shared" si="28"/>
        <v>45921</v>
      </c>
      <c r="B56" s="48">
        <v>16.0</v>
      </c>
      <c r="C56" s="49">
        <f t="shared" si="1"/>
        <v>1</v>
      </c>
      <c r="D56" s="50">
        <v>12985.0</v>
      </c>
      <c r="E56" s="51">
        <f t="shared" si="27"/>
        <v>811.5625</v>
      </c>
      <c r="F56" s="50">
        <v>12820.0</v>
      </c>
      <c r="G56" s="52">
        <f t="shared" si="3"/>
        <v>0.9872930304</v>
      </c>
      <c r="H56" s="58"/>
      <c r="I56" s="58"/>
      <c r="J56" s="54"/>
      <c r="K56" s="55"/>
      <c r="L56" s="58"/>
      <c r="M56" s="58"/>
      <c r="N56" s="55"/>
      <c r="O56" s="55"/>
      <c r="P56" s="74"/>
      <c r="Q56" s="74"/>
      <c r="R56" s="86"/>
    </row>
    <row r="57" ht="15.75" customHeight="1">
      <c r="A57" s="57">
        <f t="shared" si="28"/>
        <v>45928</v>
      </c>
      <c r="B57" s="48">
        <v>16.0</v>
      </c>
      <c r="C57" s="49">
        <f t="shared" si="1"/>
        <v>1</v>
      </c>
      <c r="D57" s="50">
        <v>12985.0</v>
      </c>
      <c r="E57" s="51">
        <f t="shared" si="27"/>
        <v>811.5625</v>
      </c>
      <c r="F57" s="50">
        <v>12820.0</v>
      </c>
      <c r="G57" s="52">
        <f t="shared" si="3"/>
        <v>0.9872930304</v>
      </c>
      <c r="H57" s="82"/>
      <c r="I57" s="82"/>
      <c r="J57" s="54"/>
      <c r="K57" s="55"/>
      <c r="L57" s="82"/>
      <c r="M57" s="82"/>
      <c r="N57" s="55"/>
      <c r="O57" s="55"/>
      <c r="P57" s="118"/>
      <c r="Q57" s="118"/>
      <c r="R57" s="86"/>
    </row>
    <row r="58" ht="15.75" customHeight="1">
      <c r="A58" s="61" t="s">
        <v>51</v>
      </c>
      <c r="B58" s="120">
        <v>15.0</v>
      </c>
      <c r="C58" s="63">
        <f t="shared" si="1"/>
        <v>0.9375</v>
      </c>
      <c r="D58" s="64">
        <v>12250.0</v>
      </c>
      <c r="E58" s="131">
        <f>D58/B58</f>
        <v>816.6666667</v>
      </c>
      <c r="F58" s="64">
        <v>12250.0</v>
      </c>
      <c r="G58" s="66">
        <f t="shared" si="3"/>
        <v>1</v>
      </c>
      <c r="H58" s="83">
        <v>13947.0</v>
      </c>
      <c r="I58" s="67">
        <v>12250.0</v>
      </c>
      <c r="J58" s="68">
        <f>IF(H58=0,"",H58-I58)</f>
        <v>1697</v>
      </c>
      <c r="K58" s="69">
        <f>IFERROR((H58-I58)/H58,"")</f>
        <v>0.1216749122</v>
      </c>
      <c r="L58" s="83">
        <v>8849.0</v>
      </c>
      <c r="M58" s="67">
        <v>9300.0</v>
      </c>
      <c r="N58" s="68">
        <f>IF(L58=0,"",L58-M58)</f>
        <v>-451</v>
      </c>
      <c r="O58" s="69">
        <f>IFERROR((L58-M58)/L58,"")</f>
        <v>-0.05096621087</v>
      </c>
      <c r="P58" s="119">
        <f t="shared" ref="P58:Q58" si="29">H58-L58</f>
        <v>5098</v>
      </c>
      <c r="Q58" s="67">
        <f t="shared" si="29"/>
        <v>2950</v>
      </c>
      <c r="R58" s="87"/>
    </row>
    <row r="59" ht="15.75" customHeight="1">
      <c r="A59" s="57">
        <f>A57+7</f>
        <v>45935</v>
      </c>
      <c r="B59" s="48">
        <v>16.0</v>
      </c>
      <c r="C59" s="49">
        <f t="shared" si="1"/>
        <v>1</v>
      </c>
      <c r="D59" s="50">
        <v>12985.0</v>
      </c>
      <c r="E59" s="51">
        <f t="shared" ref="E59:E62" si="30">IFERROR(D59/B59,"")</f>
        <v>811.5625</v>
      </c>
      <c r="F59" s="50">
        <v>10885.0</v>
      </c>
      <c r="G59" s="52">
        <f t="shared" si="3"/>
        <v>0.8382749326</v>
      </c>
      <c r="H59" s="53"/>
      <c r="I59" s="53"/>
      <c r="J59" s="54"/>
      <c r="K59" s="55"/>
      <c r="L59" s="53"/>
      <c r="M59" s="53"/>
      <c r="N59" s="55"/>
      <c r="O59" s="55"/>
      <c r="P59" s="115"/>
      <c r="Q59" s="115"/>
      <c r="R59" s="86"/>
    </row>
    <row r="60" ht="15.75" customHeight="1">
      <c r="A60" s="57">
        <f t="shared" ref="A60:A62" si="31">A59+7</f>
        <v>45942</v>
      </c>
      <c r="B60" s="48">
        <v>16.0</v>
      </c>
      <c r="C60" s="49">
        <f t="shared" si="1"/>
        <v>1</v>
      </c>
      <c r="D60" s="50">
        <v>12985.0</v>
      </c>
      <c r="E60" s="51">
        <f t="shared" si="30"/>
        <v>811.5625</v>
      </c>
      <c r="F60" s="50">
        <v>12687.0</v>
      </c>
      <c r="G60" s="52">
        <f t="shared" si="3"/>
        <v>0.9770504428</v>
      </c>
      <c r="H60" s="58"/>
      <c r="I60" s="58"/>
      <c r="J60" s="54"/>
      <c r="K60" s="55"/>
      <c r="L60" s="58"/>
      <c r="M60" s="58"/>
      <c r="N60" s="55"/>
      <c r="O60" s="55"/>
      <c r="P60" s="74"/>
      <c r="Q60" s="74"/>
      <c r="R60" s="86"/>
    </row>
    <row r="61" ht="15.75" customHeight="1">
      <c r="A61" s="57">
        <f t="shared" si="31"/>
        <v>45949</v>
      </c>
      <c r="B61" s="48">
        <v>16.0</v>
      </c>
      <c r="C61" s="49">
        <f t="shared" si="1"/>
        <v>1</v>
      </c>
      <c r="D61" s="50">
        <v>12985.0</v>
      </c>
      <c r="E61" s="51">
        <f t="shared" si="30"/>
        <v>811.5625</v>
      </c>
      <c r="F61" s="50">
        <v>12973.0</v>
      </c>
      <c r="G61" s="52">
        <f t="shared" si="3"/>
        <v>0.9990758568</v>
      </c>
      <c r="H61" s="58"/>
      <c r="I61" s="58"/>
      <c r="J61" s="54"/>
      <c r="K61" s="55"/>
      <c r="L61" s="58"/>
      <c r="M61" s="58"/>
      <c r="N61" s="55"/>
      <c r="O61" s="55"/>
      <c r="P61" s="74"/>
      <c r="Q61" s="74"/>
      <c r="R61" s="86"/>
    </row>
    <row r="62" ht="15.75" customHeight="1">
      <c r="A62" s="57">
        <f t="shared" si="31"/>
        <v>45956</v>
      </c>
      <c r="B62" s="48">
        <v>16.0</v>
      </c>
      <c r="C62" s="49">
        <f t="shared" si="1"/>
        <v>1</v>
      </c>
      <c r="D62" s="50">
        <v>12985.0</v>
      </c>
      <c r="E62" s="51">
        <f t="shared" si="30"/>
        <v>811.5625</v>
      </c>
      <c r="F62" s="50">
        <v>12973.0</v>
      </c>
      <c r="G62" s="52">
        <f t="shared" si="3"/>
        <v>0.9990758568</v>
      </c>
      <c r="H62" s="60"/>
      <c r="I62" s="60"/>
      <c r="J62" s="54"/>
      <c r="K62" s="55"/>
      <c r="L62" s="58"/>
      <c r="M62" s="58"/>
      <c r="N62" s="55"/>
      <c r="O62" s="55"/>
      <c r="P62" s="74"/>
      <c r="Q62" s="74"/>
      <c r="R62" s="86"/>
    </row>
    <row r="63" ht="15.75" customHeight="1">
      <c r="A63" s="61" t="s">
        <v>51</v>
      </c>
      <c r="B63" s="120">
        <v>15.0</v>
      </c>
      <c r="C63" s="121">
        <f t="shared" si="1"/>
        <v>0.9375</v>
      </c>
      <c r="D63" s="64">
        <v>12250.0</v>
      </c>
      <c r="E63" s="131">
        <f>D63/B63</f>
        <v>816.6666667</v>
      </c>
      <c r="F63" s="64">
        <v>12250.0</v>
      </c>
      <c r="G63" s="66">
        <f t="shared" si="3"/>
        <v>1</v>
      </c>
      <c r="H63" s="67">
        <v>12282.0</v>
      </c>
      <c r="I63" s="67">
        <v>12250.0</v>
      </c>
      <c r="J63" s="68">
        <f>IF(H63=0,"",H63-I63)</f>
        <v>32</v>
      </c>
      <c r="K63" s="69">
        <f>IFERROR((H63-I63)/H63,"")</f>
        <v>0.002605438854</v>
      </c>
      <c r="L63" s="67">
        <v>8724.0</v>
      </c>
      <c r="M63" s="67">
        <v>9300.0</v>
      </c>
      <c r="N63" s="68">
        <f>IF(L63=0,"",L63-M63)</f>
        <v>-576</v>
      </c>
      <c r="O63" s="69">
        <f>IFERROR((L63-M63)/L63,"")</f>
        <v>-0.06602475928</v>
      </c>
      <c r="P63" s="70">
        <f t="shared" ref="P63:Q63" si="32">H63-L63</f>
        <v>3558</v>
      </c>
      <c r="Q63" s="67">
        <f t="shared" si="32"/>
        <v>2950</v>
      </c>
      <c r="R63" s="87"/>
    </row>
    <row r="64" ht="15.75" customHeight="1">
      <c r="A64" s="57">
        <f>A62+7</f>
        <v>45963</v>
      </c>
      <c r="B64" s="48">
        <v>16.0</v>
      </c>
      <c r="C64" s="49">
        <f t="shared" si="1"/>
        <v>1</v>
      </c>
      <c r="D64" s="50">
        <v>12985.0</v>
      </c>
      <c r="E64" s="51">
        <f t="shared" ref="E64:E68" si="33">IFERROR(D64/B64,"")</f>
        <v>811.5625</v>
      </c>
      <c r="F64" s="50">
        <v>4390.0</v>
      </c>
      <c r="G64" s="79">
        <f t="shared" si="3"/>
        <v>0.3380824028</v>
      </c>
      <c r="H64" s="81"/>
      <c r="I64" s="74"/>
      <c r="J64" s="75"/>
      <c r="K64" s="55"/>
      <c r="L64" s="60"/>
      <c r="M64" s="60"/>
      <c r="N64" s="55"/>
      <c r="O64" s="55"/>
      <c r="P64" s="74"/>
      <c r="Q64" s="74"/>
      <c r="R64" s="86"/>
    </row>
    <row r="65" ht="15.75" customHeight="1">
      <c r="A65" s="57">
        <f t="shared" ref="A65:A68" si="34">A64+7</f>
        <v>45970</v>
      </c>
      <c r="B65" s="48">
        <v>16.0</v>
      </c>
      <c r="C65" s="49">
        <f t="shared" si="1"/>
        <v>1</v>
      </c>
      <c r="D65" s="50">
        <v>12985.0</v>
      </c>
      <c r="E65" s="51">
        <f t="shared" si="33"/>
        <v>811.5625</v>
      </c>
      <c r="F65" s="50">
        <v>11429.0</v>
      </c>
      <c r="G65" s="52">
        <f t="shared" si="3"/>
        <v>0.8801694263</v>
      </c>
      <c r="H65" s="78"/>
      <c r="I65" s="78"/>
      <c r="J65" s="54"/>
      <c r="K65" s="55"/>
      <c r="L65" s="80"/>
      <c r="M65" s="81"/>
      <c r="N65" s="55"/>
      <c r="O65" s="55"/>
      <c r="P65" s="74"/>
      <c r="Q65" s="81"/>
      <c r="R65" s="86"/>
    </row>
    <row r="66" ht="15.75" customHeight="1">
      <c r="A66" s="57">
        <f t="shared" si="34"/>
        <v>45977</v>
      </c>
      <c r="B66" s="48">
        <v>16.0</v>
      </c>
      <c r="C66" s="49">
        <f t="shared" si="1"/>
        <v>1</v>
      </c>
      <c r="D66" s="50">
        <v>12985.0</v>
      </c>
      <c r="E66" s="51">
        <f t="shared" si="33"/>
        <v>811.5625</v>
      </c>
      <c r="F66" s="50">
        <v>11429.0</v>
      </c>
      <c r="G66" s="52">
        <f t="shared" si="3"/>
        <v>0.8801694263</v>
      </c>
      <c r="H66" s="58"/>
      <c r="I66" s="58"/>
      <c r="J66" s="54"/>
      <c r="K66" s="55"/>
      <c r="L66" s="78"/>
      <c r="M66" s="78"/>
      <c r="N66" s="55"/>
      <c r="O66" s="55"/>
      <c r="P66" s="74"/>
      <c r="Q66" s="74"/>
      <c r="R66" s="86"/>
    </row>
    <row r="67" ht="15.75" customHeight="1">
      <c r="A67" s="57">
        <f t="shared" si="34"/>
        <v>45984</v>
      </c>
      <c r="B67" s="48">
        <v>16.0</v>
      </c>
      <c r="C67" s="49">
        <f t="shared" si="1"/>
        <v>1</v>
      </c>
      <c r="D67" s="50">
        <v>12985.0</v>
      </c>
      <c r="E67" s="51">
        <f t="shared" si="33"/>
        <v>811.5625</v>
      </c>
      <c r="F67" s="50">
        <v>11958.0</v>
      </c>
      <c r="G67" s="52">
        <f t="shared" si="3"/>
        <v>0.9209087409</v>
      </c>
      <c r="H67" s="60"/>
      <c r="I67" s="60"/>
      <c r="J67" s="54"/>
      <c r="K67" s="55"/>
      <c r="L67" s="58"/>
      <c r="M67" s="58"/>
      <c r="N67" s="55"/>
      <c r="O67" s="55"/>
      <c r="P67" s="74"/>
      <c r="Q67" s="74"/>
      <c r="R67" s="86"/>
    </row>
    <row r="68" ht="14.25" customHeight="1">
      <c r="A68" s="57">
        <f t="shared" si="34"/>
        <v>45991</v>
      </c>
      <c r="B68" s="48">
        <v>16.0</v>
      </c>
      <c r="C68" s="49">
        <f t="shared" si="1"/>
        <v>1</v>
      </c>
      <c r="D68" s="50">
        <v>12985.0</v>
      </c>
      <c r="E68" s="51">
        <f t="shared" si="33"/>
        <v>811.5625</v>
      </c>
      <c r="F68" s="50">
        <v>12796.0</v>
      </c>
      <c r="G68" s="79">
        <f t="shared" si="3"/>
        <v>0.9854447439</v>
      </c>
      <c r="H68" s="81"/>
      <c r="I68" s="74"/>
      <c r="J68" s="75"/>
      <c r="K68" s="55"/>
      <c r="L68" s="60"/>
      <c r="M68" s="60"/>
      <c r="N68" s="55"/>
      <c r="O68" s="55"/>
      <c r="P68" s="74"/>
      <c r="Q68" s="74"/>
      <c r="R68" s="86"/>
    </row>
    <row r="69" ht="15.75" customHeight="1">
      <c r="A69" s="61" t="s">
        <v>51</v>
      </c>
      <c r="B69" s="120">
        <v>15.0</v>
      </c>
      <c r="C69" s="121">
        <f t="shared" si="1"/>
        <v>0.9375</v>
      </c>
      <c r="D69" s="64">
        <v>12250.0</v>
      </c>
      <c r="E69" s="131">
        <f>D69/B69</f>
        <v>816.6666667</v>
      </c>
      <c r="F69" s="64">
        <v>12250.0</v>
      </c>
      <c r="G69" s="66">
        <f t="shared" si="3"/>
        <v>1</v>
      </c>
      <c r="H69" s="70"/>
      <c r="I69" s="67">
        <v>12250.0</v>
      </c>
      <c r="J69" s="68" t="str">
        <f>IF(H69=0,"",H69-I69)</f>
        <v/>
      </c>
      <c r="K69" s="69" t="str">
        <f>IFERROR((H69-I69)/H69,"")</f>
        <v/>
      </c>
      <c r="L69" s="70"/>
      <c r="M69" s="67">
        <v>9300.0</v>
      </c>
      <c r="N69" s="68" t="str">
        <f>IF(L69=0,"",L69-M69)</f>
        <v/>
      </c>
      <c r="O69" s="69" t="str">
        <f>IFERROR((L69-M69)/L69,"")</f>
        <v/>
      </c>
      <c r="P69" s="70">
        <f t="shared" ref="P69:Q69" si="35">H69-L69</f>
        <v>0</v>
      </c>
      <c r="Q69" s="67">
        <f t="shared" si="35"/>
        <v>2950</v>
      </c>
      <c r="R69" s="87"/>
    </row>
    <row r="70" ht="15.75" customHeight="1">
      <c r="A70" s="57">
        <f>A68+7</f>
        <v>45998</v>
      </c>
      <c r="B70" s="89" t="s">
        <v>91</v>
      </c>
      <c r="C70" s="49">
        <f t="shared" si="1"/>
        <v>1</v>
      </c>
      <c r="D70" s="50">
        <v>12985.0</v>
      </c>
      <c r="E70" s="51">
        <f t="shared" ref="E70:E73" si="36">IFERROR(D70/B70,"")</f>
        <v>811.5625</v>
      </c>
      <c r="F70" s="50">
        <v>11849.0</v>
      </c>
      <c r="G70" s="52">
        <f t="shared" si="3"/>
        <v>0.9125144397</v>
      </c>
      <c r="H70" s="78"/>
      <c r="I70" s="78"/>
      <c r="J70" s="54"/>
      <c r="K70" s="76"/>
      <c r="L70" s="74"/>
      <c r="M70" s="74"/>
      <c r="N70" s="77"/>
      <c r="O70" s="55"/>
      <c r="P70" s="74"/>
      <c r="Q70" s="74"/>
      <c r="R70" s="86"/>
    </row>
    <row r="71" ht="15.75" customHeight="1">
      <c r="A71" s="57">
        <f t="shared" ref="A71:A73" si="37">A70+7</f>
        <v>46005</v>
      </c>
      <c r="B71" s="89" t="s">
        <v>91</v>
      </c>
      <c r="C71" s="49">
        <f t="shared" si="1"/>
        <v>1</v>
      </c>
      <c r="D71" s="50">
        <v>12985.0</v>
      </c>
      <c r="E71" s="51">
        <f t="shared" si="36"/>
        <v>811.5625</v>
      </c>
      <c r="F71" s="50">
        <v>11849.0</v>
      </c>
      <c r="G71" s="52">
        <f t="shared" si="3"/>
        <v>0.9125144397</v>
      </c>
      <c r="H71" s="58"/>
      <c r="I71" s="58"/>
      <c r="J71" s="54"/>
      <c r="K71" s="55"/>
      <c r="L71" s="78"/>
      <c r="M71" s="78"/>
      <c r="N71" s="55"/>
      <c r="O71" s="55"/>
      <c r="P71" s="74"/>
      <c r="Q71" s="74"/>
      <c r="R71" s="86"/>
    </row>
    <row r="72" ht="15.75" customHeight="1">
      <c r="A72" s="57">
        <f t="shared" si="37"/>
        <v>46012</v>
      </c>
      <c r="B72" s="90"/>
      <c r="C72" s="49" t="str">
        <f t="shared" si="1"/>
        <v/>
      </c>
      <c r="D72" s="91"/>
      <c r="E72" s="51" t="str">
        <f t="shared" si="36"/>
        <v/>
      </c>
      <c r="F72" s="91"/>
      <c r="G72" s="52" t="str">
        <f t="shared" si="3"/>
        <v/>
      </c>
      <c r="H72" s="58"/>
      <c r="I72" s="58"/>
      <c r="J72" s="54"/>
      <c r="K72" s="55"/>
      <c r="L72" s="58"/>
      <c r="M72" s="58"/>
      <c r="N72" s="55"/>
      <c r="O72" s="55"/>
      <c r="P72" s="74"/>
      <c r="Q72" s="74"/>
      <c r="R72" s="86"/>
    </row>
    <row r="73" ht="15.75" customHeight="1">
      <c r="A73" s="57">
        <f t="shared" si="37"/>
        <v>46019</v>
      </c>
      <c r="B73" s="90"/>
      <c r="C73" s="49" t="str">
        <f t="shared" si="1"/>
        <v/>
      </c>
      <c r="D73" s="91"/>
      <c r="E73" s="51" t="str">
        <f t="shared" si="36"/>
        <v/>
      </c>
      <c r="F73" s="91"/>
      <c r="G73" s="52" t="str">
        <f t="shared" si="3"/>
        <v/>
      </c>
      <c r="H73" s="82"/>
      <c r="I73" s="82"/>
      <c r="J73" s="54"/>
      <c r="K73" s="55"/>
      <c r="L73" s="82"/>
      <c r="M73" s="82"/>
      <c r="N73" s="55"/>
      <c r="O73" s="55"/>
      <c r="P73" s="118"/>
      <c r="Q73" s="118"/>
      <c r="R73" s="86"/>
    </row>
    <row r="74" ht="15.75" customHeight="1">
      <c r="A74" s="61" t="s">
        <v>51</v>
      </c>
      <c r="B74" s="120">
        <v>15.0</v>
      </c>
      <c r="C74" s="121">
        <f t="shared" si="1"/>
        <v>0.9375</v>
      </c>
      <c r="D74" s="64">
        <v>12250.0</v>
      </c>
      <c r="E74" s="131">
        <f>D74/B74</f>
        <v>816.6666667</v>
      </c>
      <c r="F74" s="64">
        <v>12250.0</v>
      </c>
      <c r="G74" s="66">
        <f t="shared" si="3"/>
        <v>1</v>
      </c>
      <c r="H74" s="92"/>
      <c r="I74" s="67">
        <v>12250.0</v>
      </c>
      <c r="J74" s="68" t="str">
        <f t="shared" ref="J74:J75" si="41">IF(H74=0,"",H74-I74)</f>
        <v/>
      </c>
      <c r="K74" s="69" t="str">
        <f t="shared" ref="K74:K75" si="42">IFERROR((H74-I74)/H74,"")</f>
        <v/>
      </c>
      <c r="L74" s="92"/>
      <c r="M74" s="67">
        <v>9300.0</v>
      </c>
      <c r="N74" s="68" t="str">
        <f t="shared" ref="N74:N75" si="44">IF(L74=0,"",L74-M74)</f>
        <v/>
      </c>
      <c r="O74" s="69" t="str">
        <f t="shared" ref="O74:O75" si="45">IFERROR((L74-M74)/L74,"")</f>
        <v/>
      </c>
      <c r="P74" s="124">
        <f t="shared" ref="P74:Q74" si="38">H74-L74</f>
        <v>0</v>
      </c>
      <c r="Q74" s="67">
        <f t="shared" si="38"/>
        <v>2950</v>
      </c>
      <c r="R74" s="87"/>
    </row>
    <row r="75" ht="15.75" customHeight="1">
      <c r="A75" s="93" t="s">
        <v>61</v>
      </c>
      <c r="B75" s="133">
        <f t="shared" ref="B75:C75" si="39">AVERAGE(B15,B20,B26,B31,B36,B42,B47,B53,B58,B63,B69,B74)</f>
        <v>15</v>
      </c>
      <c r="C75" s="133">
        <f t="shared" si="39"/>
        <v>0.9375</v>
      </c>
      <c r="D75" s="133">
        <f>SUM(D15,D20,D26,D31,D36,D42,D47,D53,D58,D63,D69,D74)</f>
        <v>147000</v>
      </c>
      <c r="E75" s="133">
        <f>AVERAGE(E15,E20,E26,E31,E36,E42,E47,E53,E58,E63,E69,E74)</f>
        <v>816.6666667</v>
      </c>
      <c r="F75" s="133">
        <f>SUM(F15,F20,F26,F31,F36,F42,F47,F53,F58,F63,F69,F74)</f>
        <v>147000</v>
      </c>
      <c r="G75" s="134">
        <f>AVERAGE(G15,G20,G26,G31,G36,G42,G47,G53,G58,G63,G69,G74)</f>
        <v>1</v>
      </c>
      <c r="H75" s="96">
        <f t="shared" ref="H75:I75" si="40">H15+H20+H26+H31+H36+H42+H47+H53+H58+H63+H69+H74</f>
        <v>134192</v>
      </c>
      <c r="I75" s="96">
        <f t="shared" si="40"/>
        <v>147000</v>
      </c>
      <c r="J75" s="96">
        <f t="shared" si="41"/>
        <v>-12808</v>
      </c>
      <c r="K75" s="95">
        <f t="shared" si="42"/>
        <v>-0.09544533206</v>
      </c>
      <c r="L75" s="96">
        <f t="shared" ref="L75:M75" si="43">L15+L20+L26+L31+L36+L42+L47+L53+L58+L63+L69+L74</f>
        <v>108494</v>
      </c>
      <c r="M75" s="96">
        <f t="shared" si="43"/>
        <v>111600</v>
      </c>
      <c r="N75" s="95">
        <f t="shared" si="44"/>
        <v>-3106</v>
      </c>
      <c r="O75" s="95">
        <f t="shared" si="45"/>
        <v>-0.02862831124</v>
      </c>
      <c r="P75" s="96">
        <f t="shared" ref="P75:Q75" si="46">P15+P20+P26+P31+P36+P42+P47+P53+P58+P63+P69+P74</f>
        <v>25698</v>
      </c>
      <c r="Q75" s="96">
        <f t="shared" si="46"/>
        <v>35400</v>
      </c>
      <c r="R75" s="98"/>
    </row>
    <row r="76" ht="15.75" customHeight="1">
      <c r="A76" s="99" t="s">
        <v>62</v>
      </c>
      <c r="B76" s="100" t="s">
        <v>62</v>
      </c>
      <c r="C76" s="100" t="s">
        <v>62</v>
      </c>
      <c r="D76" s="101" t="s">
        <v>62</v>
      </c>
      <c r="E76" s="102" t="s">
        <v>62</v>
      </c>
      <c r="F76" s="101" t="s">
        <v>62</v>
      </c>
      <c r="G76" s="100" t="s">
        <v>62</v>
      </c>
      <c r="H76" s="102" t="s">
        <v>62</v>
      </c>
      <c r="I76" s="102" t="s">
        <v>62</v>
      </c>
      <c r="J76" s="102" t="s">
        <v>62</v>
      </c>
      <c r="K76" s="100" t="s">
        <v>62</v>
      </c>
      <c r="L76" s="102" t="s">
        <v>62</v>
      </c>
      <c r="M76" s="102" t="s">
        <v>62</v>
      </c>
      <c r="N76" s="100" t="s">
        <v>62</v>
      </c>
      <c r="O76" s="100" t="s">
        <v>62</v>
      </c>
      <c r="P76" s="102"/>
      <c r="Q76" s="102"/>
      <c r="R76" s="100" t="s">
        <v>62</v>
      </c>
    </row>
    <row r="77" ht="15.75" customHeight="1">
      <c r="A77" s="103"/>
      <c r="B77" s="104"/>
      <c r="C77" s="104"/>
      <c r="D77" s="105"/>
      <c r="E77" s="106"/>
      <c r="F77" s="107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6"/>
    </row>
    <row r="78" ht="15.75" customHeight="1">
      <c r="A78" s="103"/>
      <c r="B78" s="104"/>
      <c r="C78" s="104"/>
      <c r="D78" s="105"/>
      <c r="E78" s="106"/>
      <c r="F78" s="107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6"/>
    </row>
    <row r="79" ht="15.75" customHeight="1">
      <c r="A79" s="103"/>
      <c r="B79" s="104"/>
      <c r="C79" s="104"/>
      <c r="D79" s="105"/>
      <c r="E79" s="106"/>
      <c r="F79" s="107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6"/>
    </row>
    <row r="80" ht="15.75" customHeight="1">
      <c r="A80" s="103"/>
      <c r="B80" s="104"/>
      <c r="C80" s="104"/>
      <c r="D80" s="105"/>
      <c r="E80" s="106"/>
      <c r="F80" s="107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6"/>
    </row>
    <row r="81" ht="15.75" customHeight="1">
      <c r="A81" s="109"/>
      <c r="B81" s="104"/>
      <c r="C81" s="104"/>
      <c r="D81" s="105"/>
      <c r="E81" s="106"/>
      <c r="F81" s="107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6"/>
    </row>
    <row r="82" ht="15.75" customHeight="1">
      <c r="A82" s="109"/>
      <c r="B82" s="104"/>
      <c r="C82" s="104"/>
      <c r="D82" s="105"/>
      <c r="E82" s="106"/>
      <c r="F82" s="107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6"/>
    </row>
    <row r="83" ht="15.75" customHeight="1">
      <c r="A83" s="109"/>
      <c r="B83" s="104"/>
      <c r="C83" s="104"/>
      <c r="D83" s="105"/>
      <c r="E83" s="106"/>
      <c r="F83" s="107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6"/>
    </row>
    <row r="84" ht="15.75" customHeight="1">
      <c r="A84" s="109"/>
      <c r="B84" s="104"/>
      <c r="C84" s="104"/>
      <c r="D84" s="105"/>
      <c r="E84" s="106"/>
      <c r="F84" s="107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6"/>
    </row>
    <row r="85" ht="15.75" customHeight="1">
      <c r="A85" s="109"/>
      <c r="B85" s="104"/>
      <c r="C85" s="104"/>
      <c r="D85" s="105"/>
      <c r="E85" s="106"/>
      <c r="F85" s="107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6"/>
    </row>
    <row r="86" ht="15.75" customHeight="1">
      <c r="A86" s="109"/>
      <c r="B86" s="104"/>
      <c r="C86" s="104"/>
      <c r="D86" s="105"/>
      <c r="E86" s="106"/>
      <c r="F86" s="107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6"/>
    </row>
    <row r="87" ht="15.75" customHeight="1">
      <c r="A87" s="109"/>
      <c r="B87" s="104"/>
      <c r="C87" s="104"/>
      <c r="D87" s="105"/>
      <c r="E87" s="106"/>
      <c r="F87" s="107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6"/>
    </row>
    <row r="88" ht="15.75" customHeight="1">
      <c r="A88" s="109"/>
      <c r="B88" s="104"/>
      <c r="C88" s="104"/>
      <c r="D88" s="105"/>
      <c r="E88" s="106"/>
      <c r="F88" s="107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6"/>
    </row>
    <row r="89" ht="15.75" customHeight="1">
      <c r="A89" s="109"/>
      <c r="B89" s="104"/>
      <c r="C89" s="104"/>
      <c r="D89" s="105"/>
      <c r="E89" s="106"/>
      <c r="F89" s="107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6"/>
    </row>
    <row r="90" ht="15.75" customHeight="1">
      <c r="A90" s="109"/>
      <c r="B90" s="104"/>
      <c r="C90" s="104"/>
      <c r="D90" s="105"/>
      <c r="E90" s="106"/>
      <c r="F90" s="107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6"/>
    </row>
    <row r="91" ht="15.75" customHeight="1">
      <c r="A91" s="109"/>
      <c r="B91" s="104"/>
      <c r="C91" s="104"/>
      <c r="D91" s="105"/>
      <c r="E91" s="106"/>
      <c r="F91" s="107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6"/>
    </row>
    <row r="92" ht="15.75" customHeight="1">
      <c r="A92" s="109"/>
      <c r="B92" s="104"/>
      <c r="C92" s="104"/>
      <c r="D92" s="105"/>
      <c r="E92" s="106"/>
      <c r="F92" s="107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6"/>
    </row>
    <row r="93" ht="15.75" customHeight="1">
      <c r="A93" s="109"/>
      <c r="B93" s="104"/>
      <c r="C93" s="104"/>
      <c r="D93" s="105"/>
      <c r="E93" s="106"/>
      <c r="F93" s="107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6"/>
    </row>
    <row r="94" ht="15.75" customHeight="1">
      <c r="A94" s="109"/>
      <c r="B94" s="104"/>
      <c r="C94" s="104"/>
      <c r="D94" s="105"/>
      <c r="E94" s="106"/>
      <c r="F94" s="107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6"/>
    </row>
    <row r="95" ht="15.75" customHeight="1">
      <c r="A95" s="109"/>
      <c r="B95" s="104"/>
      <c r="C95" s="104"/>
      <c r="D95" s="105"/>
      <c r="E95" s="106"/>
      <c r="F95" s="107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6"/>
    </row>
    <row r="96" ht="15.75" customHeight="1">
      <c r="A96" s="109"/>
      <c r="B96" s="104"/>
      <c r="C96" s="104"/>
      <c r="D96" s="105"/>
      <c r="E96" s="106"/>
      <c r="F96" s="107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6"/>
    </row>
    <row r="97" ht="15.75" customHeight="1">
      <c r="A97" s="109"/>
      <c r="B97" s="104"/>
      <c r="C97" s="104"/>
      <c r="D97" s="105"/>
      <c r="E97" s="106"/>
      <c r="F97" s="107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6"/>
    </row>
    <row r="98" ht="15.75" customHeight="1">
      <c r="A98" s="109"/>
      <c r="B98" s="104"/>
      <c r="C98" s="104"/>
      <c r="D98" s="105"/>
      <c r="E98" s="106"/>
      <c r="F98" s="107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6"/>
    </row>
    <row r="99" ht="15.75" customHeight="1">
      <c r="A99" s="109"/>
      <c r="B99" s="104"/>
      <c r="C99" s="104"/>
      <c r="D99" s="105"/>
      <c r="E99" s="106"/>
      <c r="F99" s="107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6"/>
    </row>
    <row r="100" ht="15.75" customHeight="1">
      <c r="A100" s="109"/>
      <c r="B100" s="104"/>
      <c r="C100" s="104"/>
      <c r="D100" s="105"/>
      <c r="E100" s="106"/>
      <c r="F100" s="107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6"/>
    </row>
    <row r="101" ht="15.75" customHeight="1">
      <c r="A101" s="109"/>
      <c r="B101" s="104"/>
      <c r="C101" s="104"/>
      <c r="D101" s="105"/>
      <c r="E101" s="106"/>
      <c r="F101" s="107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6"/>
    </row>
    <row r="102" ht="15.75" customHeight="1">
      <c r="A102" s="109"/>
      <c r="B102" s="104"/>
      <c r="C102" s="104"/>
      <c r="D102" s="105"/>
      <c r="E102" s="106"/>
      <c r="F102" s="107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6"/>
    </row>
    <row r="103" ht="15.75" customHeight="1">
      <c r="A103" s="109"/>
      <c r="B103" s="104"/>
      <c r="C103" s="104"/>
      <c r="D103" s="105"/>
      <c r="E103" s="106"/>
      <c r="F103" s="107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6"/>
    </row>
    <row r="104" ht="15.75" customHeight="1">
      <c r="A104" s="109"/>
      <c r="B104" s="104"/>
      <c r="C104" s="104"/>
      <c r="D104" s="105"/>
      <c r="E104" s="106"/>
      <c r="F104" s="107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6"/>
    </row>
    <row r="105" ht="15.75" customHeight="1">
      <c r="A105" s="109"/>
      <c r="B105" s="104"/>
      <c r="C105" s="104"/>
      <c r="D105" s="105"/>
      <c r="E105" s="106"/>
      <c r="F105" s="107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6"/>
    </row>
    <row r="106" ht="15.75" customHeight="1">
      <c r="A106" s="109"/>
      <c r="B106" s="104"/>
      <c r="C106" s="104"/>
      <c r="D106" s="105"/>
      <c r="E106" s="106"/>
      <c r="F106" s="107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6"/>
    </row>
    <row r="107" ht="15.75" customHeight="1">
      <c r="A107" s="109"/>
      <c r="B107" s="104"/>
      <c r="C107" s="104"/>
      <c r="D107" s="105"/>
      <c r="E107" s="106"/>
      <c r="F107" s="107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6"/>
    </row>
    <row r="108" ht="15.75" customHeight="1">
      <c r="A108" s="109"/>
      <c r="B108" s="104"/>
      <c r="C108" s="104"/>
      <c r="D108" s="105"/>
      <c r="E108" s="106"/>
      <c r="F108" s="107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6"/>
    </row>
    <row r="109" ht="15.75" customHeight="1">
      <c r="A109" s="109"/>
      <c r="B109" s="104"/>
      <c r="C109" s="104"/>
      <c r="D109" s="105"/>
      <c r="E109" s="106"/>
      <c r="F109" s="107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6"/>
    </row>
    <row r="110" ht="15.75" customHeight="1">
      <c r="A110" s="109"/>
      <c r="B110" s="104"/>
      <c r="C110" s="104"/>
      <c r="D110" s="105"/>
      <c r="E110" s="106"/>
      <c r="F110" s="107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6"/>
    </row>
    <row r="111" ht="15.75" customHeight="1">
      <c r="A111" s="109"/>
      <c r="B111" s="104"/>
      <c r="C111" s="104"/>
      <c r="D111" s="105"/>
      <c r="E111" s="106"/>
      <c r="F111" s="107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6"/>
    </row>
    <row r="112" ht="15.75" customHeight="1">
      <c r="A112" s="109"/>
      <c r="B112" s="104"/>
      <c r="C112" s="104"/>
      <c r="D112" s="105"/>
      <c r="E112" s="106"/>
      <c r="F112" s="107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6"/>
    </row>
    <row r="113" ht="15.75" customHeight="1">
      <c r="A113" s="109"/>
      <c r="B113" s="104"/>
      <c r="C113" s="104"/>
      <c r="D113" s="105"/>
      <c r="E113" s="106"/>
      <c r="F113" s="107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6"/>
    </row>
    <row r="114" ht="15.75" customHeight="1">
      <c r="A114" s="109"/>
      <c r="B114" s="104"/>
      <c r="C114" s="104"/>
      <c r="D114" s="105"/>
      <c r="E114" s="106"/>
      <c r="F114" s="107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6"/>
    </row>
    <row r="115" ht="15.75" customHeight="1">
      <c r="A115" s="109"/>
      <c r="B115" s="104"/>
      <c r="C115" s="104"/>
      <c r="D115" s="105"/>
      <c r="E115" s="106"/>
      <c r="F115" s="107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6"/>
    </row>
    <row r="116" ht="15.75" customHeight="1">
      <c r="A116" s="109"/>
      <c r="B116" s="104"/>
      <c r="C116" s="104"/>
      <c r="D116" s="105"/>
      <c r="E116" s="106"/>
      <c r="F116" s="107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6"/>
    </row>
    <row r="117" ht="15.75" customHeight="1">
      <c r="A117" s="109"/>
      <c r="B117" s="104"/>
      <c r="C117" s="104"/>
      <c r="D117" s="105"/>
      <c r="E117" s="106"/>
      <c r="F117" s="107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6"/>
    </row>
    <row r="118" ht="15.75" customHeight="1">
      <c r="A118" s="109"/>
      <c r="B118" s="104"/>
      <c r="C118" s="104"/>
      <c r="D118" s="105"/>
      <c r="E118" s="106"/>
      <c r="F118" s="107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6"/>
    </row>
    <row r="119" ht="15.75" customHeight="1">
      <c r="A119" s="109"/>
      <c r="B119" s="104"/>
      <c r="C119" s="104"/>
      <c r="D119" s="105"/>
      <c r="E119" s="106"/>
      <c r="F119" s="107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6"/>
    </row>
    <row r="120" ht="15.75" customHeight="1">
      <c r="A120" s="109"/>
      <c r="B120" s="104"/>
      <c r="C120" s="104"/>
      <c r="D120" s="105"/>
      <c r="E120" s="106"/>
      <c r="F120" s="107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6"/>
    </row>
    <row r="121" ht="15.75" customHeight="1">
      <c r="A121" s="109"/>
      <c r="B121" s="104"/>
      <c r="C121" s="104"/>
      <c r="D121" s="105"/>
      <c r="E121" s="106"/>
      <c r="F121" s="107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6"/>
    </row>
    <row r="122" ht="15.75" customHeight="1">
      <c r="A122" s="109"/>
      <c r="B122" s="104"/>
      <c r="C122" s="104"/>
      <c r="D122" s="105"/>
      <c r="E122" s="106"/>
      <c r="F122" s="107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6"/>
    </row>
    <row r="123" ht="15.75" customHeight="1">
      <c r="A123" s="109"/>
      <c r="B123" s="104"/>
      <c r="C123" s="104"/>
      <c r="D123" s="105"/>
      <c r="E123" s="106"/>
      <c r="F123" s="107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6"/>
    </row>
    <row r="124" ht="15.75" customHeight="1">
      <c r="A124" s="109"/>
      <c r="B124" s="104"/>
      <c r="C124" s="104"/>
      <c r="D124" s="105"/>
      <c r="E124" s="106"/>
      <c r="F124" s="107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6"/>
    </row>
    <row r="125" ht="15.75" customHeight="1">
      <c r="A125" s="109"/>
      <c r="B125" s="104"/>
      <c r="C125" s="104"/>
      <c r="D125" s="105"/>
      <c r="E125" s="106"/>
      <c r="F125" s="107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6"/>
    </row>
    <row r="126" ht="15.75" customHeight="1">
      <c r="A126" s="109"/>
      <c r="B126" s="104"/>
      <c r="C126" s="104"/>
      <c r="D126" s="105"/>
      <c r="E126" s="106"/>
      <c r="F126" s="107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6"/>
    </row>
    <row r="127" ht="15.75" customHeight="1">
      <c r="A127" s="109"/>
      <c r="B127" s="104"/>
      <c r="C127" s="104"/>
      <c r="D127" s="105"/>
      <c r="E127" s="106"/>
      <c r="F127" s="107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6"/>
    </row>
    <row r="128" ht="15.75" customHeight="1">
      <c r="A128" s="109"/>
      <c r="B128" s="104"/>
      <c r="C128" s="104"/>
      <c r="D128" s="105"/>
      <c r="E128" s="106"/>
      <c r="F128" s="107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6"/>
    </row>
    <row r="129" ht="15.75" customHeight="1">
      <c r="A129" s="109"/>
      <c r="B129" s="104"/>
      <c r="C129" s="104"/>
      <c r="D129" s="105"/>
      <c r="E129" s="106"/>
      <c r="F129" s="107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6"/>
    </row>
    <row r="130" ht="15.75" customHeight="1">
      <c r="A130" s="109"/>
      <c r="B130" s="104"/>
      <c r="C130" s="104"/>
      <c r="D130" s="105"/>
      <c r="E130" s="106"/>
      <c r="F130" s="107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6"/>
    </row>
    <row r="131" ht="15.75" customHeight="1">
      <c r="A131" s="109"/>
      <c r="B131" s="104"/>
      <c r="C131" s="104"/>
      <c r="D131" s="105"/>
      <c r="E131" s="106"/>
      <c r="F131" s="107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6"/>
    </row>
    <row r="132" ht="15.75" customHeight="1">
      <c r="A132" s="109"/>
      <c r="B132" s="104"/>
      <c r="C132" s="104"/>
      <c r="D132" s="105"/>
      <c r="E132" s="106"/>
      <c r="F132" s="107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6"/>
    </row>
    <row r="133" ht="15.75" customHeight="1">
      <c r="A133" s="109"/>
      <c r="B133" s="104"/>
      <c r="C133" s="104"/>
      <c r="D133" s="105"/>
      <c r="E133" s="106"/>
      <c r="F133" s="107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6"/>
    </row>
    <row r="134" ht="15.75" customHeight="1">
      <c r="A134" s="109"/>
      <c r="B134" s="104"/>
      <c r="C134" s="104"/>
      <c r="D134" s="105"/>
      <c r="E134" s="106"/>
      <c r="F134" s="107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6"/>
    </row>
    <row r="135" ht="15.75" customHeight="1">
      <c r="A135" s="109"/>
      <c r="B135" s="104"/>
      <c r="C135" s="104"/>
      <c r="D135" s="105"/>
      <c r="E135" s="106"/>
      <c r="F135" s="107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6"/>
    </row>
    <row r="136" ht="15.75" customHeight="1">
      <c r="A136" s="109"/>
      <c r="B136" s="104"/>
      <c r="C136" s="104"/>
      <c r="D136" s="105"/>
      <c r="E136" s="106"/>
      <c r="F136" s="107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6"/>
    </row>
    <row r="137" ht="15.75" customHeight="1">
      <c r="A137" s="109"/>
      <c r="B137" s="104"/>
      <c r="C137" s="104"/>
      <c r="D137" s="105"/>
      <c r="E137" s="106"/>
      <c r="F137" s="107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6"/>
    </row>
    <row r="138" ht="15.75" customHeight="1">
      <c r="A138" s="109"/>
      <c r="B138" s="104"/>
      <c r="C138" s="104"/>
      <c r="D138" s="105"/>
      <c r="E138" s="106"/>
      <c r="F138" s="107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6"/>
    </row>
    <row r="139" ht="15.75" customHeight="1">
      <c r="A139" s="109"/>
      <c r="B139" s="104"/>
      <c r="C139" s="104"/>
      <c r="D139" s="105"/>
      <c r="E139" s="106"/>
      <c r="F139" s="107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6"/>
    </row>
    <row r="140" ht="15.75" customHeight="1">
      <c r="A140" s="109"/>
      <c r="B140" s="104"/>
      <c r="C140" s="104"/>
      <c r="D140" s="105"/>
      <c r="E140" s="106"/>
      <c r="F140" s="107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6"/>
    </row>
    <row r="141" ht="15.75" customHeight="1">
      <c r="A141" s="109"/>
      <c r="B141" s="104"/>
      <c r="C141" s="104"/>
      <c r="D141" s="105"/>
      <c r="E141" s="106"/>
      <c r="F141" s="107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6"/>
    </row>
    <row r="142" ht="15.75" customHeight="1">
      <c r="A142" s="109"/>
      <c r="B142" s="104"/>
      <c r="C142" s="104"/>
      <c r="D142" s="105"/>
      <c r="E142" s="106"/>
      <c r="F142" s="107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6"/>
    </row>
    <row r="143" ht="15.75" customHeight="1">
      <c r="A143" s="109"/>
      <c r="B143" s="104"/>
      <c r="C143" s="104"/>
      <c r="D143" s="105"/>
      <c r="E143" s="106"/>
      <c r="F143" s="107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6"/>
    </row>
    <row r="144" ht="15.75" customHeight="1">
      <c r="A144" s="109"/>
      <c r="B144" s="104"/>
      <c r="C144" s="104"/>
      <c r="D144" s="105"/>
      <c r="E144" s="106"/>
      <c r="F144" s="107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6"/>
    </row>
    <row r="145" ht="15.75" customHeight="1">
      <c r="A145" s="109"/>
      <c r="B145" s="104"/>
      <c r="C145" s="104"/>
      <c r="D145" s="105"/>
      <c r="E145" s="106"/>
      <c r="F145" s="107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6"/>
    </row>
    <row r="146" ht="15.75" customHeight="1">
      <c r="A146" s="109"/>
      <c r="B146" s="104"/>
      <c r="C146" s="104"/>
      <c r="D146" s="105"/>
      <c r="E146" s="106"/>
      <c r="F146" s="107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6"/>
    </row>
    <row r="147" ht="15.75" customHeight="1">
      <c r="A147" s="109"/>
      <c r="B147" s="104"/>
      <c r="C147" s="104"/>
      <c r="D147" s="105"/>
      <c r="E147" s="106"/>
      <c r="F147" s="107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6"/>
    </row>
    <row r="148" ht="15.75" customHeight="1">
      <c r="A148" s="109"/>
      <c r="B148" s="104"/>
      <c r="C148" s="104"/>
      <c r="D148" s="105"/>
      <c r="E148" s="106"/>
      <c r="F148" s="107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6"/>
    </row>
    <row r="149" ht="15.75" customHeight="1">
      <c r="A149" s="109"/>
      <c r="B149" s="104"/>
      <c r="C149" s="104"/>
      <c r="D149" s="105"/>
      <c r="E149" s="106"/>
      <c r="F149" s="107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6"/>
    </row>
    <row r="150" ht="15.75" customHeight="1">
      <c r="A150" s="109"/>
      <c r="B150" s="104"/>
      <c r="C150" s="104"/>
      <c r="D150" s="105"/>
      <c r="E150" s="106"/>
      <c r="F150" s="107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6"/>
    </row>
    <row r="151" ht="15.75" customHeight="1">
      <c r="A151" s="109"/>
      <c r="B151" s="104"/>
      <c r="C151" s="104"/>
      <c r="D151" s="105"/>
      <c r="E151" s="106"/>
      <c r="F151" s="107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6"/>
    </row>
    <row r="152" ht="15.75" customHeight="1">
      <c r="A152" s="109"/>
      <c r="B152" s="104"/>
      <c r="C152" s="104"/>
      <c r="D152" s="105"/>
      <c r="E152" s="106"/>
      <c r="F152" s="107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6"/>
    </row>
    <row r="153" ht="15.75" customHeight="1">
      <c r="A153" s="109"/>
      <c r="B153" s="104"/>
      <c r="C153" s="104"/>
      <c r="D153" s="105"/>
      <c r="E153" s="106"/>
      <c r="F153" s="107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6"/>
    </row>
    <row r="154" ht="15.75" customHeight="1">
      <c r="A154" s="109"/>
      <c r="B154" s="104"/>
      <c r="C154" s="104"/>
      <c r="D154" s="105"/>
      <c r="E154" s="106"/>
      <c r="F154" s="107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6"/>
    </row>
    <row r="155" ht="15.75" customHeight="1">
      <c r="A155" s="109"/>
      <c r="B155" s="104"/>
      <c r="C155" s="104"/>
      <c r="D155" s="105"/>
      <c r="E155" s="106"/>
      <c r="F155" s="107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6"/>
    </row>
    <row r="156" ht="15.75" customHeight="1">
      <c r="A156" s="109"/>
      <c r="B156" s="104"/>
      <c r="C156" s="104"/>
      <c r="D156" s="105"/>
      <c r="E156" s="106"/>
      <c r="F156" s="107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6"/>
    </row>
    <row r="157" ht="15.75" customHeight="1">
      <c r="A157" s="109"/>
      <c r="B157" s="104"/>
      <c r="C157" s="104"/>
      <c r="D157" s="105"/>
      <c r="E157" s="106"/>
      <c r="F157" s="107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6"/>
    </row>
    <row r="158" ht="15.75" customHeight="1">
      <c r="A158" s="109"/>
      <c r="B158" s="104"/>
      <c r="C158" s="104"/>
      <c r="D158" s="105"/>
      <c r="E158" s="106"/>
      <c r="F158" s="107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6"/>
    </row>
    <row r="159" ht="15.75" customHeight="1">
      <c r="A159" s="109"/>
      <c r="B159" s="104"/>
      <c r="C159" s="104"/>
      <c r="D159" s="105"/>
      <c r="E159" s="106"/>
      <c r="F159" s="107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6"/>
    </row>
    <row r="160" ht="15.75" customHeight="1">
      <c r="A160" s="109"/>
      <c r="B160" s="104"/>
      <c r="C160" s="104"/>
      <c r="D160" s="105"/>
      <c r="E160" s="106"/>
      <c r="F160" s="107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6"/>
    </row>
    <row r="161" ht="15.75" customHeight="1">
      <c r="A161" s="109"/>
      <c r="B161" s="104"/>
      <c r="C161" s="104"/>
      <c r="D161" s="105"/>
      <c r="E161" s="106"/>
      <c r="F161" s="107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6"/>
    </row>
    <row r="162" ht="15.75" customHeight="1">
      <c r="A162" s="109"/>
      <c r="B162" s="104"/>
      <c r="C162" s="104"/>
      <c r="D162" s="105"/>
      <c r="E162" s="106"/>
      <c r="F162" s="107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6"/>
    </row>
    <row r="163" ht="15.75" customHeight="1">
      <c r="A163" s="109"/>
      <c r="B163" s="104"/>
      <c r="C163" s="104"/>
      <c r="D163" s="105"/>
      <c r="E163" s="106"/>
      <c r="F163" s="107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6"/>
    </row>
    <row r="164" ht="15.75" customHeight="1">
      <c r="A164" s="109"/>
      <c r="B164" s="104"/>
      <c r="C164" s="104"/>
      <c r="D164" s="105"/>
      <c r="E164" s="106"/>
      <c r="F164" s="107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6"/>
    </row>
    <row r="165" ht="15.75" customHeight="1">
      <c r="A165" s="109"/>
      <c r="B165" s="104"/>
      <c r="C165" s="104"/>
      <c r="D165" s="105"/>
      <c r="E165" s="106"/>
      <c r="F165" s="107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6"/>
    </row>
    <row r="166" ht="15.75" customHeight="1">
      <c r="A166" s="109"/>
      <c r="B166" s="104"/>
      <c r="C166" s="104"/>
      <c r="D166" s="105"/>
      <c r="E166" s="106"/>
      <c r="F166" s="107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6"/>
    </row>
    <row r="167" ht="15.75" customHeight="1">
      <c r="A167" s="109"/>
      <c r="B167" s="104"/>
      <c r="C167" s="104"/>
      <c r="D167" s="105"/>
      <c r="E167" s="106"/>
      <c r="F167" s="107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6"/>
    </row>
    <row r="168" ht="15.75" customHeight="1">
      <c r="A168" s="109"/>
      <c r="B168" s="104"/>
      <c r="C168" s="104"/>
      <c r="D168" s="105"/>
      <c r="E168" s="106"/>
      <c r="F168" s="107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6"/>
    </row>
    <row r="169" ht="15.75" customHeight="1">
      <c r="A169" s="109"/>
      <c r="B169" s="104"/>
      <c r="C169" s="104"/>
      <c r="D169" s="105"/>
      <c r="E169" s="106"/>
      <c r="F169" s="107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6"/>
    </row>
    <row r="170" ht="15.75" customHeight="1">
      <c r="A170" s="109"/>
      <c r="B170" s="104"/>
      <c r="C170" s="104"/>
      <c r="D170" s="105"/>
      <c r="E170" s="106"/>
      <c r="F170" s="107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6"/>
    </row>
    <row r="171" ht="15.75" customHeight="1">
      <c r="A171" s="109"/>
      <c r="B171" s="104"/>
      <c r="C171" s="104"/>
      <c r="D171" s="105"/>
      <c r="E171" s="106"/>
      <c r="F171" s="107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6"/>
    </row>
    <row r="172" ht="15.75" customHeight="1">
      <c r="A172" s="109"/>
      <c r="B172" s="104"/>
      <c r="C172" s="104"/>
      <c r="D172" s="105"/>
      <c r="E172" s="106"/>
      <c r="F172" s="107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6"/>
    </row>
    <row r="173" ht="15.75" customHeight="1">
      <c r="A173" s="109"/>
      <c r="B173" s="104"/>
      <c r="C173" s="104"/>
      <c r="D173" s="105"/>
      <c r="E173" s="106"/>
      <c r="F173" s="107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6"/>
    </row>
    <row r="174" ht="15.75" customHeight="1">
      <c r="A174" s="109"/>
      <c r="B174" s="104"/>
      <c r="C174" s="104"/>
      <c r="D174" s="105"/>
      <c r="E174" s="106"/>
      <c r="F174" s="107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6"/>
    </row>
    <row r="175" ht="15.75" customHeight="1">
      <c r="A175" s="109"/>
      <c r="B175" s="104"/>
      <c r="C175" s="104"/>
      <c r="D175" s="105"/>
      <c r="E175" s="106"/>
      <c r="F175" s="107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6"/>
    </row>
    <row r="176" ht="15.75" customHeight="1">
      <c r="A176" s="109"/>
      <c r="B176" s="104"/>
      <c r="C176" s="104"/>
      <c r="D176" s="105"/>
      <c r="E176" s="106"/>
      <c r="F176" s="107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6"/>
    </row>
    <row r="177" ht="15.75" customHeight="1">
      <c r="A177" s="109"/>
      <c r="B177" s="104"/>
      <c r="C177" s="104"/>
      <c r="D177" s="105"/>
      <c r="E177" s="106"/>
      <c r="F177" s="107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6"/>
    </row>
    <row r="178" ht="15.75" customHeight="1">
      <c r="A178" s="109"/>
      <c r="B178" s="104"/>
      <c r="C178" s="104"/>
      <c r="D178" s="105"/>
      <c r="E178" s="106"/>
      <c r="F178" s="107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6"/>
    </row>
    <row r="179" ht="15.75" customHeight="1">
      <c r="A179" s="109"/>
      <c r="B179" s="104"/>
      <c r="C179" s="104"/>
      <c r="D179" s="105"/>
      <c r="E179" s="106"/>
      <c r="F179" s="107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6"/>
    </row>
    <row r="180" ht="15.75" customHeight="1">
      <c r="A180" s="109"/>
      <c r="B180" s="104"/>
      <c r="C180" s="104"/>
      <c r="D180" s="105"/>
      <c r="E180" s="106"/>
      <c r="F180" s="107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6"/>
    </row>
    <row r="181" ht="15.75" customHeight="1">
      <c r="A181" s="109"/>
      <c r="B181" s="104"/>
      <c r="C181" s="104"/>
      <c r="D181" s="105"/>
      <c r="E181" s="106"/>
      <c r="F181" s="107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6"/>
    </row>
    <row r="182" ht="15.75" customHeight="1">
      <c r="A182" s="109"/>
      <c r="B182" s="104"/>
      <c r="C182" s="104"/>
      <c r="D182" s="105"/>
      <c r="E182" s="106"/>
      <c r="F182" s="107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6"/>
    </row>
    <row r="183" ht="15.75" customHeight="1">
      <c r="A183" s="109"/>
      <c r="B183" s="104"/>
      <c r="C183" s="104"/>
      <c r="D183" s="105"/>
      <c r="E183" s="106"/>
      <c r="F183" s="107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6"/>
    </row>
    <row r="184" ht="15.75" customHeight="1">
      <c r="A184" s="109"/>
      <c r="B184" s="104"/>
      <c r="C184" s="104"/>
      <c r="D184" s="105"/>
      <c r="E184" s="106"/>
      <c r="F184" s="107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6"/>
    </row>
    <row r="185" ht="15.75" customHeight="1">
      <c r="A185" s="109"/>
      <c r="B185" s="104"/>
      <c r="C185" s="104"/>
      <c r="D185" s="105"/>
      <c r="E185" s="106"/>
      <c r="F185" s="107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6"/>
    </row>
    <row r="186" ht="15.75" customHeight="1">
      <c r="A186" s="109"/>
      <c r="B186" s="104"/>
      <c r="C186" s="104"/>
      <c r="D186" s="105"/>
      <c r="E186" s="106"/>
      <c r="F186" s="107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6"/>
    </row>
    <row r="187" ht="15.75" customHeight="1">
      <c r="A187" s="109"/>
      <c r="B187" s="104"/>
      <c r="C187" s="104"/>
      <c r="D187" s="105"/>
      <c r="E187" s="106"/>
      <c r="F187" s="107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6"/>
    </row>
    <row r="188" ht="15.75" customHeight="1">
      <c r="A188" s="109"/>
      <c r="B188" s="104"/>
      <c r="C188" s="104"/>
      <c r="D188" s="105"/>
      <c r="E188" s="106"/>
      <c r="F188" s="107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6"/>
    </row>
    <row r="189" ht="15.75" customHeight="1">
      <c r="A189" s="109"/>
      <c r="B189" s="104"/>
      <c r="C189" s="104"/>
      <c r="D189" s="105"/>
      <c r="E189" s="106"/>
      <c r="F189" s="107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6"/>
    </row>
    <row r="190" ht="15.75" customHeight="1">
      <c r="A190" s="109"/>
      <c r="B190" s="104"/>
      <c r="C190" s="104"/>
      <c r="D190" s="105"/>
      <c r="E190" s="106"/>
      <c r="F190" s="107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6"/>
    </row>
    <row r="191" ht="15.75" customHeight="1">
      <c r="A191" s="109"/>
      <c r="B191" s="104"/>
      <c r="C191" s="104"/>
      <c r="D191" s="105"/>
      <c r="E191" s="106"/>
      <c r="F191" s="107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6"/>
    </row>
    <row r="192" ht="15.75" customHeight="1">
      <c r="A192" s="109"/>
      <c r="B192" s="104"/>
      <c r="C192" s="104"/>
      <c r="D192" s="105"/>
      <c r="E192" s="106"/>
      <c r="F192" s="107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6"/>
    </row>
    <row r="193" ht="15.75" customHeight="1">
      <c r="A193" s="109"/>
      <c r="B193" s="104"/>
      <c r="C193" s="104"/>
      <c r="D193" s="105"/>
      <c r="E193" s="106"/>
      <c r="F193" s="107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6"/>
    </row>
    <row r="194" ht="15.75" customHeight="1">
      <c r="A194" s="109"/>
      <c r="B194" s="104"/>
      <c r="C194" s="104"/>
      <c r="D194" s="105"/>
      <c r="E194" s="106"/>
      <c r="F194" s="107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6"/>
    </row>
    <row r="195" ht="15.75" customHeight="1">
      <c r="A195" s="109"/>
      <c r="B195" s="104"/>
      <c r="C195" s="104"/>
      <c r="D195" s="105"/>
      <c r="E195" s="106"/>
      <c r="F195" s="107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6"/>
    </row>
    <row r="196" ht="15.75" customHeight="1">
      <c r="A196" s="109"/>
      <c r="B196" s="104"/>
      <c r="C196" s="104"/>
      <c r="D196" s="105"/>
      <c r="E196" s="106"/>
      <c r="F196" s="107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6"/>
    </row>
    <row r="197" ht="15.75" customHeight="1">
      <c r="A197" s="109"/>
      <c r="B197" s="104"/>
      <c r="C197" s="104"/>
      <c r="D197" s="105"/>
      <c r="E197" s="106"/>
      <c r="F197" s="107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6"/>
    </row>
    <row r="198" ht="15.75" customHeight="1">
      <c r="A198" s="109"/>
      <c r="B198" s="104"/>
      <c r="C198" s="104"/>
      <c r="D198" s="105"/>
      <c r="E198" s="106"/>
      <c r="F198" s="107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6"/>
    </row>
    <row r="199" ht="15.75" customHeight="1">
      <c r="A199" s="109"/>
      <c r="B199" s="104"/>
      <c r="C199" s="104"/>
      <c r="D199" s="105"/>
      <c r="E199" s="106"/>
      <c r="F199" s="107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6"/>
    </row>
    <row r="200" ht="15.75" customHeight="1">
      <c r="A200" s="109"/>
      <c r="B200" s="104"/>
      <c r="C200" s="104"/>
      <c r="D200" s="105"/>
      <c r="E200" s="106"/>
      <c r="F200" s="107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6"/>
    </row>
    <row r="201" ht="15.75" customHeight="1">
      <c r="A201" s="109"/>
      <c r="B201" s="104"/>
      <c r="C201" s="104"/>
      <c r="D201" s="105"/>
      <c r="E201" s="106"/>
      <c r="F201" s="107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6"/>
    </row>
    <row r="202" ht="15.75" customHeight="1">
      <c r="A202" s="109"/>
      <c r="B202" s="104"/>
      <c r="C202" s="104"/>
      <c r="D202" s="105"/>
      <c r="E202" s="106"/>
      <c r="F202" s="107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6"/>
    </row>
    <row r="203" ht="15.75" customHeight="1">
      <c r="A203" s="109"/>
      <c r="B203" s="104"/>
      <c r="C203" s="104"/>
      <c r="D203" s="105"/>
      <c r="E203" s="106"/>
      <c r="F203" s="107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6"/>
    </row>
    <row r="204" ht="15.75" customHeight="1">
      <c r="A204" s="109"/>
      <c r="B204" s="104"/>
      <c r="C204" s="104"/>
      <c r="D204" s="105"/>
      <c r="E204" s="106"/>
      <c r="F204" s="107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6"/>
    </row>
    <row r="205" ht="15.75" customHeight="1">
      <c r="A205" s="109"/>
      <c r="B205" s="104"/>
      <c r="C205" s="104"/>
      <c r="D205" s="105"/>
      <c r="E205" s="106"/>
      <c r="F205" s="107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6"/>
    </row>
    <row r="206" ht="15.75" customHeight="1">
      <c r="A206" s="109"/>
      <c r="B206" s="104"/>
      <c r="C206" s="104"/>
      <c r="D206" s="105"/>
      <c r="E206" s="106"/>
      <c r="F206" s="107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6"/>
    </row>
    <row r="207" ht="15.75" customHeight="1">
      <c r="A207" s="109"/>
      <c r="B207" s="104"/>
      <c r="C207" s="104"/>
      <c r="D207" s="105"/>
      <c r="E207" s="106"/>
      <c r="F207" s="107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6"/>
    </row>
    <row r="208" ht="15.75" customHeight="1">
      <c r="A208" s="109"/>
      <c r="B208" s="104"/>
      <c r="C208" s="104"/>
      <c r="D208" s="105"/>
      <c r="E208" s="106"/>
      <c r="F208" s="107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6"/>
    </row>
    <row r="209" ht="15.75" customHeight="1">
      <c r="A209" s="109"/>
      <c r="B209" s="104"/>
      <c r="C209" s="104"/>
      <c r="D209" s="105"/>
      <c r="E209" s="106"/>
      <c r="F209" s="107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6"/>
    </row>
    <row r="210" ht="15.75" customHeight="1">
      <c r="A210" s="109"/>
      <c r="B210" s="104"/>
      <c r="C210" s="104"/>
      <c r="D210" s="105"/>
      <c r="E210" s="106"/>
      <c r="F210" s="107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6"/>
    </row>
    <row r="211" ht="15.75" customHeight="1">
      <c r="A211" s="109"/>
      <c r="B211" s="104"/>
      <c r="C211" s="104"/>
      <c r="D211" s="105"/>
      <c r="E211" s="106"/>
      <c r="F211" s="107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6"/>
    </row>
    <row r="212" ht="15.75" customHeight="1">
      <c r="A212" s="109"/>
      <c r="B212" s="104"/>
      <c r="C212" s="104"/>
      <c r="D212" s="105"/>
      <c r="E212" s="106"/>
      <c r="F212" s="107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6"/>
    </row>
    <row r="213" ht="15.75" customHeight="1">
      <c r="A213" s="109"/>
      <c r="B213" s="104"/>
      <c r="C213" s="104"/>
      <c r="D213" s="105"/>
      <c r="E213" s="106"/>
      <c r="F213" s="107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6"/>
    </row>
    <row r="214" ht="15.75" customHeight="1">
      <c r="A214" s="109"/>
      <c r="B214" s="104"/>
      <c r="C214" s="104"/>
      <c r="D214" s="105"/>
      <c r="E214" s="106"/>
      <c r="F214" s="107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6"/>
    </row>
    <row r="215" ht="15.75" customHeight="1">
      <c r="A215" s="109"/>
      <c r="B215" s="104"/>
      <c r="C215" s="104"/>
      <c r="D215" s="105"/>
      <c r="E215" s="106"/>
      <c r="F215" s="107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6"/>
    </row>
    <row r="216" ht="15.75" customHeight="1">
      <c r="A216" s="109"/>
      <c r="B216" s="104"/>
      <c r="C216" s="104"/>
      <c r="D216" s="105"/>
      <c r="E216" s="106"/>
      <c r="F216" s="107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6"/>
    </row>
    <row r="217" ht="15.75" customHeight="1">
      <c r="A217" s="109"/>
      <c r="B217" s="104"/>
      <c r="C217" s="104"/>
      <c r="D217" s="105"/>
      <c r="E217" s="106"/>
      <c r="F217" s="107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6"/>
    </row>
    <row r="218" ht="15.75" customHeight="1">
      <c r="A218" s="109"/>
      <c r="B218" s="104"/>
      <c r="C218" s="104"/>
      <c r="D218" s="105"/>
      <c r="E218" s="106"/>
      <c r="F218" s="107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6"/>
    </row>
    <row r="219" ht="15.75" customHeight="1">
      <c r="A219" s="109"/>
      <c r="B219" s="104"/>
      <c r="C219" s="104"/>
      <c r="D219" s="105"/>
      <c r="E219" s="106"/>
      <c r="F219" s="107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6"/>
    </row>
    <row r="220" ht="15.75" customHeight="1">
      <c r="A220" s="109"/>
      <c r="B220" s="104"/>
      <c r="C220" s="104"/>
      <c r="D220" s="105"/>
      <c r="E220" s="106"/>
      <c r="F220" s="107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6"/>
    </row>
    <row r="221" ht="15.75" customHeight="1">
      <c r="A221" s="109"/>
      <c r="B221" s="104"/>
      <c r="C221" s="104"/>
      <c r="D221" s="105"/>
      <c r="E221" s="106"/>
      <c r="F221" s="107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6"/>
    </row>
    <row r="222" ht="15.75" customHeight="1">
      <c r="A222" s="109"/>
      <c r="B222" s="104"/>
      <c r="C222" s="104"/>
      <c r="D222" s="105"/>
      <c r="E222" s="106"/>
      <c r="F222" s="107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6"/>
    </row>
    <row r="223" ht="15.75" customHeight="1">
      <c r="A223" s="109"/>
      <c r="B223" s="104"/>
      <c r="C223" s="104"/>
      <c r="D223" s="105"/>
      <c r="E223" s="106"/>
      <c r="F223" s="107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6"/>
    </row>
    <row r="224" ht="15.75" customHeight="1">
      <c r="A224" s="109"/>
      <c r="B224" s="104"/>
      <c r="C224" s="104"/>
      <c r="D224" s="105"/>
      <c r="E224" s="106"/>
      <c r="F224" s="107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6"/>
    </row>
    <row r="225" ht="15.75" customHeight="1">
      <c r="A225" s="109"/>
      <c r="B225" s="104"/>
      <c r="C225" s="104"/>
      <c r="D225" s="105"/>
      <c r="E225" s="106"/>
      <c r="F225" s="107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6"/>
    </row>
    <row r="226" ht="15.75" customHeight="1">
      <c r="A226" s="109"/>
      <c r="B226" s="104"/>
      <c r="C226" s="104"/>
      <c r="D226" s="105"/>
      <c r="E226" s="106"/>
      <c r="F226" s="107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6"/>
    </row>
    <row r="227" ht="15.75" customHeight="1">
      <c r="A227" s="109"/>
      <c r="B227" s="104"/>
      <c r="C227" s="104"/>
      <c r="D227" s="105"/>
      <c r="E227" s="106"/>
      <c r="F227" s="107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6"/>
    </row>
    <row r="228" ht="15.75" customHeight="1">
      <c r="A228" s="109"/>
      <c r="B228" s="104"/>
      <c r="C228" s="104"/>
      <c r="D228" s="105"/>
      <c r="E228" s="106"/>
      <c r="F228" s="107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6"/>
    </row>
    <row r="229" ht="15.75" customHeight="1">
      <c r="A229" s="109"/>
      <c r="B229" s="104"/>
      <c r="C229" s="104"/>
      <c r="D229" s="105"/>
      <c r="E229" s="106"/>
      <c r="F229" s="107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6"/>
    </row>
    <row r="230" ht="15.75" customHeight="1">
      <c r="A230" s="109"/>
      <c r="B230" s="104"/>
      <c r="C230" s="104"/>
      <c r="D230" s="105"/>
      <c r="E230" s="106"/>
      <c r="F230" s="107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6"/>
    </row>
    <row r="231" ht="15.75" customHeight="1">
      <c r="A231" s="109"/>
      <c r="B231" s="104"/>
      <c r="C231" s="104"/>
      <c r="D231" s="105"/>
      <c r="E231" s="106"/>
      <c r="F231" s="107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6"/>
    </row>
    <row r="232" ht="15.75" customHeight="1">
      <c r="A232" s="109"/>
      <c r="B232" s="104"/>
      <c r="C232" s="104"/>
      <c r="D232" s="105"/>
      <c r="E232" s="106"/>
      <c r="F232" s="107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6"/>
    </row>
    <row r="233" ht="15.75" customHeight="1">
      <c r="A233" s="109"/>
      <c r="B233" s="104"/>
      <c r="C233" s="104"/>
      <c r="D233" s="105"/>
      <c r="E233" s="106"/>
      <c r="F233" s="107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6"/>
    </row>
    <row r="234" ht="15.75" customHeight="1">
      <c r="A234" s="109"/>
      <c r="B234" s="104"/>
      <c r="C234" s="104"/>
      <c r="D234" s="105"/>
      <c r="E234" s="106"/>
      <c r="F234" s="107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6"/>
    </row>
    <row r="235" ht="15.75" customHeight="1">
      <c r="A235" s="109"/>
      <c r="B235" s="104"/>
      <c r="C235" s="104"/>
      <c r="D235" s="105"/>
      <c r="E235" s="106"/>
      <c r="F235" s="107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6"/>
    </row>
    <row r="236" ht="15.75" customHeight="1">
      <c r="A236" s="109"/>
      <c r="B236" s="104"/>
      <c r="C236" s="104"/>
      <c r="D236" s="105"/>
      <c r="E236" s="106"/>
      <c r="F236" s="107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6"/>
    </row>
    <row r="237" ht="15.75" customHeight="1">
      <c r="A237" s="109"/>
      <c r="B237" s="104"/>
      <c r="C237" s="104"/>
      <c r="D237" s="105"/>
      <c r="E237" s="106"/>
      <c r="F237" s="107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6"/>
    </row>
    <row r="238" ht="15.75" customHeight="1">
      <c r="A238" s="109"/>
      <c r="B238" s="104"/>
      <c r="C238" s="104"/>
      <c r="D238" s="105"/>
      <c r="E238" s="106"/>
      <c r="F238" s="107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6"/>
    </row>
    <row r="239" ht="15.75" customHeight="1">
      <c r="A239" s="109"/>
      <c r="B239" s="104"/>
      <c r="C239" s="104"/>
      <c r="D239" s="105"/>
      <c r="E239" s="106"/>
      <c r="F239" s="107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6"/>
    </row>
    <row r="240" ht="15.75" customHeight="1">
      <c r="A240" s="109"/>
      <c r="B240" s="104"/>
      <c r="C240" s="104"/>
      <c r="D240" s="105"/>
      <c r="E240" s="106"/>
      <c r="F240" s="107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6"/>
    </row>
    <row r="241" ht="15.75" customHeight="1">
      <c r="A241" s="109"/>
      <c r="B241" s="104"/>
      <c r="C241" s="104"/>
      <c r="D241" s="105"/>
      <c r="E241" s="106"/>
      <c r="F241" s="107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6"/>
    </row>
    <row r="242" ht="15.75" customHeight="1">
      <c r="A242" s="109"/>
      <c r="B242" s="104"/>
      <c r="C242" s="104"/>
      <c r="D242" s="105"/>
      <c r="E242" s="106"/>
      <c r="F242" s="107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6"/>
    </row>
    <row r="243" ht="15.75" customHeight="1">
      <c r="A243" s="109"/>
      <c r="B243" s="104"/>
      <c r="C243" s="104"/>
      <c r="D243" s="105"/>
      <c r="E243" s="106"/>
      <c r="F243" s="107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6"/>
    </row>
    <row r="244" ht="15.75" customHeight="1">
      <c r="A244" s="109"/>
      <c r="B244" s="104"/>
      <c r="C244" s="104"/>
      <c r="D244" s="105"/>
      <c r="E244" s="106"/>
      <c r="F244" s="107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6"/>
    </row>
    <row r="245" ht="15.75" customHeight="1">
      <c r="A245" s="109"/>
      <c r="B245" s="104"/>
      <c r="C245" s="104"/>
      <c r="D245" s="105"/>
      <c r="E245" s="106"/>
      <c r="F245" s="107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6"/>
    </row>
    <row r="246" ht="15.75" customHeight="1">
      <c r="A246" s="109"/>
      <c r="B246" s="104"/>
      <c r="C246" s="104"/>
      <c r="D246" s="105"/>
      <c r="E246" s="106"/>
      <c r="F246" s="107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6"/>
    </row>
    <row r="247" ht="15.75" customHeight="1">
      <c r="A247" s="109"/>
      <c r="B247" s="104"/>
      <c r="C247" s="104"/>
      <c r="D247" s="105"/>
      <c r="E247" s="106"/>
      <c r="F247" s="107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6"/>
    </row>
    <row r="248" ht="15.75" customHeight="1">
      <c r="A248" s="109"/>
      <c r="B248" s="104"/>
      <c r="C248" s="104"/>
      <c r="D248" s="105"/>
      <c r="E248" s="106"/>
      <c r="F248" s="107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6"/>
    </row>
    <row r="249" ht="15.75" customHeight="1">
      <c r="A249" s="109"/>
      <c r="B249" s="104"/>
      <c r="C249" s="104"/>
      <c r="D249" s="105"/>
      <c r="E249" s="106"/>
      <c r="F249" s="107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6"/>
    </row>
    <row r="250" ht="15.75" customHeight="1">
      <c r="A250" s="109"/>
      <c r="B250" s="104"/>
      <c r="C250" s="104"/>
      <c r="D250" s="105"/>
      <c r="E250" s="106"/>
      <c r="F250" s="107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6"/>
    </row>
    <row r="251" ht="15.75" customHeight="1">
      <c r="A251" s="109"/>
      <c r="B251" s="104"/>
      <c r="C251" s="104"/>
      <c r="D251" s="105"/>
      <c r="E251" s="106"/>
      <c r="F251" s="107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6"/>
    </row>
    <row r="252" ht="15.75" customHeight="1">
      <c r="A252" s="109"/>
      <c r="B252" s="104"/>
      <c r="C252" s="104"/>
      <c r="D252" s="105"/>
      <c r="E252" s="106"/>
      <c r="F252" s="107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6"/>
    </row>
    <row r="253" ht="15.75" customHeight="1">
      <c r="A253" s="109"/>
      <c r="B253" s="104"/>
      <c r="C253" s="104"/>
      <c r="D253" s="105"/>
      <c r="E253" s="106"/>
      <c r="F253" s="107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6"/>
    </row>
    <row r="254" ht="15.75" customHeight="1">
      <c r="A254" s="109"/>
      <c r="B254" s="104"/>
      <c r="C254" s="104"/>
      <c r="D254" s="105"/>
      <c r="E254" s="106"/>
      <c r="F254" s="107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6"/>
    </row>
    <row r="255" ht="15.75" customHeight="1">
      <c r="A255" s="109"/>
      <c r="B255" s="104"/>
      <c r="C255" s="104"/>
      <c r="D255" s="105"/>
      <c r="E255" s="106"/>
      <c r="F255" s="107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6"/>
    </row>
    <row r="256" ht="15.75" customHeight="1">
      <c r="A256" s="109"/>
      <c r="B256" s="104"/>
      <c r="C256" s="104"/>
      <c r="D256" s="105"/>
      <c r="E256" s="106"/>
      <c r="F256" s="107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6"/>
    </row>
    <row r="257" ht="15.75" customHeight="1">
      <c r="A257" s="109"/>
      <c r="B257" s="104"/>
      <c r="C257" s="104"/>
      <c r="D257" s="105"/>
      <c r="E257" s="106"/>
      <c r="F257" s="107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6"/>
    </row>
    <row r="258" ht="15.75" customHeight="1">
      <c r="A258" s="109"/>
      <c r="B258" s="104"/>
      <c r="C258" s="104"/>
      <c r="D258" s="105"/>
      <c r="E258" s="106"/>
      <c r="F258" s="107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6"/>
    </row>
    <row r="259" ht="15.75" customHeight="1">
      <c r="A259" s="109"/>
      <c r="B259" s="104"/>
      <c r="C259" s="104"/>
      <c r="D259" s="105"/>
      <c r="E259" s="106"/>
      <c r="F259" s="107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6"/>
    </row>
    <row r="260" ht="15.75" customHeight="1">
      <c r="A260" s="109"/>
      <c r="B260" s="104"/>
      <c r="C260" s="104"/>
      <c r="D260" s="105"/>
      <c r="E260" s="106"/>
      <c r="F260" s="107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6"/>
    </row>
    <row r="261" ht="15.75" customHeight="1">
      <c r="A261" s="109"/>
      <c r="B261" s="104"/>
      <c r="C261" s="104"/>
      <c r="D261" s="105"/>
      <c r="E261" s="106"/>
      <c r="F261" s="107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6"/>
    </row>
    <row r="262" ht="15.75" customHeight="1">
      <c r="A262" s="109"/>
      <c r="B262" s="104"/>
      <c r="C262" s="104"/>
      <c r="D262" s="105"/>
      <c r="E262" s="106"/>
      <c r="F262" s="107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6"/>
    </row>
    <row r="263" ht="15.75" customHeight="1">
      <c r="A263" s="109"/>
      <c r="B263" s="104"/>
      <c r="C263" s="104"/>
      <c r="D263" s="105"/>
      <c r="E263" s="106"/>
      <c r="F263" s="107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6"/>
    </row>
    <row r="264" ht="15.75" customHeight="1">
      <c r="A264" s="109"/>
      <c r="B264" s="104"/>
      <c r="C264" s="104"/>
      <c r="D264" s="105"/>
      <c r="E264" s="106"/>
      <c r="F264" s="107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6"/>
    </row>
    <row r="265" ht="15.75" customHeight="1">
      <c r="A265" s="109"/>
      <c r="B265" s="104"/>
      <c r="C265" s="104"/>
      <c r="D265" s="105"/>
      <c r="E265" s="106"/>
      <c r="F265" s="107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6"/>
    </row>
    <row r="266" ht="15.75" customHeight="1">
      <c r="A266" s="109"/>
      <c r="B266" s="104"/>
      <c r="C266" s="104"/>
      <c r="D266" s="105"/>
      <c r="E266" s="106"/>
      <c r="F266" s="107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6"/>
    </row>
    <row r="267" ht="15.75" customHeight="1">
      <c r="A267" s="109"/>
      <c r="B267" s="104"/>
      <c r="C267" s="104"/>
      <c r="D267" s="105"/>
      <c r="E267" s="106"/>
      <c r="F267" s="107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6"/>
    </row>
    <row r="268" ht="15.75" customHeight="1">
      <c r="A268" s="109"/>
      <c r="B268" s="104"/>
      <c r="C268" s="104"/>
      <c r="D268" s="105"/>
      <c r="E268" s="106"/>
      <c r="F268" s="107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6"/>
    </row>
    <row r="269" ht="15.75" customHeight="1">
      <c r="A269" s="109"/>
      <c r="B269" s="104"/>
      <c r="C269" s="104"/>
      <c r="D269" s="105"/>
      <c r="E269" s="106"/>
      <c r="F269" s="107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6"/>
    </row>
    <row r="270" ht="15.75" customHeight="1">
      <c r="A270" s="109"/>
      <c r="B270" s="104"/>
      <c r="C270" s="104"/>
      <c r="D270" s="105"/>
      <c r="E270" s="106"/>
      <c r="F270" s="107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6"/>
    </row>
    <row r="271" ht="15.75" customHeight="1">
      <c r="A271" s="109"/>
      <c r="B271" s="104"/>
      <c r="C271" s="104"/>
      <c r="D271" s="105"/>
      <c r="E271" s="106"/>
      <c r="F271" s="107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6"/>
    </row>
    <row r="272" ht="15.75" customHeight="1">
      <c r="A272" s="109"/>
      <c r="B272" s="104"/>
      <c r="C272" s="104"/>
      <c r="D272" s="105"/>
      <c r="E272" s="106"/>
      <c r="F272" s="107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6"/>
    </row>
    <row r="273" ht="15.75" customHeight="1">
      <c r="A273" s="109"/>
      <c r="B273" s="104"/>
      <c r="C273" s="104"/>
      <c r="D273" s="105"/>
      <c r="E273" s="106"/>
      <c r="F273" s="107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6"/>
    </row>
    <row r="274" ht="15.75" customHeight="1">
      <c r="A274" s="109"/>
      <c r="B274" s="104"/>
      <c r="C274" s="104"/>
      <c r="D274" s="105"/>
      <c r="E274" s="106"/>
      <c r="F274" s="107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6"/>
    </row>
    <row r="275" ht="15.75" customHeight="1">
      <c r="A275" s="109"/>
      <c r="B275" s="104"/>
      <c r="C275" s="104"/>
      <c r="D275" s="105"/>
      <c r="E275" s="106"/>
      <c r="F275" s="107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6"/>
    </row>
    <row r="276" ht="15.75" customHeight="1">
      <c r="A276" s="109"/>
      <c r="B276" s="104"/>
      <c r="C276" s="104"/>
      <c r="D276" s="105"/>
      <c r="E276" s="106"/>
      <c r="F276" s="107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6"/>
    </row>
    <row r="277" ht="15.75" customHeight="1">
      <c r="A277" s="109"/>
      <c r="B277" s="104"/>
      <c r="C277" s="104"/>
      <c r="D277" s="105"/>
      <c r="E277" s="106"/>
      <c r="F277" s="107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6"/>
    </row>
    <row r="278" ht="15.75" customHeight="1">
      <c r="A278" s="109"/>
      <c r="B278" s="104"/>
      <c r="C278" s="104"/>
      <c r="D278" s="105"/>
      <c r="E278" s="106"/>
      <c r="F278" s="107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6"/>
    </row>
    <row r="279" ht="15.75" customHeight="1">
      <c r="A279" s="109"/>
      <c r="B279" s="104"/>
      <c r="C279" s="104"/>
      <c r="D279" s="105"/>
      <c r="E279" s="106"/>
      <c r="F279" s="107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6"/>
    </row>
    <row r="280" ht="15.75" customHeight="1">
      <c r="A280" s="109"/>
      <c r="B280" s="104"/>
      <c r="C280" s="104"/>
      <c r="D280" s="105"/>
      <c r="E280" s="106"/>
      <c r="F280" s="107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6"/>
    </row>
    <row r="281" ht="15.75" customHeight="1">
      <c r="A281" s="109"/>
      <c r="B281" s="104"/>
      <c r="C281" s="104"/>
      <c r="D281" s="105"/>
      <c r="E281" s="106"/>
      <c r="F281" s="107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6"/>
    </row>
    <row r="282" ht="15.75" customHeight="1">
      <c r="A282" s="109"/>
      <c r="B282" s="104"/>
      <c r="C282" s="104"/>
      <c r="D282" s="105"/>
      <c r="E282" s="106"/>
      <c r="F282" s="107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6"/>
    </row>
    <row r="283" ht="15.75" customHeight="1">
      <c r="A283" s="109"/>
      <c r="B283" s="104"/>
      <c r="C283" s="104"/>
      <c r="D283" s="105"/>
      <c r="E283" s="106"/>
      <c r="F283" s="107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6"/>
    </row>
    <row r="284" ht="15.75" customHeight="1">
      <c r="A284" s="109"/>
      <c r="B284" s="104"/>
      <c r="C284" s="104"/>
      <c r="D284" s="105"/>
      <c r="E284" s="106"/>
      <c r="F284" s="107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6"/>
    </row>
    <row r="285" ht="15.75" customHeight="1">
      <c r="A285" s="109"/>
      <c r="B285" s="104"/>
      <c r="C285" s="104"/>
      <c r="D285" s="105"/>
      <c r="E285" s="106"/>
      <c r="F285" s="107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6"/>
    </row>
    <row r="286" ht="15.75" customHeight="1">
      <c r="A286" s="109"/>
      <c r="B286" s="104"/>
      <c r="C286" s="104"/>
      <c r="D286" s="105"/>
      <c r="E286" s="106"/>
      <c r="F286" s="107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6"/>
    </row>
    <row r="287" ht="15.75" customHeight="1">
      <c r="A287" s="109"/>
      <c r="B287" s="104"/>
      <c r="C287" s="104"/>
      <c r="D287" s="105"/>
      <c r="E287" s="106"/>
      <c r="F287" s="107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6"/>
    </row>
    <row r="288" ht="15.75" customHeight="1">
      <c r="A288" s="109"/>
      <c r="B288" s="104"/>
      <c r="C288" s="104"/>
      <c r="D288" s="105"/>
      <c r="E288" s="106"/>
      <c r="F288" s="107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6"/>
    </row>
    <row r="289" ht="15.75" customHeight="1">
      <c r="A289" s="109"/>
      <c r="B289" s="104"/>
      <c r="C289" s="104"/>
      <c r="D289" s="105"/>
      <c r="E289" s="106"/>
      <c r="F289" s="107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6"/>
    </row>
    <row r="290" ht="15.75" customHeight="1">
      <c r="A290" s="109"/>
      <c r="B290" s="104"/>
      <c r="C290" s="104"/>
      <c r="D290" s="105"/>
      <c r="E290" s="106"/>
      <c r="F290" s="107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6"/>
    </row>
    <row r="291" ht="15.75" customHeight="1">
      <c r="A291" s="109"/>
      <c r="B291" s="104"/>
      <c r="C291" s="104"/>
      <c r="D291" s="105"/>
      <c r="E291" s="106"/>
      <c r="F291" s="107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6"/>
    </row>
    <row r="292" ht="15.75" customHeight="1">
      <c r="A292" s="109"/>
      <c r="B292" s="104"/>
      <c r="C292" s="104"/>
      <c r="D292" s="105"/>
      <c r="E292" s="106"/>
      <c r="F292" s="107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6"/>
    </row>
    <row r="293" ht="15.75" customHeight="1">
      <c r="A293" s="109"/>
      <c r="B293" s="104"/>
      <c r="C293" s="104"/>
      <c r="D293" s="105"/>
      <c r="E293" s="106"/>
      <c r="F293" s="107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6"/>
    </row>
    <row r="294" ht="15.75" customHeight="1">
      <c r="A294" s="109"/>
      <c r="B294" s="104"/>
      <c r="C294" s="104"/>
      <c r="D294" s="105"/>
      <c r="E294" s="106"/>
      <c r="F294" s="107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6"/>
    </row>
    <row r="295" ht="15.75" customHeight="1">
      <c r="A295" s="109"/>
      <c r="B295" s="104"/>
      <c r="C295" s="104"/>
      <c r="D295" s="105"/>
      <c r="E295" s="106"/>
      <c r="F295" s="107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6"/>
    </row>
    <row r="296" ht="15.75" customHeight="1">
      <c r="A296" s="109"/>
      <c r="B296" s="104"/>
      <c r="C296" s="104"/>
      <c r="D296" s="105"/>
      <c r="E296" s="106"/>
      <c r="F296" s="107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6"/>
    </row>
    <row r="297" ht="15.75" customHeight="1">
      <c r="A297" s="109"/>
      <c r="B297" s="104"/>
      <c r="C297" s="104"/>
      <c r="D297" s="105"/>
      <c r="E297" s="106"/>
      <c r="F297" s="107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6"/>
    </row>
    <row r="298" ht="15.75" customHeight="1">
      <c r="A298" s="109"/>
      <c r="B298" s="104"/>
      <c r="C298" s="104"/>
      <c r="D298" s="105"/>
      <c r="E298" s="106"/>
      <c r="F298" s="107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6"/>
    </row>
    <row r="299" ht="15.75" customHeight="1">
      <c r="A299" s="109"/>
      <c r="B299" s="104"/>
      <c r="C299" s="104"/>
      <c r="D299" s="105"/>
      <c r="E299" s="106"/>
      <c r="F299" s="107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6"/>
    </row>
    <row r="300" ht="15.75" customHeight="1">
      <c r="A300" s="109"/>
      <c r="B300" s="104"/>
      <c r="C300" s="104"/>
      <c r="D300" s="105"/>
      <c r="E300" s="106"/>
      <c r="F300" s="107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6"/>
    </row>
    <row r="301" ht="15.75" customHeight="1">
      <c r="A301" s="109"/>
      <c r="B301" s="104"/>
      <c r="C301" s="104"/>
      <c r="D301" s="105"/>
      <c r="E301" s="106"/>
      <c r="F301" s="107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6"/>
    </row>
    <row r="302" ht="15.75" customHeight="1">
      <c r="A302" s="109"/>
      <c r="B302" s="104"/>
      <c r="C302" s="104"/>
      <c r="D302" s="105"/>
      <c r="E302" s="106"/>
      <c r="F302" s="107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6"/>
    </row>
    <row r="303" ht="15.75" customHeight="1">
      <c r="A303" s="109"/>
      <c r="B303" s="104"/>
      <c r="C303" s="104"/>
      <c r="D303" s="105"/>
      <c r="E303" s="106"/>
      <c r="F303" s="107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6"/>
    </row>
    <row r="304" ht="15.75" customHeight="1">
      <c r="A304" s="109"/>
      <c r="B304" s="104"/>
      <c r="C304" s="104"/>
      <c r="D304" s="105"/>
      <c r="E304" s="106"/>
      <c r="F304" s="107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6"/>
    </row>
    <row r="305" ht="15.75" customHeight="1">
      <c r="A305" s="109"/>
      <c r="B305" s="104"/>
      <c r="C305" s="104"/>
      <c r="D305" s="105"/>
      <c r="E305" s="106"/>
      <c r="F305" s="107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6"/>
    </row>
    <row r="306" ht="15.75" customHeight="1">
      <c r="A306" s="109"/>
      <c r="B306" s="104"/>
      <c r="C306" s="104"/>
      <c r="D306" s="105"/>
      <c r="E306" s="106"/>
      <c r="F306" s="107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6"/>
    </row>
    <row r="307" ht="15.75" customHeight="1">
      <c r="A307" s="109"/>
      <c r="B307" s="104"/>
      <c r="C307" s="104"/>
      <c r="D307" s="105"/>
      <c r="E307" s="106"/>
      <c r="F307" s="107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6"/>
    </row>
    <row r="308" ht="15.75" customHeight="1">
      <c r="A308" s="109"/>
      <c r="B308" s="104"/>
      <c r="C308" s="104"/>
      <c r="D308" s="105"/>
      <c r="E308" s="106"/>
      <c r="F308" s="107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6"/>
    </row>
    <row r="309" ht="15.75" customHeight="1">
      <c r="A309" s="109"/>
      <c r="B309" s="104"/>
      <c r="C309" s="104"/>
      <c r="D309" s="105"/>
      <c r="E309" s="106"/>
      <c r="F309" s="107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6"/>
    </row>
    <row r="310" ht="15.75" customHeight="1">
      <c r="A310" s="109"/>
      <c r="B310" s="104"/>
      <c r="C310" s="104"/>
      <c r="D310" s="105"/>
      <c r="E310" s="106"/>
      <c r="F310" s="107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6"/>
    </row>
    <row r="311" ht="15.75" customHeight="1">
      <c r="A311" s="109"/>
      <c r="B311" s="104"/>
      <c r="C311" s="104"/>
      <c r="D311" s="105"/>
      <c r="E311" s="106"/>
      <c r="F311" s="107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6"/>
    </row>
    <row r="312" ht="15.75" customHeight="1">
      <c r="A312" s="109"/>
      <c r="B312" s="104"/>
      <c r="C312" s="104"/>
      <c r="D312" s="105"/>
      <c r="E312" s="106"/>
      <c r="F312" s="107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6"/>
    </row>
    <row r="313" ht="15.75" customHeight="1">
      <c r="A313" s="109"/>
      <c r="B313" s="104"/>
      <c r="C313" s="104"/>
      <c r="D313" s="105"/>
      <c r="E313" s="106"/>
      <c r="F313" s="107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6"/>
    </row>
    <row r="314" ht="15.75" customHeight="1">
      <c r="A314" s="109"/>
      <c r="B314" s="104"/>
      <c r="C314" s="104"/>
      <c r="D314" s="105"/>
      <c r="E314" s="106"/>
      <c r="F314" s="107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6"/>
    </row>
    <row r="315" ht="15.75" customHeight="1">
      <c r="A315" s="109"/>
      <c r="B315" s="104"/>
      <c r="C315" s="104"/>
      <c r="D315" s="105"/>
      <c r="E315" s="106"/>
      <c r="F315" s="107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6"/>
    </row>
    <row r="316" ht="15.75" customHeight="1">
      <c r="A316" s="109"/>
      <c r="B316" s="104"/>
      <c r="C316" s="104"/>
      <c r="D316" s="105"/>
      <c r="E316" s="106"/>
      <c r="F316" s="107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6"/>
    </row>
    <row r="317" ht="15.75" customHeight="1">
      <c r="A317" s="109"/>
      <c r="B317" s="104"/>
      <c r="C317" s="104"/>
      <c r="D317" s="105"/>
      <c r="E317" s="106"/>
      <c r="F317" s="107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6"/>
    </row>
    <row r="318" ht="15.75" customHeight="1">
      <c r="A318" s="109"/>
      <c r="B318" s="104"/>
      <c r="C318" s="104"/>
      <c r="D318" s="105"/>
      <c r="E318" s="106"/>
      <c r="F318" s="107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6"/>
    </row>
    <row r="319" ht="15.75" customHeight="1">
      <c r="A319" s="109"/>
      <c r="B319" s="104"/>
      <c r="C319" s="104"/>
      <c r="D319" s="105"/>
      <c r="E319" s="106"/>
      <c r="F319" s="107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6"/>
    </row>
    <row r="320" ht="15.75" customHeight="1">
      <c r="A320" s="109"/>
      <c r="B320" s="104"/>
      <c r="C320" s="104"/>
      <c r="D320" s="105"/>
      <c r="E320" s="106"/>
      <c r="F320" s="107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6"/>
    </row>
    <row r="321" ht="15.75" customHeight="1">
      <c r="A321" s="109"/>
      <c r="B321" s="104"/>
      <c r="C321" s="104"/>
      <c r="D321" s="105"/>
      <c r="E321" s="106"/>
      <c r="F321" s="107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6"/>
    </row>
    <row r="322" ht="15.75" customHeight="1">
      <c r="A322" s="109"/>
      <c r="B322" s="104"/>
      <c r="C322" s="104"/>
      <c r="D322" s="105"/>
      <c r="E322" s="106"/>
      <c r="F322" s="107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6"/>
    </row>
    <row r="323" ht="15.75" customHeight="1">
      <c r="A323" s="109"/>
      <c r="B323" s="104"/>
      <c r="C323" s="104"/>
      <c r="D323" s="105"/>
      <c r="E323" s="106"/>
      <c r="F323" s="107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6"/>
    </row>
    <row r="324" ht="15.75" customHeight="1">
      <c r="A324" s="109"/>
      <c r="B324" s="104"/>
      <c r="C324" s="104"/>
      <c r="D324" s="105"/>
      <c r="E324" s="106"/>
      <c r="F324" s="107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6"/>
    </row>
    <row r="325" ht="15.75" customHeight="1">
      <c r="A325" s="109"/>
      <c r="B325" s="104"/>
      <c r="C325" s="104"/>
      <c r="D325" s="105"/>
      <c r="E325" s="106"/>
      <c r="F325" s="107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6"/>
    </row>
    <row r="326" ht="15.75" customHeight="1">
      <c r="A326" s="109"/>
      <c r="B326" s="104"/>
      <c r="C326" s="104"/>
      <c r="D326" s="105"/>
      <c r="E326" s="106"/>
      <c r="F326" s="107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6"/>
    </row>
    <row r="327" ht="15.75" customHeight="1">
      <c r="A327" s="109"/>
      <c r="B327" s="104"/>
      <c r="C327" s="104"/>
      <c r="D327" s="105"/>
      <c r="E327" s="106"/>
      <c r="F327" s="107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6"/>
    </row>
    <row r="328" ht="15.75" customHeight="1">
      <c r="A328" s="109"/>
      <c r="B328" s="104"/>
      <c r="C328" s="104"/>
      <c r="D328" s="105"/>
      <c r="E328" s="106"/>
      <c r="F328" s="107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6"/>
    </row>
    <row r="329" ht="15.75" customHeight="1">
      <c r="A329" s="109"/>
      <c r="B329" s="104"/>
      <c r="C329" s="104"/>
      <c r="D329" s="105"/>
      <c r="E329" s="106"/>
      <c r="F329" s="107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6"/>
    </row>
    <row r="330" ht="15.75" customHeight="1">
      <c r="A330" s="109"/>
      <c r="B330" s="104"/>
      <c r="C330" s="104"/>
      <c r="D330" s="105"/>
      <c r="E330" s="106"/>
      <c r="F330" s="107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6"/>
    </row>
    <row r="331" ht="15.75" customHeight="1">
      <c r="A331" s="109"/>
      <c r="B331" s="104"/>
      <c r="C331" s="104"/>
      <c r="D331" s="105"/>
      <c r="E331" s="106"/>
      <c r="F331" s="107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6"/>
    </row>
    <row r="332" ht="15.75" customHeight="1">
      <c r="A332" s="109"/>
      <c r="B332" s="104"/>
      <c r="C332" s="104"/>
      <c r="D332" s="105"/>
      <c r="E332" s="106"/>
      <c r="F332" s="107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6"/>
    </row>
    <row r="333" ht="15.75" customHeight="1">
      <c r="A333" s="109"/>
      <c r="B333" s="104"/>
      <c r="C333" s="104"/>
      <c r="D333" s="105"/>
      <c r="E333" s="106"/>
      <c r="F333" s="107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6"/>
    </row>
    <row r="334" ht="15.75" customHeight="1">
      <c r="A334" s="109"/>
      <c r="B334" s="104"/>
      <c r="C334" s="104"/>
      <c r="D334" s="105"/>
      <c r="E334" s="106"/>
      <c r="F334" s="107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6"/>
    </row>
    <row r="335" ht="15.75" customHeight="1">
      <c r="A335" s="109"/>
      <c r="B335" s="104"/>
      <c r="C335" s="104"/>
      <c r="D335" s="105"/>
      <c r="E335" s="106"/>
      <c r="F335" s="107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6"/>
    </row>
    <row r="336" ht="15.75" customHeight="1">
      <c r="A336" s="109"/>
      <c r="B336" s="104"/>
      <c r="C336" s="104"/>
      <c r="D336" s="105"/>
      <c r="E336" s="106"/>
      <c r="F336" s="107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6"/>
    </row>
    <row r="337" ht="15.75" customHeight="1">
      <c r="A337" s="109"/>
      <c r="B337" s="104"/>
      <c r="C337" s="104"/>
      <c r="D337" s="105"/>
      <c r="E337" s="106"/>
      <c r="F337" s="107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6"/>
    </row>
    <row r="338" ht="15.75" customHeight="1">
      <c r="A338" s="109"/>
      <c r="B338" s="104"/>
      <c r="C338" s="104"/>
      <c r="D338" s="105"/>
      <c r="E338" s="106"/>
      <c r="F338" s="107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6"/>
    </row>
    <row r="339" ht="15.75" customHeight="1">
      <c r="A339" s="109"/>
      <c r="B339" s="104"/>
      <c r="C339" s="104"/>
      <c r="D339" s="105"/>
      <c r="E339" s="106"/>
      <c r="F339" s="107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6"/>
    </row>
    <row r="340" ht="15.75" customHeight="1">
      <c r="A340" s="109"/>
      <c r="B340" s="104"/>
      <c r="C340" s="104"/>
      <c r="D340" s="105"/>
      <c r="E340" s="106"/>
      <c r="F340" s="107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6"/>
    </row>
    <row r="341" ht="15.75" customHeight="1">
      <c r="A341" s="109"/>
      <c r="B341" s="104"/>
      <c r="C341" s="104"/>
      <c r="D341" s="105"/>
      <c r="E341" s="106"/>
      <c r="F341" s="107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6"/>
    </row>
    <row r="342" ht="15.75" customHeight="1">
      <c r="A342" s="109"/>
      <c r="B342" s="104"/>
      <c r="C342" s="104"/>
      <c r="D342" s="105"/>
      <c r="E342" s="106"/>
      <c r="F342" s="107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6"/>
    </row>
    <row r="343" ht="15.75" customHeight="1">
      <c r="A343" s="109"/>
      <c r="B343" s="104"/>
      <c r="C343" s="104"/>
      <c r="D343" s="105"/>
      <c r="E343" s="106"/>
      <c r="F343" s="107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6"/>
    </row>
    <row r="344" ht="15.75" customHeight="1">
      <c r="A344" s="109"/>
      <c r="B344" s="104"/>
      <c r="C344" s="104"/>
      <c r="D344" s="105"/>
      <c r="E344" s="106"/>
      <c r="F344" s="107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6"/>
    </row>
    <row r="345" ht="15.75" customHeight="1">
      <c r="A345" s="109"/>
      <c r="B345" s="104"/>
      <c r="C345" s="104"/>
      <c r="D345" s="105"/>
      <c r="E345" s="106"/>
      <c r="F345" s="107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6"/>
    </row>
    <row r="346" ht="15.75" customHeight="1">
      <c r="A346" s="109"/>
      <c r="B346" s="104"/>
      <c r="C346" s="104"/>
      <c r="D346" s="105"/>
      <c r="E346" s="106"/>
      <c r="F346" s="107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6"/>
    </row>
    <row r="347" ht="15.75" customHeight="1">
      <c r="A347" s="109"/>
      <c r="B347" s="104"/>
      <c r="C347" s="104"/>
      <c r="D347" s="105"/>
      <c r="E347" s="106"/>
      <c r="F347" s="107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6"/>
    </row>
    <row r="348" ht="15.75" customHeight="1">
      <c r="A348" s="109"/>
      <c r="B348" s="104"/>
      <c r="C348" s="104"/>
      <c r="D348" s="105"/>
      <c r="E348" s="106"/>
      <c r="F348" s="107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6"/>
    </row>
    <row r="349" ht="15.75" customHeight="1">
      <c r="A349" s="109"/>
      <c r="B349" s="104"/>
      <c r="C349" s="104"/>
      <c r="D349" s="105"/>
      <c r="E349" s="106"/>
      <c r="F349" s="107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6"/>
    </row>
    <row r="350" ht="15.75" customHeight="1">
      <c r="A350" s="109"/>
      <c r="B350" s="104"/>
      <c r="C350" s="104"/>
      <c r="D350" s="105"/>
      <c r="E350" s="106"/>
      <c r="F350" s="107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6"/>
    </row>
    <row r="351" ht="15.75" customHeight="1">
      <c r="A351" s="109"/>
      <c r="B351" s="104"/>
      <c r="C351" s="104"/>
      <c r="D351" s="105"/>
      <c r="E351" s="106"/>
      <c r="F351" s="107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6"/>
    </row>
    <row r="352" ht="15.75" customHeight="1">
      <c r="A352" s="109"/>
      <c r="B352" s="104"/>
      <c r="C352" s="104"/>
      <c r="D352" s="105"/>
      <c r="E352" s="106"/>
      <c r="F352" s="107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6"/>
    </row>
    <row r="353" ht="15.75" customHeight="1">
      <c r="A353" s="109"/>
      <c r="B353" s="104"/>
      <c r="C353" s="104"/>
      <c r="D353" s="105"/>
      <c r="E353" s="106"/>
      <c r="F353" s="107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6"/>
    </row>
    <row r="354" ht="15.75" customHeight="1">
      <c r="A354" s="109"/>
      <c r="B354" s="104"/>
      <c r="C354" s="104"/>
      <c r="D354" s="105"/>
      <c r="E354" s="106"/>
      <c r="F354" s="107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6"/>
    </row>
    <row r="355" ht="15.75" customHeight="1">
      <c r="A355" s="109"/>
      <c r="B355" s="104"/>
      <c r="C355" s="104"/>
      <c r="D355" s="105"/>
      <c r="E355" s="106"/>
      <c r="F355" s="107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6"/>
    </row>
    <row r="356" ht="15.75" customHeight="1">
      <c r="A356" s="109"/>
      <c r="B356" s="104"/>
      <c r="C356" s="104"/>
      <c r="D356" s="105"/>
      <c r="E356" s="106"/>
      <c r="F356" s="107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6"/>
    </row>
    <row r="357" ht="15.75" customHeight="1">
      <c r="A357" s="109"/>
      <c r="B357" s="104"/>
      <c r="C357" s="104"/>
      <c r="D357" s="105"/>
      <c r="E357" s="106"/>
      <c r="F357" s="107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6"/>
    </row>
    <row r="358" ht="15.75" customHeight="1">
      <c r="A358" s="109"/>
      <c r="B358" s="104"/>
      <c r="C358" s="104"/>
      <c r="D358" s="105"/>
      <c r="E358" s="106"/>
      <c r="F358" s="107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6"/>
    </row>
    <row r="359" ht="15.75" customHeight="1">
      <c r="A359" s="109"/>
      <c r="B359" s="104"/>
      <c r="C359" s="104"/>
      <c r="D359" s="105"/>
      <c r="E359" s="106"/>
      <c r="F359" s="107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6"/>
    </row>
    <row r="360" ht="15.75" customHeight="1">
      <c r="A360" s="109"/>
      <c r="B360" s="104"/>
      <c r="C360" s="104"/>
      <c r="D360" s="105"/>
      <c r="E360" s="106"/>
      <c r="F360" s="107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6"/>
    </row>
    <row r="361" ht="15.75" customHeight="1">
      <c r="A361" s="109"/>
      <c r="B361" s="104"/>
      <c r="C361" s="104"/>
      <c r="D361" s="105"/>
      <c r="E361" s="106"/>
      <c r="F361" s="107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6"/>
    </row>
    <row r="362" ht="15.75" customHeight="1">
      <c r="A362" s="109"/>
      <c r="B362" s="104"/>
      <c r="C362" s="104"/>
      <c r="D362" s="105"/>
      <c r="E362" s="106"/>
      <c r="F362" s="107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6"/>
    </row>
    <row r="363" ht="15.75" customHeight="1">
      <c r="A363" s="109"/>
      <c r="B363" s="104"/>
      <c r="C363" s="104"/>
      <c r="D363" s="105"/>
      <c r="E363" s="106"/>
      <c r="F363" s="107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6"/>
    </row>
    <row r="364" ht="15.75" customHeight="1">
      <c r="A364" s="109"/>
      <c r="B364" s="104"/>
      <c r="C364" s="104"/>
      <c r="D364" s="105"/>
      <c r="E364" s="106"/>
      <c r="F364" s="107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6"/>
    </row>
    <row r="365" ht="15.75" customHeight="1">
      <c r="A365" s="109"/>
      <c r="B365" s="104"/>
      <c r="C365" s="104"/>
      <c r="D365" s="105"/>
      <c r="E365" s="106"/>
      <c r="F365" s="107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6"/>
    </row>
    <row r="366" ht="15.75" customHeight="1">
      <c r="A366" s="109"/>
      <c r="B366" s="104"/>
      <c r="C366" s="104"/>
      <c r="D366" s="105"/>
      <c r="E366" s="106"/>
      <c r="F366" s="107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6"/>
    </row>
    <row r="367" ht="15.75" customHeight="1">
      <c r="A367" s="109"/>
      <c r="B367" s="104"/>
      <c r="C367" s="104"/>
      <c r="D367" s="105"/>
      <c r="E367" s="106"/>
      <c r="F367" s="107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6"/>
    </row>
    <row r="368" ht="15.75" customHeight="1">
      <c r="A368" s="109"/>
      <c r="B368" s="104"/>
      <c r="C368" s="104"/>
      <c r="D368" s="105"/>
      <c r="E368" s="106"/>
      <c r="F368" s="107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6"/>
    </row>
    <row r="369" ht="15.75" customHeight="1">
      <c r="A369" s="109"/>
      <c r="B369" s="104"/>
      <c r="C369" s="104"/>
      <c r="D369" s="105"/>
      <c r="E369" s="106"/>
      <c r="F369" s="107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6"/>
    </row>
    <row r="370" ht="15.75" customHeight="1">
      <c r="A370" s="109"/>
      <c r="B370" s="104"/>
      <c r="C370" s="104"/>
      <c r="D370" s="105"/>
      <c r="E370" s="106"/>
      <c r="F370" s="107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6"/>
    </row>
    <row r="371" ht="15.75" customHeight="1">
      <c r="A371" s="109"/>
      <c r="B371" s="104"/>
      <c r="C371" s="104"/>
      <c r="D371" s="105"/>
      <c r="E371" s="106"/>
      <c r="F371" s="107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6"/>
    </row>
    <row r="372" ht="15.75" customHeight="1">
      <c r="A372" s="109"/>
      <c r="B372" s="104"/>
      <c r="C372" s="104"/>
      <c r="D372" s="105"/>
      <c r="E372" s="106"/>
      <c r="F372" s="107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6"/>
    </row>
    <row r="373" ht="15.75" customHeight="1">
      <c r="A373" s="109"/>
      <c r="B373" s="104"/>
      <c r="C373" s="104"/>
      <c r="D373" s="105"/>
      <c r="E373" s="106"/>
      <c r="F373" s="107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6"/>
    </row>
    <row r="374" ht="15.75" customHeight="1">
      <c r="A374" s="109"/>
      <c r="B374" s="104"/>
      <c r="C374" s="104"/>
      <c r="D374" s="105"/>
      <c r="E374" s="106"/>
      <c r="F374" s="107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6"/>
    </row>
    <row r="375" ht="15.75" customHeight="1">
      <c r="A375" s="109"/>
      <c r="B375" s="104"/>
      <c r="C375" s="104"/>
      <c r="D375" s="105"/>
      <c r="E375" s="106"/>
      <c r="F375" s="107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6"/>
    </row>
    <row r="376" ht="15.75" customHeight="1">
      <c r="A376" s="109"/>
      <c r="B376" s="104"/>
      <c r="C376" s="104"/>
      <c r="D376" s="105"/>
      <c r="E376" s="106"/>
      <c r="F376" s="107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6"/>
    </row>
    <row r="377" ht="15.75" customHeight="1">
      <c r="A377" s="109"/>
      <c r="B377" s="104"/>
      <c r="C377" s="104"/>
      <c r="D377" s="105"/>
      <c r="E377" s="106"/>
      <c r="F377" s="107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6"/>
    </row>
    <row r="378" ht="15.75" customHeight="1">
      <c r="A378" s="109"/>
      <c r="B378" s="104"/>
      <c r="C378" s="104"/>
      <c r="D378" s="105"/>
      <c r="E378" s="106"/>
      <c r="F378" s="107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6"/>
    </row>
    <row r="379" ht="15.75" customHeight="1">
      <c r="A379" s="109"/>
      <c r="B379" s="104"/>
      <c r="C379" s="104"/>
      <c r="D379" s="105"/>
      <c r="E379" s="106"/>
      <c r="F379" s="107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6"/>
    </row>
    <row r="380" ht="15.75" customHeight="1">
      <c r="A380" s="109"/>
      <c r="B380" s="104"/>
      <c r="C380" s="104"/>
      <c r="D380" s="105"/>
      <c r="E380" s="106"/>
      <c r="F380" s="107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6"/>
    </row>
    <row r="381" ht="15.75" customHeight="1">
      <c r="A381" s="109"/>
      <c r="B381" s="104"/>
      <c r="C381" s="104"/>
      <c r="D381" s="105"/>
      <c r="E381" s="106"/>
      <c r="F381" s="107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6"/>
    </row>
    <row r="382" ht="15.75" customHeight="1">
      <c r="A382" s="109"/>
      <c r="B382" s="104"/>
      <c r="C382" s="104"/>
      <c r="D382" s="105"/>
      <c r="E382" s="106"/>
      <c r="F382" s="107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6"/>
    </row>
    <row r="383" ht="15.75" customHeight="1">
      <c r="A383" s="109"/>
      <c r="B383" s="104"/>
      <c r="C383" s="104"/>
      <c r="D383" s="105"/>
      <c r="E383" s="106"/>
      <c r="F383" s="107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6"/>
    </row>
    <row r="384" ht="15.75" customHeight="1">
      <c r="A384" s="109"/>
      <c r="B384" s="104"/>
      <c r="C384" s="104"/>
      <c r="D384" s="105"/>
      <c r="E384" s="106"/>
      <c r="F384" s="107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6"/>
    </row>
    <row r="385" ht="15.75" customHeight="1">
      <c r="A385" s="109"/>
      <c r="B385" s="104"/>
      <c r="C385" s="104"/>
      <c r="D385" s="105"/>
      <c r="E385" s="106"/>
      <c r="F385" s="107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6"/>
    </row>
    <row r="386" ht="15.75" customHeight="1">
      <c r="A386" s="109"/>
      <c r="B386" s="104"/>
      <c r="C386" s="104"/>
      <c r="D386" s="105"/>
      <c r="E386" s="106"/>
      <c r="F386" s="107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6"/>
    </row>
    <row r="387" ht="15.75" customHeight="1">
      <c r="A387" s="109"/>
      <c r="B387" s="104"/>
      <c r="C387" s="104"/>
      <c r="D387" s="105"/>
      <c r="E387" s="106"/>
      <c r="F387" s="107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6"/>
    </row>
    <row r="388" ht="15.75" customHeight="1">
      <c r="A388" s="109"/>
      <c r="B388" s="104"/>
      <c r="C388" s="104"/>
      <c r="D388" s="105"/>
      <c r="E388" s="106"/>
      <c r="F388" s="107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6"/>
    </row>
    <row r="389" ht="15.75" customHeight="1">
      <c r="A389" s="109"/>
      <c r="B389" s="104"/>
      <c r="C389" s="104"/>
      <c r="D389" s="105"/>
      <c r="E389" s="106"/>
      <c r="F389" s="107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6"/>
    </row>
    <row r="390" ht="15.75" customHeight="1">
      <c r="A390" s="109"/>
      <c r="B390" s="104"/>
      <c r="C390" s="104"/>
      <c r="D390" s="105"/>
      <c r="E390" s="106"/>
      <c r="F390" s="107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6"/>
    </row>
    <row r="391" ht="15.75" customHeight="1">
      <c r="A391" s="109"/>
      <c r="B391" s="104"/>
      <c r="C391" s="104"/>
      <c r="D391" s="105"/>
      <c r="E391" s="106"/>
      <c r="F391" s="107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6"/>
    </row>
    <row r="392" ht="15.75" customHeight="1">
      <c r="A392" s="109"/>
      <c r="B392" s="104"/>
      <c r="C392" s="104"/>
      <c r="D392" s="105"/>
      <c r="E392" s="106"/>
      <c r="F392" s="107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6"/>
    </row>
    <row r="393" ht="15.75" customHeight="1">
      <c r="A393" s="109"/>
      <c r="B393" s="104"/>
      <c r="C393" s="104"/>
      <c r="D393" s="105"/>
      <c r="E393" s="106"/>
      <c r="F393" s="107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6"/>
    </row>
    <row r="394" ht="15.75" customHeight="1">
      <c r="A394" s="109"/>
      <c r="B394" s="104"/>
      <c r="C394" s="104"/>
      <c r="D394" s="105"/>
      <c r="E394" s="106"/>
      <c r="F394" s="107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6"/>
    </row>
    <row r="395" ht="15.75" customHeight="1">
      <c r="A395" s="109"/>
      <c r="B395" s="104"/>
      <c r="C395" s="104"/>
      <c r="D395" s="105"/>
      <c r="E395" s="106"/>
      <c r="F395" s="107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6"/>
    </row>
    <row r="396" ht="15.75" customHeight="1">
      <c r="A396" s="109"/>
      <c r="B396" s="104"/>
      <c r="C396" s="104"/>
      <c r="D396" s="105"/>
      <c r="E396" s="106"/>
      <c r="F396" s="107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6"/>
    </row>
    <row r="397" ht="15.75" customHeight="1">
      <c r="A397" s="109"/>
      <c r="B397" s="104"/>
      <c r="C397" s="104"/>
      <c r="D397" s="105"/>
      <c r="E397" s="106"/>
      <c r="F397" s="107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6"/>
    </row>
    <row r="398" ht="15.75" customHeight="1">
      <c r="A398" s="109"/>
      <c r="B398" s="104"/>
      <c r="C398" s="104"/>
      <c r="D398" s="105"/>
      <c r="E398" s="106"/>
      <c r="F398" s="107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6"/>
    </row>
    <row r="399" ht="15.75" customHeight="1">
      <c r="A399" s="109"/>
      <c r="B399" s="104"/>
      <c r="C399" s="104"/>
      <c r="D399" s="105"/>
      <c r="E399" s="106"/>
      <c r="F399" s="107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6"/>
    </row>
    <row r="400" ht="15.75" customHeight="1">
      <c r="A400" s="109"/>
      <c r="B400" s="104"/>
      <c r="C400" s="104"/>
      <c r="D400" s="105"/>
      <c r="E400" s="106"/>
      <c r="F400" s="107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6"/>
    </row>
    <row r="401" ht="15.75" customHeight="1">
      <c r="A401" s="109"/>
      <c r="B401" s="104"/>
      <c r="C401" s="104"/>
      <c r="D401" s="105"/>
      <c r="E401" s="106"/>
      <c r="F401" s="107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6"/>
    </row>
    <row r="402" ht="15.75" customHeight="1">
      <c r="A402" s="109"/>
      <c r="B402" s="104"/>
      <c r="C402" s="104"/>
      <c r="D402" s="105"/>
      <c r="E402" s="106"/>
      <c r="F402" s="107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6"/>
    </row>
    <row r="403" ht="15.75" customHeight="1">
      <c r="A403" s="109"/>
      <c r="B403" s="104"/>
      <c r="C403" s="104"/>
      <c r="D403" s="105"/>
      <c r="E403" s="106"/>
      <c r="F403" s="107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6"/>
    </row>
    <row r="404" ht="15.75" customHeight="1">
      <c r="A404" s="109"/>
      <c r="B404" s="104"/>
      <c r="C404" s="104"/>
      <c r="D404" s="105"/>
      <c r="E404" s="106"/>
      <c r="F404" s="107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6"/>
    </row>
    <row r="405" ht="15.75" customHeight="1">
      <c r="A405" s="109"/>
      <c r="B405" s="104"/>
      <c r="C405" s="104"/>
      <c r="D405" s="105"/>
      <c r="E405" s="106"/>
      <c r="F405" s="107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6"/>
    </row>
    <row r="406" ht="15.75" customHeight="1">
      <c r="A406" s="109"/>
      <c r="B406" s="104"/>
      <c r="C406" s="104"/>
      <c r="D406" s="105"/>
      <c r="E406" s="106"/>
      <c r="F406" s="107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6"/>
    </row>
    <row r="407" ht="15.75" customHeight="1">
      <c r="A407" s="109"/>
      <c r="B407" s="104"/>
      <c r="C407" s="104"/>
      <c r="D407" s="105"/>
      <c r="E407" s="106"/>
      <c r="F407" s="107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6"/>
    </row>
    <row r="408" ht="15.75" customHeight="1">
      <c r="A408" s="109"/>
      <c r="B408" s="104"/>
      <c r="C408" s="104"/>
      <c r="D408" s="105"/>
      <c r="E408" s="106"/>
      <c r="F408" s="107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6"/>
    </row>
    <row r="409" ht="15.75" customHeight="1">
      <c r="A409" s="109"/>
      <c r="B409" s="104"/>
      <c r="C409" s="104"/>
      <c r="D409" s="105"/>
      <c r="E409" s="106"/>
      <c r="F409" s="107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6"/>
    </row>
    <row r="410" ht="15.75" customHeight="1">
      <c r="A410" s="109"/>
      <c r="B410" s="104"/>
      <c r="C410" s="104"/>
      <c r="D410" s="105"/>
      <c r="E410" s="106"/>
      <c r="F410" s="107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6"/>
    </row>
    <row r="411" ht="15.75" customHeight="1">
      <c r="A411" s="109"/>
      <c r="B411" s="104"/>
      <c r="C411" s="104"/>
      <c r="D411" s="105"/>
      <c r="E411" s="106"/>
      <c r="F411" s="107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6"/>
    </row>
    <row r="412" ht="15.75" customHeight="1">
      <c r="A412" s="109"/>
      <c r="B412" s="104"/>
      <c r="C412" s="104"/>
      <c r="D412" s="105"/>
      <c r="E412" s="106"/>
      <c r="F412" s="107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6"/>
    </row>
    <row r="413" ht="15.75" customHeight="1">
      <c r="A413" s="109"/>
      <c r="B413" s="104"/>
      <c r="C413" s="104"/>
      <c r="D413" s="105"/>
      <c r="E413" s="106"/>
      <c r="F413" s="107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6"/>
    </row>
    <row r="414" ht="15.75" customHeight="1">
      <c r="A414" s="109"/>
      <c r="B414" s="104"/>
      <c r="C414" s="104"/>
      <c r="D414" s="105"/>
      <c r="E414" s="106"/>
      <c r="F414" s="107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6"/>
    </row>
    <row r="415" ht="15.75" customHeight="1">
      <c r="A415" s="109"/>
      <c r="B415" s="104"/>
      <c r="C415" s="104"/>
      <c r="D415" s="105"/>
      <c r="E415" s="106"/>
      <c r="F415" s="107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6"/>
    </row>
    <row r="416" ht="15.75" customHeight="1">
      <c r="A416" s="109"/>
      <c r="B416" s="104"/>
      <c r="C416" s="104"/>
      <c r="D416" s="105"/>
      <c r="E416" s="106"/>
      <c r="F416" s="107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6"/>
    </row>
    <row r="417" ht="15.75" customHeight="1">
      <c r="A417" s="109"/>
      <c r="B417" s="104"/>
      <c r="C417" s="104"/>
      <c r="D417" s="105"/>
      <c r="E417" s="106"/>
      <c r="F417" s="107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6"/>
    </row>
    <row r="418" ht="15.75" customHeight="1">
      <c r="A418" s="109"/>
      <c r="B418" s="104"/>
      <c r="C418" s="104"/>
      <c r="D418" s="105"/>
      <c r="E418" s="106"/>
      <c r="F418" s="107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6"/>
    </row>
    <row r="419" ht="15.75" customHeight="1">
      <c r="A419" s="109"/>
      <c r="B419" s="104"/>
      <c r="C419" s="104"/>
      <c r="D419" s="105"/>
      <c r="E419" s="106"/>
      <c r="F419" s="107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6"/>
    </row>
    <row r="420" ht="15.75" customHeight="1">
      <c r="A420" s="109"/>
      <c r="B420" s="104"/>
      <c r="C420" s="104"/>
      <c r="D420" s="105"/>
      <c r="E420" s="106"/>
      <c r="F420" s="107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6"/>
    </row>
    <row r="421" ht="15.75" customHeight="1">
      <c r="A421" s="109"/>
      <c r="B421" s="104"/>
      <c r="C421" s="104"/>
      <c r="D421" s="105"/>
      <c r="E421" s="106"/>
      <c r="F421" s="107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6"/>
    </row>
    <row r="422" ht="15.75" customHeight="1">
      <c r="A422" s="109"/>
      <c r="B422" s="104"/>
      <c r="C422" s="104"/>
      <c r="D422" s="105"/>
      <c r="E422" s="106"/>
      <c r="F422" s="107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6"/>
    </row>
    <row r="423" ht="15.75" customHeight="1">
      <c r="A423" s="109"/>
      <c r="B423" s="104"/>
      <c r="C423" s="104"/>
      <c r="D423" s="105"/>
      <c r="E423" s="106"/>
      <c r="F423" s="107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6"/>
    </row>
    <row r="424" ht="15.75" customHeight="1">
      <c r="A424" s="109"/>
      <c r="B424" s="104"/>
      <c r="C424" s="104"/>
      <c r="D424" s="105"/>
      <c r="E424" s="106"/>
      <c r="F424" s="107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6"/>
    </row>
    <row r="425" ht="15.75" customHeight="1">
      <c r="A425" s="109"/>
      <c r="B425" s="104"/>
      <c r="C425" s="104"/>
      <c r="D425" s="105"/>
      <c r="E425" s="106"/>
      <c r="F425" s="107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6"/>
    </row>
    <row r="426" ht="15.75" customHeight="1">
      <c r="A426" s="109"/>
      <c r="B426" s="104"/>
      <c r="C426" s="104"/>
      <c r="D426" s="105"/>
      <c r="E426" s="106"/>
      <c r="F426" s="107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6"/>
    </row>
    <row r="427" ht="15.75" customHeight="1">
      <c r="A427" s="109"/>
      <c r="B427" s="104"/>
      <c r="C427" s="104"/>
      <c r="D427" s="105"/>
      <c r="E427" s="106"/>
      <c r="F427" s="107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6"/>
    </row>
    <row r="428" ht="15.75" customHeight="1">
      <c r="A428" s="109"/>
      <c r="B428" s="104"/>
      <c r="C428" s="104"/>
      <c r="D428" s="105"/>
      <c r="E428" s="106"/>
      <c r="F428" s="107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6"/>
    </row>
    <row r="429" ht="15.75" customHeight="1">
      <c r="A429" s="109"/>
      <c r="B429" s="104"/>
      <c r="C429" s="104"/>
      <c r="D429" s="105"/>
      <c r="E429" s="106"/>
      <c r="F429" s="107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6"/>
    </row>
    <row r="430" ht="15.75" customHeight="1">
      <c r="A430" s="109"/>
      <c r="B430" s="104"/>
      <c r="C430" s="104"/>
      <c r="D430" s="105"/>
      <c r="E430" s="106"/>
      <c r="F430" s="107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6"/>
    </row>
    <row r="431" ht="15.75" customHeight="1">
      <c r="A431" s="109"/>
      <c r="B431" s="104"/>
      <c r="C431" s="104"/>
      <c r="D431" s="105"/>
      <c r="E431" s="106"/>
      <c r="F431" s="107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6"/>
    </row>
    <row r="432" ht="15.75" customHeight="1">
      <c r="A432" s="109"/>
      <c r="B432" s="104"/>
      <c r="C432" s="104"/>
      <c r="D432" s="105"/>
      <c r="E432" s="106"/>
      <c r="F432" s="107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6"/>
    </row>
    <row r="433" ht="15.75" customHeight="1">
      <c r="A433" s="109"/>
      <c r="B433" s="104"/>
      <c r="C433" s="104"/>
      <c r="D433" s="105"/>
      <c r="E433" s="106"/>
      <c r="F433" s="107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6"/>
    </row>
    <row r="434" ht="15.75" customHeight="1">
      <c r="A434" s="109"/>
      <c r="B434" s="104"/>
      <c r="C434" s="104"/>
      <c r="D434" s="105"/>
      <c r="E434" s="106"/>
      <c r="F434" s="107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6"/>
    </row>
    <row r="435" ht="15.75" customHeight="1">
      <c r="A435" s="109"/>
      <c r="B435" s="104"/>
      <c r="C435" s="104"/>
      <c r="D435" s="105"/>
      <c r="E435" s="106"/>
      <c r="F435" s="107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6"/>
    </row>
    <row r="436" ht="15.75" customHeight="1">
      <c r="A436" s="109"/>
      <c r="B436" s="104"/>
      <c r="C436" s="104"/>
      <c r="D436" s="105"/>
      <c r="E436" s="106"/>
      <c r="F436" s="107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6"/>
    </row>
    <row r="437" ht="15.75" customHeight="1">
      <c r="A437" s="109"/>
      <c r="B437" s="104"/>
      <c r="C437" s="104"/>
      <c r="D437" s="105"/>
      <c r="E437" s="106"/>
      <c r="F437" s="107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6"/>
    </row>
    <row r="438" ht="15.75" customHeight="1">
      <c r="A438" s="109"/>
      <c r="B438" s="104"/>
      <c r="C438" s="104"/>
      <c r="D438" s="105"/>
      <c r="E438" s="106"/>
      <c r="F438" s="107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6"/>
    </row>
    <row r="439" ht="15.75" customHeight="1">
      <c r="A439" s="109"/>
      <c r="B439" s="104"/>
      <c r="C439" s="104"/>
      <c r="D439" s="105"/>
      <c r="E439" s="106"/>
      <c r="F439" s="107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6"/>
    </row>
    <row r="440" ht="15.75" customHeight="1">
      <c r="A440" s="109"/>
      <c r="B440" s="104"/>
      <c r="C440" s="104"/>
      <c r="D440" s="105"/>
      <c r="E440" s="106"/>
      <c r="F440" s="107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6"/>
    </row>
    <row r="441" ht="15.75" customHeight="1">
      <c r="A441" s="109"/>
      <c r="B441" s="104"/>
      <c r="C441" s="104"/>
      <c r="D441" s="105"/>
      <c r="E441" s="106"/>
      <c r="F441" s="107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6"/>
    </row>
    <row r="442" ht="15.75" customHeight="1">
      <c r="A442" s="109"/>
      <c r="B442" s="104"/>
      <c r="C442" s="104"/>
      <c r="D442" s="105"/>
      <c r="E442" s="106"/>
      <c r="F442" s="107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6"/>
    </row>
    <row r="443" ht="15.75" customHeight="1">
      <c r="A443" s="109"/>
      <c r="B443" s="104"/>
      <c r="C443" s="104"/>
      <c r="D443" s="105"/>
      <c r="E443" s="106"/>
      <c r="F443" s="107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6"/>
    </row>
    <row r="444" ht="15.75" customHeight="1">
      <c r="A444" s="109"/>
      <c r="B444" s="104"/>
      <c r="C444" s="104"/>
      <c r="D444" s="105"/>
      <c r="E444" s="106"/>
      <c r="F444" s="107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6"/>
    </row>
    <row r="445" ht="15.75" customHeight="1">
      <c r="A445" s="109"/>
      <c r="B445" s="104"/>
      <c r="C445" s="104"/>
      <c r="D445" s="105"/>
      <c r="E445" s="106"/>
      <c r="F445" s="107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6"/>
    </row>
    <row r="446" ht="15.75" customHeight="1">
      <c r="A446" s="109"/>
      <c r="B446" s="104"/>
      <c r="C446" s="104"/>
      <c r="D446" s="105"/>
      <c r="E446" s="106"/>
      <c r="F446" s="107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6"/>
    </row>
    <row r="447" ht="15.75" customHeight="1">
      <c r="A447" s="109"/>
      <c r="B447" s="104"/>
      <c r="C447" s="104"/>
      <c r="D447" s="105"/>
      <c r="E447" s="106"/>
      <c r="F447" s="107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6"/>
    </row>
    <row r="448" ht="15.75" customHeight="1">
      <c r="A448" s="109"/>
      <c r="B448" s="104"/>
      <c r="C448" s="104"/>
      <c r="D448" s="105"/>
      <c r="E448" s="106"/>
      <c r="F448" s="107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6"/>
    </row>
    <row r="449" ht="15.75" customHeight="1">
      <c r="A449" s="109"/>
      <c r="B449" s="104"/>
      <c r="C449" s="104"/>
      <c r="D449" s="105"/>
      <c r="E449" s="106"/>
      <c r="F449" s="107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6"/>
    </row>
    <row r="450" ht="15.75" customHeight="1">
      <c r="A450" s="109"/>
      <c r="B450" s="104"/>
      <c r="C450" s="104"/>
      <c r="D450" s="105"/>
      <c r="E450" s="106"/>
      <c r="F450" s="107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6"/>
    </row>
    <row r="451" ht="15.75" customHeight="1">
      <c r="A451" s="109"/>
      <c r="B451" s="104"/>
      <c r="C451" s="104"/>
      <c r="D451" s="105"/>
      <c r="E451" s="106"/>
      <c r="F451" s="107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6"/>
    </row>
    <row r="452" ht="15.75" customHeight="1">
      <c r="A452" s="109"/>
      <c r="B452" s="104"/>
      <c r="C452" s="104"/>
      <c r="D452" s="105"/>
      <c r="E452" s="106"/>
      <c r="F452" s="107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6"/>
    </row>
    <row r="453" ht="15.75" customHeight="1">
      <c r="A453" s="109"/>
      <c r="B453" s="104"/>
      <c r="C453" s="104"/>
      <c r="D453" s="105"/>
      <c r="E453" s="106"/>
      <c r="F453" s="107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6"/>
    </row>
    <row r="454" ht="15.75" customHeight="1">
      <c r="A454" s="109"/>
      <c r="B454" s="104"/>
      <c r="C454" s="104"/>
      <c r="D454" s="105"/>
      <c r="E454" s="106"/>
      <c r="F454" s="107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6"/>
    </row>
    <row r="455" ht="15.75" customHeight="1">
      <c r="A455" s="109"/>
      <c r="B455" s="104"/>
      <c r="C455" s="104"/>
      <c r="D455" s="105"/>
      <c r="E455" s="106"/>
      <c r="F455" s="107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6"/>
    </row>
    <row r="456" ht="15.75" customHeight="1">
      <c r="A456" s="109"/>
      <c r="B456" s="104"/>
      <c r="C456" s="104"/>
      <c r="D456" s="105"/>
      <c r="E456" s="106"/>
      <c r="F456" s="107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6"/>
    </row>
    <row r="457" ht="15.75" customHeight="1">
      <c r="A457" s="109"/>
      <c r="B457" s="104"/>
      <c r="C457" s="104"/>
      <c r="D457" s="105"/>
      <c r="E457" s="106"/>
      <c r="F457" s="107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6"/>
    </row>
    <row r="458" ht="15.75" customHeight="1">
      <c r="A458" s="109"/>
      <c r="B458" s="104"/>
      <c r="C458" s="104"/>
      <c r="D458" s="105"/>
      <c r="E458" s="106"/>
      <c r="F458" s="107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6"/>
    </row>
    <row r="459" ht="15.75" customHeight="1">
      <c r="A459" s="109"/>
      <c r="B459" s="104"/>
      <c r="C459" s="104"/>
      <c r="D459" s="105"/>
      <c r="E459" s="106"/>
      <c r="F459" s="107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6"/>
    </row>
    <row r="460" ht="15.75" customHeight="1">
      <c r="A460" s="109"/>
      <c r="B460" s="104"/>
      <c r="C460" s="104"/>
      <c r="D460" s="105"/>
      <c r="E460" s="106"/>
      <c r="F460" s="107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6"/>
    </row>
    <row r="461" ht="15.75" customHeight="1">
      <c r="A461" s="109"/>
      <c r="B461" s="104"/>
      <c r="C461" s="104"/>
      <c r="D461" s="105"/>
      <c r="E461" s="106"/>
      <c r="F461" s="107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6"/>
    </row>
    <row r="462" ht="15.75" customHeight="1">
      <c r="A462" s="109"/>
      <c r="B462" s="104"/>
      <c r="C462" s="104"/>
      <c r="D462" s="105"/>
      <c r="E462" s="106"/>
      <c r="F462" s="107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6"/>
    </row>
    <row r="463" ht="15.75" customHeight="1">
      <c r="A463" s="109"/>
      <c r="B463" s="104"/>
      <c r="C463" s="104"/>
      <c r="D463" s="105"/>
      <c r="E463" s="106"/>
      <c r="F463" s="107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6"/>
    </row>
    <row r="464" ht="15.75" customHeight="1">
      <c r="A464" s="109"/>
      <c r="B464" s="104"/>
      <c r="C464" s="104"/>
      <c r="D464" s="105"/>
      <c r="E464" s="106"/>
      <c r="F464" s="107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6"/>
    </row>
    <row r="465" ht="15.75" customHeight="1">
      <c r="A465" s="109"/>
      <c r="B465" s="104"/>
      <c r="C465" s="104"/>
      <c r="D465" s="105"/>
      <c r="E465" s="106"/>
      <c r="F465" s="107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6"/>
    </row>
    <row r="466" ht="15.75" customHeight="1">
      <c r="A466" s="109"/>
      <c r="B466" s="104"/>
      <c r="C466" s="104"/>
      <c r="D466" s="105"/>
      <c r="E466" s="106"/>
      <c r="F466" s="107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6"/>
    </row>
    <row r="467" ht="15.75" customHeight="1">
      <c r="A467" s="109"/>
      <c r="B467" s="104"/>
      <c r="C467" s="104"/>
      <c r="D467" s="105"/>
      <c r="E467" s="106"/>
      <c r="F467" s="107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6"/>
    </row>
    <row r="468" ht="15.75" customHeight="1">
      <c r="A468" s="109"/>
      <c r="B468" s="104"/>
      <c r="C468" s="104"/>
      <c r="D468" s="105"/>
      <c r="E468" s="106"/>
      <c r="F468" s="107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6"/>
    </row>
    <row r="469" ht="15.75" customHeight="1">
      <c r="A469" s="109"/>
      <c r="B469" s="104"/>
      <c r="C469" s="104"/>
      <c r="D469" s="105"/>
      <c r="E469" s="106"/>
      <c r="F469" s="107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6"/>
    </row>
    <row r="470" ht="15.75" customHeight="1">
      <c r="A470" s="109"/>
      <c r="B470" s="104"/>
      <c r="C470" s="104"/>
      <c r="D470" s="105"/>
      <c r="E470" s="106"/>
      <c r="F470" s="107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6"/>
    </row>
    <row r="471" ht="15.75" customHeight="1">
      <c r="A471" s="109"/>
      <c r="B471" s="104"/>
      <c r="C471" s="104"/>
      <c r="D471" s="105"/>
      <c r="E471" s="106"/>
      <c r="F471" s="107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6"/>
    </row>
    <row r="472" ht="15.75" customHeight="1">
      <c r="A472" s="109"/>
      <c r="B472" s="104"/>
      <c r="C472" s="104"/>
      <c r="D472" s="105"/>
      <c r="E472" s="106"/>
      <c r="F472" s="107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6"/>
    </row>
    <row r="473" ht="15.75" customHeight="1">
      <c r="A473" s="109"/>
      <c r="B473" s="104"/>
      <c r="C473" s="104"/>
      <c r="D473" s="105"/>
      <c r="E473" s="106"/>
      <c r="F473" s="107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6"/>
    </row>
    <row r="474" ht="15.75" customHeight="1">
      <c r="A474" s="109"/>
      <c r="B474" s="104"/>
      <c r="C474" s="104"/>
      <c r="D474" s="105"/>
      <c r="E474" s="106"/>
      <c r="F474" s="107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6"/>
    </row>
    <row r="475" ht="15.75" customHeight="1">
      <c r="A475" s="109"/>
      <c r="B475" s="104"/>
      <c r="C475" s="104"/>
      <c r="D475" s="105"/>
      <c r="E475" s="106"/>
      <c r="F475" s="107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6"/>
    </row>
    <row r="476" ht="15.75" customHeight="1">
      <c r="A476" s="109"/>
      <c r="B476" s="104"/>
      <c r="C476" s="104"/>
      <c r="D476" s="105"/>
      <c r="E476" s="106"/>
      <c r="F476" s="107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6"/>
    </row>
    <row r="477" ht="15.75" customHeight="1">
      <c r="A477" s="109"/>
      <c r="B477" s="104"/>
      <c r="C477" s="104"/>
      <c r="D477" s="105"/>
      <c r="E477" s="106"/>
      <c r="F477" s="107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6"/>
    </row>
    <row r="478" ht="15.75" customHeight="1">
      <c r="A478" s="109"/>
      <c r="B478" s="104"/>
      <c r="C478" s="104"/>
      <c r="D478" s="105"/>
      <c r="E478" s="106"/>
      <c r="F478" s="107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6"/>
    </row>
    <row r="479" ht="15.75" customHeight="1">
      <c r="A479" s="109"/>
      <c r="B479" s="104"/>
      <c r="C479" s="104"/>
      <c r="D479" s="105"/>
      <c r="E479" s="106"/>
      <c r="F479" s="107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6"/>
    </row>
    <row r="480" ht="15.75" customHeight="1">
      <c r="A480" s="109"/>
      <c r="B480" s="104"/>
      <c r="C480" s="104"/>
      <c r="D480" s="105"/>
      <c r="E480" s="106"/>
      <c r="F480" s="107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6"/>
    </row>
    <row r="481" ht="15.75" customHeight="1">
      <c r="A481" s="109"/>
      <c r="B481" s="104"/>
      <c r="C481" s="104"/>
      <c r="D481" s="105"/>
      <c r="E481" s="106"/>
      <c r="F481" s="107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6"/>
    </row>
    <row r="482" ht="15.75" customHeight="1">
      <c r="A482" s="109"/>
      <c r="B482" s="104"/>
      <c r="C482" s="104"/>
      <c r="D482" s="105"/>
      <c r="E482" s="106"/>
      <c r="F482" s="107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6"/>
    </row>
    <row r="483" ht="15.75" customHeight="1">
      <c r="A483" s="109"/>
      <c r="B483" s="104"/>
      <c r="C483" s="104"/>
      <c r="D483" s="105"/>
      <c r="E483" s="106"/>
      <c r="F483" s="107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6"/>
    </row>
    <row r="484" ht="15.75" customHeight="1">
      <c r="A484" s="109"/>
      <c r="B484" s="104"/>
      <c r="C484" s="104"/>
      <c r="D484" s="105"/>
      <c r="E484" s="106"/>
      <c r="F484" s="107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6"/>
    </row>
    <row r="485" ht="15.75" customHeight="1">
      <c r="A485" s="109"/>
      <c r="B485" s="104"/>
      <c r="C485" s="104"/>
      <c r="D485" s="105"/>
      <c r="E485" s="106"/>
      <c r="F485" s="107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6"/>
    </row>
    <row r="486" ht="15.75" customHeight="1">
      <c r="A486" s="109"/>
      <c r="B486" s="104"/>
      <c r="C486" s="104"/>
      <c r="D486" s="105"/>
      <c r="E486" s="106"/>
      <c r="F486" s="107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6"/>
    </row>
    <row r="487" ht="15.75" customHeight="1">
      <c r="A487" s="109"/>
      <c r="B487" s="104"/>
      <c r="C487" s="104"/>
      <c r="D487" s="105"/>
      <c r="E487" s="106"/>
      <c r="F487" s="107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6"/>
    </row>
    <row r="488" ht="15.75" customHeight="1">
      <c r="A488" s="109"/>
      <c r="B488" s="104"/>
      <c r="C488" s="104"/>
      <c r="D488" s="105"/>
      <c r="E488" s="106"/>
      <c r="F488" s="107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6"/>
    </row>
    <row r="489" ht="15.75" customHeight="1">
      <c r="A489" s="109"/>
      <c r="B489" s="104"/>
      <c r="C489" s="104"/>
      <c r="D489" s="105"/>
      <c r="E489" s="106"/>
      <c r="F489" s="107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6"/>
    </row>
    <row r="490" ht="15.75" customHeight="1">
      <c r="A490" s="109"/>
      <c r="B490" s="104"/>
      <c r="C490" s="104"/>
      <c r="D490" s="105"/>
      <c r="E490" s="106"/>
      <c r="F490" s="107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6"/>
    </row>
    <row r="491" ht="15.75" customHeight="1">
      <c r="A491" s="109"/>
      <c r="B491" s="104"/>
      <c r="C491" s="104"/>
      <c r="D491" s="105"/>
      <c r="E491" s="106"/>
      <c r="F491" s="107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6"/>
    </row>
    <row r="492" ht="15.75" customHeight="1">
      <c r="A492" s="109"/>
      <c r="B492" s="104"/>
      <c r="C492" s="104"/>
      <c r="D492" s="105"/>
      <c r="E492" s="106"/>
      <c r="F492" s="107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6"/>
    </row>
    <row r="493" ht="15.75" customHeight="1">
      <c r="A493" s="109"/>
      <c r="B493" s="104"/>
      <c r="C493" s="104"/>
      <c r="D493" s="105"/>
      <c r="E493" s="106"/>
      <c r="F493" s="107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6"/>
    </row>
    <row r="494" ht="15.75" customHeight="1">
      <c r="A494" s="109"/>
      <c r="B494" s="104"/>
      <c r="C494" s="104"/>
      <c r="D494" s="105"/>
      <c r="E494" s="106"/>
      <c r="F494" s="107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6"/>
    </row>
    <row r="495" ht="15.75" customHeight="1">
      <c r="A495" s="109"/>
      <c r="B495" s="104"/>
      <c r="C495" s="104"/>
      <c r="D495" s="105"/>
      <c r="E495" s="106"/>
      <c r="F495" s="107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6"/>
    </row>
    <row r="496" ht="15.75" customHeight="1">
      <c r="A496" s="109"/>
      <c r="B496" s="104"/>
      <c r="C496" s="104"/>
      <c r="D496" s="105"/>
      <c r="E496" s="106"/>
      <c r="F496" s="107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6"/>
    </row>
    <row r="497" ht="15.75" customHeight="1">
      <c r="A497" s="109"/>
      <c r="B497" s="104"/>
      <c r="C497" s="104"/>
      <c r="D497" s="105"/>
      <c r="E497" s="106"/>
      <c r="F497" s="107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6"/>
    </row>
    <row r="498" ht="15.75" customHeight="1">
      <c r="A498" s="109"/>
      <c r="B498" s="104"/>
      <c r="C498" s="104"/>
      <c r="D498" s="105"/>
      <c r="E498" s="106"/>
      <c r="F498" s="107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6"/>
    </row>
    <row r="499" ht="15.75" customHeight="1">
      <c r="A499" s="109"/>
      <c r="B499" s="104"/>
      <c r="C499" s="104"/>
      <c r="D499" s="105"/>
      <c r="E499" s="106"/>
      <c r="F499" s="107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6"/>
    </row>
    <row r="500" ht="15.75" customHeight="1">
      <c r="A500" s="109"/>
      <c r="B500" s="104"/>
      <c r="C500" s="104"/>
      <c r="D500" s="105"/>
      <c r="E500" s="106"/>
      <c r="F500" s="107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6"/>
    </row>
    <row r="501" ht="15.75" customHeight="1">
      <c r="A501" s="109"/>
      <c r="B501" s="104"/>
      <c r="C501" s="104"/>
      <c r="D501" s="105"/>
      <c r="E501" s="106"/>
      <c r="F501" s="107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6"/>
    </row>
    <row r="502" ht="15.75" customHeight="1">
      <c r="A502" s="109"/>
      <c r="B502" s="104"/>
      <c r="C502" s="104"/>
      <c r="D502" s="105"/>
      <c r="E502" s="106"/>
      <c r="F502" s="107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6"/>
    </row>
    <row r="503" ht="15.75" customHeight="1">
      <c r="A503" s="109"/>
      <c r="B503" s="104"/>
      <c r="C503" s="104"/>
      <c r="D503" s="105"/>
      <c r="E503" s="106"/>
      <c r="F503" s="107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6"/>
    </row>
    <row r="504" ht="15.75" customHeight="1">
      <c r="A504" s="109"/>
      <c r="B504" s="104"/>
      <c r="C504" s="104"/>
      <c r="D504" s="105"/>
      <c r="E504" s="106"/>
      <c r="F504" s="107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6"/>
    </row>
    <row r="505" ht="15.75" customHeight="1">
      <c r="A505" s="109"/>
      <c r="B505" s="104"/>
      <c r="C505" s="104"/>
      <c r="D505" s="105"/>
      <c r="E505" s="106"/>
      <c r="F505" s="107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6"/>
    </row>
    <row r="506" ht="15.75" customHeight="1">
      <c r="A506" s="109"/>
      <c r="B506" s="104"/>
      <c r="C506" s="104"/>
      <c r="D506" s="105"/>
      <c r="E506" s="106"/>
      <c r="F506" s="107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6"/>
    </row>
    <row r="507" ht="15.75" customHeight="1">
      <c r="A507" s="109"/>
      <c r="B507" s="104"/>
      <c r="C507" s="104"/>
      <c r="D507" s="105"/>
      <c r="E507" s="106"/>
      <c r="F507" s="107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6"/>
    </row>
    <row r="508" ht="15.75" customHeight="1">
      <c r="A508" s="109"/>
      <c r="B508" s="104"/>
      <c r="C508" s="104"/>
      <c r="D508" s="105"/>
      <c r="E508" s="106"/>
      <c r="F508" s="107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6"/>
    </row>
    <row r="509" ht="15.75" customHeight="1">
      <c r="A509" s="109"/>
      <c r="B509" s="104"/>
      <c r="C509" s="104"/>
      <c r="D509" s="105"/>
      <c r="E509" s="106"/>
      <c r="F509" s="107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6"/>
    </row>
    <row r="510" ht="15.75" customHeight="1">
      <c r="A510" s="109"/>
      <c r="B510" s="104"/>
      <c r="C510" s="104"/>
      <c r="D510" s="105"/>
      <c r="E510" s="106"/>
      <c r="F510" s="107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6"/>
    </row>
    <row r="511" ht="15.75" customHeight="1">
      <c r="A511" s="109"/>
      <c r="B511" s="104"/>
      <c r="C511" s="104"/>
      <c r="D511" s="105"/>
      <c r="E511" s="106"/>
      <c r="F511" s="107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6"/>
    </row>
    <row r="512" ht="15.75" customHeight="1">
      <c r="A512" s="109"/>
      <c r="B512" s="104"/>
      <c r="C512" s="104"/>
      <c r="D512" s="105"/>
      <c r="E512" s="106"/>
      <c r="F512" s="107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6"/>
    </row>
    <row r="513" ht="15.75" customHeight="1">
      <c r="A513" s="109"/>
      <c r="B513" s="104"/>
      <c r="C513" s="104"/>
      <c r="D513" s="105"/>
      <c r="E513" s="106"/>
      <c r="F513" s="107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6"/>
    </row>
    <row r="514" ht="15.75" customHeight="1">
      <c r="A514" s="109"/>
      <c r="B514" s="104"/>
      <c r="C514" s="104"/>
      <c r="D514" s="105"/>
      <c r="E514" s="106"/>
      <c r="F514" s="107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6"/>
    </row>
    <row r="515" ht="15.75" customHeight="1">
      <c r="A515" s="109"/>
      <c r="B515" s="104"/>
      <c r="C515" s="104"/>
      <c r="D515" s="105"/>
      <c r="E515" s="106"/>
      <c r="F515" s="107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6"/>
    </row>
    <row r="516" ht="15.75" customHeight="1">
      <c r="A516" s="109"/>
      <c r="B516" s="104"/>
      <c r="C516" s="104"/>
      <c r="D516" s="105"/>
      <c r="E516" s="106"/>
      <c r="F516" s="107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6"/>
    </row>
    <row r="517" ht="15.75" customHeight="1">
      <c r="A517" s="109"/>
      <c r="B517" s="104"/>
      <c r="C517" s="104"/>
      <c r="D517" s="105"/>
      <c r="E517" s="106"/>
      <c r="F517" s="107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6"/>
    </row>
    <row r="518" ht="15.75" customHeight="1">
      <c r="A518" s="109"/>
      <c r="B518" s="104"/>
      <c r="C518" s="104"/>
      <c r="D518" s="105"/>
      <c r="E518" s="106"/>
      <c r="F518" s="107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6"/>
    </row>
    <row r="519" ht="15.75" customHeight="1">
      <c r="A519" s="109"/>
      <c r="B519" s="104"/>
      <c r="C519" s="104"/>
      <c r="D519" s="105"/>
      <c r="E519" s="106"/>
      <c r="F519" s="107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6"/>
    </row>
    <row r="520" ht="15.75" customHeight="1">
      <c r="A520" s="109"/>
      <c r="B520" s="104"/>
      <c r="C520" s="104"/>
      <c r="D520" s="105"/>
      <c r="E520" s="106"/>
      <c r="F520" s="107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6"/>
    </row>
    <row r="521" ht="15.75" customHeight="1">
      <c r="A521" s="109"/>
      <c r="B521" s="104"/>
      <c r="C521" s="104"/>
      <c r="D521" s="105"/>
      <c r="E521" s="106"/>
      <c r="F521" s="107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6"/>
    </row>
    <row r="522" ht="15.75" customHeight="1">
      <c r="A522" s="109"/>
      <c r="B522" s="104"/>
      <c r="C522" s="104"/>
      <c r="D522" s="105"/>
      <c r="E522" s="106"/>
      <c r="F522" s="107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6"/>
    </row>
    <row r="523" ht="15.75" customHeight="1">
      <c r="A523" s="109"/>
      <c r="B523" s="104"/>
      <c r="C523" s="104"/>
      <c r="D523" s="105"/>
      <c r="E523" s="106"/>
      <c r="F523" s="107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6"/>
    </row>
    <row r="524" ht="15.75" customHeight="1">
      <c r="A524" s="109"/>
      <c r="B524" s="104"/>
      <c r="C524" s="104"/>
      <c r="D524" s="105"/>
      <c r="E524" s="106"/>
      <c r="F524" s="107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6"/>
    </row>
    <row r="525" ht="15.75" customHeight="1">
      <c r="A525" s="109"/>
      <c r="B525" s="104"/>
      <c r="C525" s="104"/>
      <c r="D525" s="105"/>
      <c r="E525" s="106"/>
      <c r="F525" s="107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6"/>
    </row>
    <row r="526" ht="15.75" customHeight="1">
      <c r="A526" s="109"/>
      <c r="B526" s="104"/>
      <c r="C526" s="104"/>
      <c r="D526" s="105"/>
      <c r="E526" s="106"/>
      <c r="F526" s="107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6"/>
    </row>
    <row r="527" ht="15.75" customHeight="1">
      <c r="A527" s="109"/>
      <c r="B527" s="104"/>
      <c r="C527" s="104"/>
      <c r="D527" s="105"/>
      <c r="E527" s="106"/>
      <c r="F527" s="107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6"/>
    </row>
    <row r="528" ht="15.75" customHeight="1">
      <c r="A528" s="109"/>
      <c r="B528" s="104"/>
      <c r="C528" s="104"/>
      <c r="D528" s="105"/>
      <c r="E528" s="106"/>
      <c r="F528" s="107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6"/>
    </row>
    <row r="529" ht="15.75" customHeight="1">
      <c r="A529" s="109"/>
      <c r="B529" s="104"/>
      <c r="C529" s="104"/>
      <c r="D529" s="105"/>
      <c r="E529" s="106"/>
      <c r="F529" s="107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6"/>
    </row>
    <row r="530" ht="15.75" customHeight="1">
      <c r="A530" s="109"/>
      <c r="B530" s="104"/>
      <c r="C530" s="104"/>
      <c r="D530" s="105"/>
      <c r="E530" s="106"/>
      <c r="F530" s="107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6"/>
    </row>
    <row r="531" ht="15.75" customHeight="1">
      <c r="A531" s="109"/>
      <c r="B531" s="104"/>
      <c r="C531" s="104"/>
      <c r="D531" s="105"/>
      <c r="E531" s="106"/>
      <c r="F531" s="107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6"/>
    </row>
    <row r="532" ht="15.75" customHeight="1">
      <c r="A532" s="109"/>
      <c r="B532" s="104"/>
      <c r="C532" s="104"/>
      <c r="D532" s="105"/>
      <c r="E532" s="106"/>
      <c r="F532" s="107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6"/>
    </row>
    <row r="533" ht="15.75" customHeight="1">
      <c r="A533" s="109"/>
      <c r="B533" s="104"/>
      <c r="C533" s="104"/>
      <c r="D533" s="105"/>
      <c r="E533" s="106"/>
      <c r="F533" s="107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6"/>
    </row>
    <row r="534" ht="15.75" customHeight="1">
      <c r="A534" s="109"/>
      <c r="B534" s="104"/>
      <c r="C534" s="104"/>
      <c r="D534" s="105"/>
      <c r="E534" s="106"/>
      <c r="F534" s="107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6"/>
    </row>
    <row r="535" ht="15.75" customHeight="1">
      <c r="A535" s="109"/>
      <c r="B535" s="104"/>
      <c r="C535" s="104"/>
      <c r="D535" s="105"/>
      <c r="E535" s="106"/>
      <c r="F535" s="107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6"/>
    </row>
    <row r="536" ht="15.75" customHeight="1">
      <c r="A536" s="109"/>
      <c r="B536" s="104"/>
      <c r="C536" s="104"/>
      <c r="D536" s="105"/>
      <c r="E536" s="106"/>
      <c r="F536" s="107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6"/>
    </row>
    <row r="537" ht="15.75" customHeight="1">
      <c r="A537" s="109"/>
      <c r="B537" s="104"/>
      <c r="C537" s="104"/>
      <c r="D537" s="105"/>
      <c r="E537" s="106"/>
      <c r="F537" s="107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6"/>
    </row>
    <row r="538" ht="15.75" customHeight="1">
      <c r="A538" s="109"/>
      <c r="B538" s="104"/>
      <c r="C538" s="104"/>
      <c r="D538" s="105"/>
      <c r="E538" s="106"/>
      <c r="F538" s="107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6"/>
    </row>
    <row r="539" ht="15.75" customHeight="1">
      <c r="A539" s="109"/>
      <c r="B539" s="104"/>
      <c r="C539" s="104"/>
      <c r="D539" s="105"/>
      <c r="E539" s="106"/>
      <c r="F539" s="107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6"/>
    </row>
    <row r="540" ht="15.75" customHeight="1">
      <c r="A540" s="109"/>
      <c r="B540" s="104"/>
      <c r="C540" s="104"/>
      <c r="D540" s="105"/>
      <c r="E540" s="106"/>
      <c r="F540" s="107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6"/>
    </row>
    <row r="541" ht="15.75" customHeight="1">
      <c r="A541" s="109"/>
      <c r="B541" s="104"/>
      <c r="C541" s="104"/>
      <c r="D541" s="105"/>
      <c r="E541" s="106"/>
      <c r="F541" s="107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6"/>
    </row>
    <row r="542" ht="15.75" customHeight="1">
      <c r="A542" s="109"/>
      <c r="B542" s="104"/>
      <c r="C542" s="104"/>
      <c r="D542" s="105"/>
      <c r="E542" s="106"/>
      <c r="F542" s="107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6"/>
    </row>
    <row r="543" ht="15.75" customHeight="1">
      <c r="A543" s="109"/>
      <c r="B543" s="104"/>
      <c r="C543" s="104"/>
      <c r="D543" s="105"/>
      <c r="E543" s="106"/>
      <c r="F543" s="107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6"/>
    </row>
    <row r="544" ht="15.75" customHeight="1">
      <c r="A544" s="109"/>
      <c r="B544" s="104"/>
      <c r="C544" s="104"/>
      <c r="D544" s="105"/>
      <c r="E544" s="106"/>
      <c r="F544" s="107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6"/>
    </row>
    <row r="545" ht="15.75" customHeight="1">
      <c r="A545" s="109"/>
      <c r="B545" s="104"/>
      <c r="C545" s="104"/>
      <c r="D545" s="105"/>
      <c r="E545" s="106"/>
      <c r="F545" s="107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6"/>
    </row>
    <row r="546" ht="15.75" customHeight="1">
      <c r="A546" s="109"/>
      <c r="B546" s="104"/>
      <c r="C546" s="104"/>
      <c r="D546" s="105"/>
      <c r="E546" s="106"/>
      <c r="F546" s="107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6"/>
    </row>
    <row r="547" ht="15.75" customHeight="1">
      <c r="A547" s="109"/>
      <c r="B547" s="104"/>
      <c r="C547" s="104"/>
      <c r="D547" s="105"/>
      <c r="E547" s="106"/>
      <c r="F547" s="107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6"/>
    </row>
    <row r="548" ht="15.75" customHeight="1">
      <c r="A548" s="109"/>
      <c r="B548" s="104"/>
      <c r="C548" s="104"/>
      <c r="D548" s="105"/>
      <c r="E548" s="106"/>
      <c r="F548" s="107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6"/>
    </row>
    <row r="549" ht="15.75" customHeight="1">
      <c r="A549" s="109"/>
      <c r="B549" s="104"/>
      <c r="C549" s="104"/>
      <c r="D549" s="105"/>
      <c r="E549" s="106"/>
      <c r="F549" s="107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6"/>
    </row>
    <row r="550" ht="15.75" customHeight="1">
      <c r="A550" s="109"/>
      <c r="B550" s="104"/>
      <c r="C550" s="104"/>
      <c r="D550" s="105"/>
      <c r="E550" s="106"/>
      <c r="F550" s="107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6"/>
    </row>
    <row r="551" ht="15.75" customHeight="1">
      <c r="A551" s="109"/>
      <c r="B551" s="104"/>
      <c r="C551" s="104"/>
      <c r="D551" s="105"/>
      <c r="E551" s="106"/>
      <c r="F551" s="107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6"/>
    </row>
    <row r="552" ht="15.75" customHeight="1">
      <c r="A552" s="109"/>
      <c r="B552" s="104"/>
      <c r="C552" s="104"/>
      <c r="D552" s="105"/>
      <c r="E552" s="106"/>
      <c r="F552" s="107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6"/>
    </row>
    <row r="553" ht="15.75" customHeight="1">
      <c r="A553" s="109"/>
      <c r="B553" s="104"/>
      <c r="C553" s="104"/>
      <c r="D553" s="105"/>
      <c r="E553" s="106"/>
      <c r="F553" s="107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6"/>
    </row>
    <row r="554" ht="15.75" customHeight="1">
      <c r="A554" s="109"/>
      <c r="B554" s="104"/>
      <c r="C554" s="104"/>
      <c r="D554" s="105"/>
      <c r="E554" s="106"/>
      <c r="F554" s="107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6"/>
    </row>
    <row r="555" ht="15.75" customHeight="1">
      <c r="A555" s="109"/>
      <c r="B555" s="104"/>
      <c r="C555" s="104"/>
      <c r="D555" s="105"/>
      <c r="E555" s="106"/>
      <c r="F555" s="107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6"/>
    </row>
    <row r="556" ht="15.75" customHeight="1">
      <c r="A556" s="109"/>
      <c r="B556" s="104"/>
      <c r="C556" s="104"/>
      <c r="D556" s="105"/>
      <c r="E556" s="106"/>
      <c r="F556" s="107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6"/>
    </row>
    <row r="557" ht="15.75" customHeight="1">
      <c r="A557" s="109"/>
      <c r="B557" s="104"/>
      <c r="C557" s="104"/>
      <c r="D557" s="105"/>
      <c r="E557" s="106"/>
      <c r="F557" s="107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6"/>
    </row>
    <row r="558" ht="15.75" customHeight="1">
      <c r="A558" s="109"/>
      <c r="B558" s="104"/>
      <c r="C558" s="104"/>
      <c r="D558" s="105"/>
      <c r="E558" s="106"/>
      <c r="F558" s="107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6"/>
    </row>
    <row r="559" ht="15.75" customHeight="1">
      <c r="A559" s="109"/>
      <c r="B559" s="104"/>
      <c r="C559" s="104"/>
      <c r="D559" s="105"/>
      <c r="E559" s="106"/>
      <c r="F559" s="107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6"/>
    </row>
    <row r="560" ht="15.75" customHeight="1">
      <c r="A560" s="109"/>
      <c r="B560" s="104"/>
      <c r="C560" s="104"/>
      <c r="D560" s="105"/>
      <c r="E560" s="106"/>
      <c r="F560" s="107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6"/>
    </row>
    <row r="561" ht="15.75" customHeight="1">
      <c r="A561" s="109"/>
      <c r="B561" s="104"/>
      <c r="C561" s="104"/>
      <c r="D561" s="105"/>
      <c r="E561" s="106"/>
      <c r="F561" s="107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6"/>
    </row>
    <row r="562" ht="15.75" customHeight="1">
      <c r="A562" s="109"/>
      <c r="B562" s="104"/>
      <c r="C562" s="104"/>
      <c r="D562" s="105"/>
      <c r="E562" s="106"/>
      <c r="F562" s="107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6"/>
    </row>
    <row r="563" ht="15.75" customHeight="1">
      <c r="A563" s="109"/>
      <c r="B563" s="104"/>
      <c r="C563" s="104"/>
      <c r="D563" s="105"/>
      <c r="E563" s="106"/>
      <c r="F563" s="107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6"/>
    </row>
    <row r="564" ht="15.75" customHeight="1">
      <c r="A564" s="109"/>
      <c r="B564" s="104"/>
      <c r="C564" s="104"/>
      <c r="D564" s="105"/>
      <c r="E564" s="106"/>
      <c r="F564" s="107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6"/>
    </row>
    <row r="565" ht="15.75" customHeight="1">
      <c r="A565" s="109"/>
      <c r="B565" s="104"/>
      <c r="C565" s="104"/>
      <c r="D565" s="105"/>
      <c r="E565" s="106"/>
      <c r="F565" s="107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6"/>
    </row>
    <row r="566" ht="15.75" customHeight="1">
      <c r="A566" s="109"/>
      <c r="B566" s="104"/>
      <c r="C566" s="104"/>
      <c r="D566" s="105"/>
      <c r="E566" s="106"/>
      <c r="F566" s="107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6"/>
    </row>
    <row r="567" ht="15.75" customHeight="1">
      <c r="A567" s="109"/>
      <c r="B567" s="104"/>
      <c r="C567" s="104"/>
      <c r="D567" s="105"/>
      <c r="E567" s="106"/>
      <c r="F567" s="107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6"/>
    </row>
    <row r="568" ht="15.75" customHeight="1">
      <c r="A568" s="109"/>
      <c r="B568" s="104"/>
      <c r="C568" s="104"/>
      <c r="D568" s="105"/>
      <c r="E568" s="106"/>
      <c r="F568" s="107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6"/>
    </row>
    <row r="569" ht="15.75" customHeight="1">
      <c r="A569" s="109"/>
      <c r="B569" s="104"/>
      <c r="C569" s="104"/>
      <c r="D569" s="105"/>
      <c r="E569" s="106"/>
      <c r="F569" s="107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6"/>
    </row>
    <row r="570" ht="15.75" customHeight="1">
      <c r="A570" s="109"/>
      <c r="B570" s="104"/>
      <c r="C570" s="104"/>
      <c r="D570" s="105"/>
      <c r="E570" s="106"/>
      <c r="F570" s="107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6"/>
    </row>
    <row r="571" ht="15.75" customHeight="1">
      <c r="A571" s="109"/>
      <c r="B571" s="104"/>
      <c r="C571" s="104"/>
      <c r="D571" s="105"/>
      <c r="E571" s="106"/>
      <c r="F571" s="107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6"/>
    </row>
    <row r="572" ht="15.75" customHeight="1">
      <c r="A572" s="109"/>
      <c r="B572" s="104"/>
      <c r="C572" s="104"/>
      <c r="D572" s="105"/>
      <c r="E572" s="106"/>
      <c r="F572" s="107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6"/>
    </row>
    <row r="573" ht="15.75" customHeight="1">
      <c r="A573" s="109"/>
      <c r="B573" s="104"/>
      <c r="C573" s="104"/>
      <c r="D573" s="105"/>
      <c r="E573" s="106"/>
      <c r="F573" s="107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6"/>
    </row>
    <row r="574" ht="15.75" customHeight="1">
      <c r="A574" s="109"/>
      <c r="B574" s="104"/>
      <c r="C574" s="104"/>
      <c r="D574" s="105"/>
      <c r="E574" s="106"/>
      <c r="F574" s="107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6"/>
    </row>
    <row r="575" ht="15.75" customHeight="1">
      <c r="A575" s="109"/>
      <c r="B575" s="104"/>
      <c r="C575" s="104"/>
      <c r="D575" s="105"/>
      <c r="E575" s="106"/>
      <c r="F575" s="107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6"/>
    </row>
    <row r="576" ht="15.75" customHeight="1">
      <c r="A576" s="109"/>
      <c r="B576" s="104"/>
      <c r="C576" s="104"/>
      <c r="D576" s="105"/>
      <c r="E576" s="106"/>
      <c r="F576" s="107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6"/>
    </row>
    <row r="577" ht="15.75" customHeight="1">
      <c r="A577" s="109"/>
      <c r="B577" s="104"/>
      <c r="C577" s="104"/>
      <c r="D577" s="105"/>
      <c r="E577" s="106"/>
      <c r="F577" s="107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6"/>
    </row>
    <row r="578" ht="15.75" customHeight="1">
      <c r="A578" s="109"/>
      <c r="B578" s="104"/>
      <c r="C578" s="104"/>
      <c r="D578" s="105"/>
      <c r="E578" s="106"/>
      <c r="F578" s="107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6"/>
    </row>
    <row r="579" ht="15.75" customHeight="1">
      <c r="A579" s="109"/>
      <c r="B579" s="104"/>
      <c r="C579" s="104"/>
      <c r="D579" s="105"/>
      <c r="E579" s="106"/>
      <c r="F579" s="107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6"/>
    </row>
    <row r="580" ht="15.75" customHeight="1">
      <c r="A580" s="109"/>
      <c r="B580" s="104"/>
      <c r="C580" s="104"/>
      <c r="D580" s="105"/>
      <c r="E580" s="106"/>
      <c r="F580" s="107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6"/>
    </row>
    <row r="581" ht="15.75" customHeight="1">
      <c r="A581" s="109"/>
      <c r="B581" s="104"/>
      <c r="C581" s="104"/>
      <c r="D581" s="105"/>
      <c r="E581" s="106"/>
      <c r="F581" s="107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6"/>
    </row>
    <row r="582" ht="15.75" customHeight="1">
      <c r="A582" s="109"/>
      <c r="B582" s="104"/>
      <c r="C582" s="104"/>
      <c r="D582" s="105"/>
      <c r="E582" s="106"/>
      <c r="F582" s="107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6"/>
    </row>
    <row r="583" ht="15.75" customHeight="1">
      <c r="A583" s="109"/>
      <c r="B583" s="104"/>
      <c r="C583" s="104"/>
      <c r="D583" s="105"/>
      <c r="E583" s="106"/>
      <c r="F583" s="107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6"/>
    </row>
    <row r="584" ht="15.75" customHeight="1">
      <c r="A584" s="109"/>
      <c r="B584" s="104"/>
      <c r="C584" s="104"/>
      <c r="D584" s="105"/>
      <c r="E584" s="106"/>
      <c r="F584" s="107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6"/>
    </row>
    <row r="585" ht="15.75" customHeight="1">
      <c r="A585" s="109"/>
      <c r="B585" s="104"/>
      <c r="C585" s="104"/>
      <c r="D585" s="105"/>
      <c r="E585" s="106"/>
      <c r="F585" s="107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6"/>
    </row>
    <row r="586" ht="15.75" customHeight="1">
      <c r="A586" s="109"/>
      <c r="B586" s="104"/>
      <c r="C586" s="104"/>
      <c r="D586" s="105"/>
      <c r="E586" s="106"/>
      <c r="F586" s="107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6"/>
    </row>
    <row r="587" ht="15.75" customHeight="1">
      <c r="A587" s="109"/>
      <c r="B587" s="104"/>
      <c r="C587" s="104"/>
      <c r="D587" s="105"/>
      <c r="E587" s="106"/>
      <c r="F587" s="107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6"/>
    </row>
    <row r="588" ht="15.75" customHeight="1">
      <c r="A588" s="109"/>
      <c r="B588" s="104"/>
      <c r="C588" s="104"/>
      <c r="D588" s="105"/>
      <c r="E588" s="106"/>
      <c r="F588" s="107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6"/>
    </row>
    <row r="589" ht="15.75" customHeight="1">
      <c r="A589" s="109"/>
      <c r="B589" s="104"/>
      <c r="C589" s="104"/>
      <c r="D589" s="105"/>
      <c r="E589" s="106"/>
      <c r="F589" s="107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6"/>
    </row>
    <row r="590" ht="15.75" customHeight="1">
      <c r="A590" s="109"/>
      <c r="B590" s="104"/>
      <c r="C590" s="104"/>
      <c r="D590" s="105"/>
      <c r="E590" s="106"/>
      <c r="F590" s="107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6"/>
    </row>
    <row r="591" ht="15.75" customHeight="1">
      <c r="A591" s="109"/>
      <c r="B591" s="104"/>
      <c r="C591" s="104"/>
      <c r="D591" s="105"/>
      <c r="E591" s="106"/>
      <c r="F591" s="107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6"/>
    </row>
    <row r="592" ht="15.75" customHeight="1">
      <c r="A592" s="109"/>
      <c r="B592" s="104"/>
      <c r="C592" s="104"/>
      <c r="D592" s="105"/>
      <c r="E592" s="106"/>
      <c r="F592" s="107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6"/>
    </row>
    <row r="593" ht="15.75" customHeight="1">
      <c r="A593" s="109"/>
      <c r="B593" s="104"/>
      <c r="C593" s="104"/>
      <c r="D593" s="105"/>
      <c r="E593" s="106"/>
      <c r="F593" s="107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6"/>
    </row>
    <row r="594" ht="15.75" customHeight="1">
      <c r="A594" s="109"/>
      <c r="B594" s="104"/>
      <c r="C594" s="104"/>
      <c r="D594" s="105"/>
      <c r="E594" s="106"/>
      <c r="F594" s="107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6"/>
    </row>
    <row r="595" ht="15.75" customHeight="1">
      <c r="A595" s="109"/>
      <c r="B595" s="104"/>
      <c r="C595" s="104"/>
      <c r="D595" s="105"/>
      <c r="E595" s="106"/>
      <c r="F595" s="107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6"/>
    </row>
    <row r="596" ht="15.75" customHeight="1">
      <c r="A596" s="109"/>
      <c r="B596" s="104"/>
      <c r="C596" s="104"/>
      <c r="D596" s="105"/>
      <c r="E596" s="106"/>
      <c r="F596" s="107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6"/>
    </row>
    <row r="597" ht="15.75" customHeight="1">
      <c r="A597" s="109"/>
      <c r="B597" s="104"/>
      <c r="C597" s="104"/>
      <c r="D597" s="105"/>
      <c r="E597" s="106"/>
      <c r="F597" s="107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6"/>
    </row>
    <row r="598" ht="15.75" customHeight="1">
      <c r="A598" s="109"/>
      <c r="B598" s="104"/>
      <c r="C598" s="104"/>
      <c r="D598" s="105"/>
      <c r="E598" s="106"/>
      <c r="F598" s="107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6"/>
    </row>
    <row r="599" ht="15.75" customHeight="1">
      <c r="A599" s="109"/>
      <c r="B599" s="104"/>
      <c r="C599" s="104"/>
      <c r="D599" s="105"/>
      <c r="E599" s="106"/>
      <c r="F599" s="107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6"/>
    </row>
    <row r="600" ht="15.75" customHeight="1">
      <c r="A600" s="109"/>
      <c r="B600" s="104"/>
      <c r="C600" s="104"/>
      <c r="D600" s="105"/>
      <c r="E600" s="106"/>
      <c r="F600" s="107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6"/>
    </row>
    <row r="601" ht="15.75" customHeight="1">
      <c r="A601" s="109"/>
      <c r="B601" s="104"/>
      <c r="C601" s="104"/>
      <c r="D601" s="105"/>
      <c r="E601" s="106"/>
      <c r="F601" s="107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6"/>
    </row>
    <row r="602" ht="15.75" customHeight="1">
      <c r="A602" s="109"/>
      <c r="B602" s="104"/>
      <c r="C602" s="104"/>
      <c r="D602" s="105"/>
      <c r="E602" s="106"/>
      <c r="F602" s="107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6"/>
    </row>
    <row r="603" ht="15.75" customHeight="1">
      <c r="A603" s="109"/>
      <c r="B603" s="104"/>
      <c r="C603" s="104"/>
      <c r="D603" s="105"/>
      <c r="E603" s="106"/>
      <c r="F603" s="107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6"/>
    </row>
    <row r="604" ht="15.75" customHeight="1">
      <c r="A604" s="109"/>
      <c r="B604" s="104"/>
      <c r="C604" s="104"/>
      <c r="D604" s="105"/>
      <c r="E604" s="106"/>
      <c r="F604" s="107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6"/>
    </row>
    <row r="605" ht="15.75" customHeight="1">
      <c r="A605" s="109"/>
      <c r="B605" s="104"/>
      <c r="C605" s="104"/>
      <c r="D605" s="105"/>
      <c r="E605" s="106"/>
      <c r="F605" s="107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6"/>
    </row>
    <row r="606" ht="15.75" customHeight="1">
      <c r="A606" s="109"/>
      <c r="B606" s="104"/>
      <c r="C606" s="104"/>
      <c r="D606" s="105"/>
      <c r="E606" s="106"/>
      <c r="F606" s="107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6"/>
    </row>
    <row r="607" ht="15.75" customHeight="1">
      <c r="A607" s="109"/>
      <c r="B607" s="104"/>
      <c r="C607" s="104"/>
      <c r="D607" s="105"/>
      <c r="E607" s="106"/>
      <c r="F607" s="107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6"/>
    </row>
    <row r="608" ht="15.75" customHeight="1">
      <c r="A608" s="109"/>
      <c r="B608" s="104"/>
      <c r="C608" s="104"/>
      <c r="D608" s="105"/>
      <c r="E608" s="106"/>
      <c r="F608" s="107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6"/>
    </row>
    <row r="609" ht="15.75" customHeight="1">
      <c r="A609" s="109"/>
      <c r="B609" s="104"/>
      <c r="C609" s="104"/>
      <c r="D609" s="105"/>
      <c r="E609" s="106"/>
      <c r="F609" s="107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6"/>
    </row>
    <row r="610" ht="15.75" customHeight="1">
      <c r="A610" s="109"/>
      <c r="B610" s="104"/>
      <c r="C610" s="104"/>
      <c r="D610" s="105"/>
      <c r="E610" s="106"/>
      <c r="F610" s="107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6"/>
    </row>
    <row r="611" ht="15.75" customHeight="1">
      <c r="A611" s="109"/>
      <c r="B611" s="104"/>
      <c r="C611" s="104"/>
      <c r="D611" s="105"/>
      <c r="E611" s="106"/>
      <c r="F611" s="107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6"/>
    </row>
    <row r="612" ht="15.75" customHeight="1">
      <c r="A612" s="109"/>
      <c r="B612" s="104"/>
      <c r="C612" s="104"/>
      <c r="D612" s="105"/>
      <c r="E612" s="106"/>
      <c r="F612" s="107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6"/>
    </row>
    <row r="613" ht="15.75" customHeight="1">
      <c r="A613" s="109"/>
      <c r="B613" s="104"/>
      <c r="C613" s="104"/>
      <c r="D613" s="105"/>
      <c r="E613" s="106"/>
      <c r="F613" s="107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6"/>
    </row>
    <row r="614" ht="15.75" customHeight="1">
      <c r="A614" s="109"/>
      <c r="B614" s="104"/>
      <c r="C614" s="104"/>
      <c r="D614" s="105"/>
      <c r="E614" s="106"/>
      <c r="F614" s="107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6"/>
    </row>
    <row r="615" ht="15.75" customHeight="1">
      <c r="A615" s="109"/>
      <c r="B615" s="104"/>
      <c r="C615" s="104"/>
      <c r="D615" s="105"/>
      <c r="E615" s="106"/>
      <c r="F615" s="107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6"/>
    </row>
    <row r="616" ht="15.75" customHeight="1">
      <c r="A616" s="109"/>
      <c r="B616" s="104"/>
      <c r="C616" s="104"/>
      <c r="D616" s="105"/>
      <c r="E616" s="106"/>
      <c r="F616" s="107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6"/>
    </row>
    <row r="617" ht="15.75" customHeight="1">
      <c r="A617" s="109"/>
      <c r="B617" s="104"/>
      <c r="C617" s="104"/>
      <c r="D617" s="105"/>
      <c r="E617" s="106"/>
      <c r="F617" s="107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6"/>
    </row>
    <row r="618" ht="15.75" customHeight="1">
      <c r="A618" s="109"/>
      <c r="B618" s="104"/>
      <c r="C618" s="104"/>
      <c r="D618" s="105"/>
      <c r="E618" s="106"/>
      <c r="F618" s="107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6"/>
    </row>
    <row r="619" ht="15.75" customHeight="1">
      <c r="A619" s="109"/>
      <c r="B619" s="104"/>
      <c r="C619" s="104"/>
      <c r="D619" s="105"/>
      <c r="E619" s="106"/>
      <c r="F619" s="107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6"/>
    </row>
    <row r="620" ht="15.75" customHeight="1">
      <c r="A620" s="109"/>
      <c r="B620" s="104"/>
      <c r="C620" s="104"/>
      <c r="D620" s="105"/>
      <c r="E620" s="106"/>
      <c r="F620" s="107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6"/>
    </row>
    <row r="621" ht="15.75" customHeight="1">
      <c r="A621" s="109"/>
      <c r="B621" s="104"/>
      <c r="C621" s="104"/>
      <c r="D621" s="105"/>
      <c r="E621" s="106"/>
      <c r="F621" s="107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6"/>
    </row>
    <row r="622" ht="15.75" customHeight="1">
      <c r="A622" s="109"/>
      <c r="B622" s="104"/>
      <c r="C622" s="104"/>
      <c r="D622" s="105"/>
      <c r="E622" s="106"/>
      <c r="F622" s="107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6"/>
    </row>
    <row r="623" ht="15.75" customHeight="1">
      <c r="A623" s="109"/>
      <c r="B623" s="104"/>
      <c r="C623" s="104"/>
      <c r="D623" s="105"/>
      <c r="E623" s="106"/>
      <c r="F623" s="107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6"/>
    </row>
    <row r="624" ht="15.75" customHeight="1">
      <c r="A624" s="109"/>
      <c r="B624" s="104"/>
      <c r="C624" s="104"/>
      <c r="D624" s="105"/>
      <c r="E624" s="106"/>
      <c r="F624" s="107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6"/>
    </row>
    <row r="625" ht="15.75" customHeight="1">
      <c r="A625" s="109"/>
      <c r="B625" s="104"/>
      <c r="C625" s="104"/>
      <c r="D625" s="105"/>
      <c r="E625" s="106"/>
      <c r="F625" s="107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6"/>
    </row>
    <row r="626" ht="15.75" customHeight="1">
      <c r="A626" s="109"/>
      <c r="B626" s="104"/>
      <c r="C626" s="104"/>
      <c r="D626" s="105"/>
      <c r="E626" s="106"/>
      <c r="F626" s="107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6"/>
    </row>
    <row r="627" ht="15.75" customHeight="1">
      <c r="A627" s="109"/>
      <c r="B627" s="104"/>
      <c r="C627" s="104"/>
      <c r="D627" s="105"/>
      <c r="E627" s="106"/>
      <c r="F627" s="107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6"/>
    </row>
    <row r="628" ht="15.75" customHeight="1">
      <c r="A628" s="109"/>
      <c r="B628" s="104"/>
      <c r="C628" s="104"/>
      <c r="D628" s="105"/>
      <c r="E628" s="106"/>
      <c r="F628" s="107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6"/>
    </row>
    <row r="629" ht="15.75" customHeight="1">
      <c r="A629" s="109"/>
      <c r="B629" s="104"/>
      <c r="C629" s="104"/>
      <c r="D629" s="105"/>
      <c r="E629" s="106"/>
      <c r="F629" s="107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6"/>
    </row>
    <row r="630" ht="15.75" customHeight="1">
      <c r="A630" s="109"/>
      <c r="B630" s="104"/>
      <c r="C630" s="104"/>
      <c r="D630" s="105"/>
      <c r="E630" s="106"/>
      <c r="F630" s="107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6"/>
    </row>
    <row r="631" ht="15.75" customHeight="1">
      <c r="A631" s="109"/>
      <c r="B631" s="104"/>
      <c r="C631" s="104"/>
      <c r="D631" s="105"/>
      <c r="E631" s="106"/>
      <c r="F631" s="107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6"/>
    </row>
    <row r="632" ht="15.75" customHeight="1">
      <c r="A632" s="109"/>
      <c r="B632" s="104"/>
      <c r="C632" s="104"/>
      <c r="D632" s="105"/>
      <c r="E632" s="106"/>
      <c r="F632" s="107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6"/>
    </row>
    <row r="633" ht="15.75" customHeight="1">
      <c r="A633" s="109"/>
      <c r="B633" s="104"/>
      <c r="C633" s="104"/>
      <c r="D633" s="105"/>
      <c r="E633" s="106"/>
      <c r="F633" s="107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6"/>
    </row>
    <row r="634" ht="15.75" customHeight="1">
      <c r="A634" s="109"/>
      <c r="B634" s="104"/>
      <c r="C634" s="104"/>
      <c r="D634" s="105"/>
      <c r="E634" s="106"/>
      <c r="F634" s="107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6"/>
    </row>
    <row r="635" ht="15.75" customHeight="1">
      <c r="A635" s="109"/>
      <c r="B635" s="104"/>
      <c r="C635" s="104"/>
      <c r="D635" s="105"/>
      <c r="E635" s="106"/>
      <c r="F635" s="107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6"/>
    </row>
    <row r="636" ht="15.75" customHeight="1">
      <c r="A636" s="109"/>
      <c r="B636" s="104"/>
      <c r="C636" s="104"/>
      <c r="D636" s="105"/>
      <c r="E636" s="106"/>
      <c r="F636" s="107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6"/>
    </row>
    <row r="637" ht="15.75" customHeight="1">
      <c r="A637" s="109"/>
      <c r="B637" s="104"/>
      <c r="C637" s="104"/>
      <c r="D637" s="105"/>
      <c r="E637" s="106"/>
      <c r="F637" s="107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6"/>
    </row>
    <row r="638" ht="15.75" customHeight="1">
      <c r="A638" s="109"/>
      <c r="B638" s="104"/>
      <c r="C638" s="104"/>
      <c r="D638" s="105"/>
      <c r="E638" s="106"/>
      <c r="F638" s="107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6"/>
    </row>
    <row r="639" ht="15.75" customHeight="1">
      <c r="A639" s="109"/>
      <c r="B639" s="104"/>
      <c r="C639" s="104"/>
      <c r="D639" s="105"/>
      <c r="E639" s="106"/>
      <c r="F639" s="107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6"/>
    </row>
    <row r="640" ht="15.75" customHeight="1">
      <c r="A640" s="109"/>
      <c r="B640" s="104"/>
      <c r="C640" s="104"/>
      <c r="D640" s="105"/>
      <c r="E640" s="106"/>
      <c r="F640" s="107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6"/>
    </row>
    <row r="641" ht="15.75" customHeight="1">
      <c r="A641" s="109"/>
      <c r="B641" s="104"/>
      <c r="C641" s="104"/>
      <c r="D641" s="105"/>
      <c r="E641" s="106"/>
      <c r="F641" s="107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6"/>
    </row>
    <row r="642" ht="15.75" customHeight="1">
      <c r="A642" s="109"/>
      <c r="B642" s="104"/>
      <c r="C642" s="104"/>
      <c r="D642" s="105"/>
      <c r="E642" s="106"/>
      <c r="F642" s="107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6"/>
    </row>
    <row r="643" ht="15.75" customHeight="1">
      <c r="A643" s="109"/>
      <c r="B643" s="104"/>
      <c r="C643" s="104"/>
      <c r="D643" s="105"/>
      <c r="E643" s="106"/>
      <c r="F643" s="107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6"/>
    </row>
    <row r="644" ht="15.75" customHeight="1">
      <c r="A644" s="109"/>
      <c r="B644" s="104"/>
      <c r="C644" s="104"/>
      <c r="D644" s="105"/>
      <c r="E644" s="106"/>
      <c r="F644" s="107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6"/>
    </row>
    <row r="645" ht="15.75" customHeight="1">
      <c r="A645" s="109"/>
      <c r="B645" s="104"/>
      <c r="C645" s="104"/>
      <c r="D645" s="105"/>
      <c r="E645" s="106"/>
      <c r="F645" s="107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6"/>
    </row>
    <row r="646" ht="15.75" customHeight="1">
      <c r="A646" s="109"/>
      <c r="B646" s="104"/>
      <c r="C646" s="104"/>
      <c r="D646" s="105"/>
      <c r="E646" s="106"/>
      <c r="F646" s="107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6"/>
    </row>
    <row r="647" ht="15.75" customHeight="1">
      <c r="A647" s="109"/>
      <c r="B647" s="104"/>
      <c r="C647" s="104"/>
      <c r="D647" s="105"/>
      <c r="E647" s="106"/>
      <c r="F647" s="107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6"/>
    </row>
    <row r="648" ht="15.75" customHeight="1">
      <c r="A648" s="109"/>
      <c r="B648" s="104"/>
      <c r="C648" s="104"/>
      <c r="D648" s="105"/>
      <c r="E648" s="106"/>
      <c r="F648" s="107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6"/>
    </row>
    <row r="649" ht="15.75" customHeight="1">
      <c r="A649" s="109"/>
      <c r="B649" s="104"/>
      <c r="C649" s="104"/>
      <c r="D649" s="105"/>
      <c r="E649" s="106"/>
      <c r="F649" s="107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6"/>
    </row>
    <row r="650" ht="15.75" customHeight="1">
      <c r="A650" s="109"/>
      <c r="B650" s="104"/>
      <c r="C650" s="104"/>
      <c r="D650" s="105"/>
      <c r="E650" s="106"/>
      <c r="F650" s="107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6"/>
    </row>
    <row r="651" ht="15.75" customHeight="1">
      <c r="A651" s="109"/>
      <c r="B651" s="104"/>
      <c r="C651" s="104"/>
      <c r="D651" s="105"/>
      <c r="E651" s="106"/>
      <c r="F651" s="107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6"/>
    </row>
    <row r="652" ht="15.75" customHeight="1">
      <c r="A652" s="109"/>
      <c r="B652" s="104"/>
      <c r="C652" s="104"/>
      <c r="D652" s="105"/>
      <c r="E652" s="106"/>
      <c r="F652" s="107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6"/>
    </row>
    <row r="653" ht="15.75" customHeight="1">
      <c r="A653" s="109"/>
      <c r="B653" s="104"/>
      <c r="C653" s="104"/>
      <c r="D653" s="105"/>
      <c r="E653" s="106"/>
      <c r="F653" s="107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6"/>
    </row>
    <row r="654" ht="15.75" customHeight="1">
      <c r="A654" s="109"/>
      <c r="B654" s="104"/>
      <c r="C654" s="104"/>
      <c r="D654" s="105"/>
      <c r="E654" s="106"/>
      <c r="F654" s="107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6"/>
    </row>
    <row r="655" ht="15.75" customHeight="1">
      <c r="A655" s="109"/>
      <c r="B655" s="104"/>
      <c r="C655" s="104"/>
      <c r="D655" s="105"/>
      <c r="E655" s="106"/>
      <c r="F655" s="107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6"/>
    </row>
    <row r="656" ht="15.75" customHeight="1">
      <c r="A656" s="109"/>
      <c r="B656" s="104"/>
      <c r="C656" s="104"/>
      <c r="D656" s="105"/>
      <c r="E656" s="106"/>
      <c r="F656" s="107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6"/>
    </row>
    <row r="657" ht="15.75" customHeight="1">
      <c r="A657" s="109"/>
      <c r="B657" s="104"/>
      <c r="C657" s="104"/>
      <c r="D657" s="105"/>
      <c r="E657" s="106"/>
      <c r="F657" s="107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6"/>
    </row>
    <row r="658" ht="15.75" customHeight="1">
      <c r="A658" s="109"/>
      <c r="B658" s="104"/>
      <c r="C658" s="104"/>
      <c r="D658" s="105"/>
      <c r="E658" s="106"/>
      <c r="F658" s="107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6"/>
    </row>
    <row r="659" ht="15.75" customHeight="1">
      <c r="A659" s="109"/>
      <c r="B659" s="104"/>
      <c r="C659" s="104"/>
      <c r="D659" s="105"/>
      <c r="E659" s="106"/>
      <c r="F659" s="107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6"/>
    </row>
    <row r="660" ht="15.75" customHeight="1">
      <c r="A660" s="109"/>
      <c r="B660" s="104"/>
      <c r="C660" s="104"/>
      <c r="D660" s="105"/>
      <c r="E660" s="106"/>
      <c r="F660" s="107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6"/>
    </row>
    <row r="661" ht="15.75" customHeight="1">
      <c r="A661" s="109"/>
      <c r="B661" s="104"/>
      <c r="C661" s="104"/>
      <c r="D661" s="105"/>
      <c r="E661" s="106"/>
      <c r="F661" s="107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6"/>
    </row>
    <row r="662" ht="15.75" customHeight="1">
      <c r="A662" s="109"/>
      <c r="B662" s="104"/>
      <c r="C662" s="104"/>
      <c r="D662" s="105"/>
      <c r="E662" s="106"/>
      <c r="F662" s="107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6"/>
    </row>
    <row r="663" ht="15.75" customHeight="1">
      <c r="A663" s="109"/>
      <c r="B663" s="104"/>
      <c r="C663" s="104"/>
      <c r="D663" s="105"/>
      <c r="E663" s="106"/>
      <c r="F663" s="107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6"/>
    </row>
    <row r="664" ht="15.75" customHeight="1">
      <c r="A664" s="109"/>
      <c r="B664" s="104"/>
      <c r="C664" s="104"/>
      <c r="D664" s="105"/>
      <c r="E664" s="106"/>
      <c r="F664" s="107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6"/>
    </row>
    <row r="665" ht="15.75" customHeight="1">
      <c r="A665" s="109"/>
      <c r="B665" s="104"/>
      <c r="C665" s="104"/>
      <c r="D665" s="105"/>
      <c r="E665" s="106"/>
      <c r="F665" s="107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6"/>
    </row>
    <row r="666" ht="15.75" customHeight="1">
      <c r="A666" s="109"/>
      <c r="B666" s="104"/>
      <c r="C666" s="104"/>
      <c r="D666" s="105"/>
      <c r="E666" s="106"/>
      <c r="F666" s="107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6"/>
    </row>
    <row r="667" ht="15.75" customHeight="1">
      <c r="A667" s="109"/>
      <c r="B667" s="104"/>
      <c r="C667" s="104"/>
      <c r="D667" s="105"/>
      <c r="E667" s="106"/>
      <c r="F667" s="107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6"/>
    </row>
    <row r="668" ht="15.75" customHeight="1">
      <c r="A668" s="109"/>
      <c r="B668" s="104"/>
      <c r="C668" s="104"/>
      <c r="D668" s="105"/>
      <c r="E668" s="106"/>
      <c r="F668" s="107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6"/>
    </row>
    <row r="669" ht="15.75" customHeight="1">
      <c r="A669" s="109"/>
      <c r="B669" s="104"/>
      <c r="C669" s="104"/>
      <c r="D669" s="105"/>
      <c r="E669" s="106"/>
      <c r="F669" s="107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6"/>
    </row>
    <row r="670" ht="15.75" customHeight="1">
      <c r="A670" s="109"/>
      <c r="B670" s="104"/>
      <c r="C670" s="104"/>
      <c r="D670" s="105"/>
      <c r="E670" s="106"/>
      <c r="F670" s="107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6"/>
    </row>
    <row r="671" ht="15.75" customHeight="1">
      <c r="A671" s="109"/>
      <c r="B671" s="104"/>
      <c r="C671" s="104"/>
      <c r="D671" s="105"/>
      <c r="E671" s="106"/>
      <c r="F671" s="107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6"/>
    </row>
    <row r="672" ht="15.75" customHeight="1">
      <c r="A672" s="109"/>
      <c r="B672" s="104"/>
      <c r="C672" s="104"/>
      <c r="D672" s="105"/>
      <c r="E672" s="106"/>
      <c r="F672" s="107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6"/>
    </row>
    <row r="673" ht="15.75" customHeight="1">
      <c r="A673" s="109"/>
      <c r="B673" s="104"/>
      <c r="C673" s="104"/>
      <c r="D673" s="105"/>
      <c r="E673" s="106"/>
      <c r="F673" s="107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6"/>
    </row>
    <row r="674" ht="15.75" customHeight="1">
      <c r="A674" s="109"/>
      <c r="B674" s="104"/>
      <c r="C674" s="104"/>
      <c r="D674" s="105"/>
      <c r="E674" s="106"/>
      <c r="F674" s="107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6"/>
    </row>
    <row r="675" ht="15.75" customHeight="1">
      <c r="A675" s="109"/>
      <c r="B675" s="104"/>
      <c r="C675" s="104"/>
      <c r="D675" s="105"/>
      <c r="E675" s="106"/>
      <c r="F675" s="107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6"/>
    </row>
    <row r="676" ht="15.75" customHeight="1">
      <c r="A676" s="109"/>
      <c r="B676" s="104"/>
      <c r="C676" s="104"/>
      <c r="D676" s="105"/>
      <c r="E676" s="106"/>
      <c r="F676" s="107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6"/>
    </row>
    <row r="677" ht="15.75" customHeight="1">
      <c r="A677" s="109"/>
      <c r="B677" s="104"/>
      <c r="C677" s="104"/>
      <c r="D677" s="105"/>
      <c r="E677" s="106"/>
      <c r="F677" s="107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6"/>
    </row>
    <row r="678" ht="15.75" customHeight="1">
      <c r="A678" s="109"/>
      <c r="B678" s="104"/>
      <c r="C678" s="104"/>
      <c r="D678" s="105"/>
      <c r="E678" s="106"/>
      <c r="F678" s="107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6"/>
    </row>
    <row r="679" ht="15.75" customHeight="1">
      <c r="A679" s="109"/>
      <c r="B679" s="104"/>
      <c r="C679" s="104"/>
      <c r="D679" s="105"/>
      <c r="E679" s="106"/>
      <c r="F679" s="107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6"/>
    </row>
    <row r="680" ht="15.75" customHeight="1">
      <c r="A680" s="109"/>
      <c r="B680" s="104"/>
      <c r="C680" s="104"/>
      <c r="D680" s="105"/>
      <c r="E680" s="106"/>
      <c r="F680" s="107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6"/>
    </row>
    <row r="681" ht="15.75" customHeight="1">
      <c r="A681" s="109"/>
      <c r="B681" s="104"/>
      <c r="C681" s="104"/>
      <c r="D681" s="105"/>
      <c r="E681" s="106"/>
      <c r="F681" s="107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6"/>
    </row>
    <row r="682" ht="15.75" customHeight="1">
      <c r="A682" s="109"/>
      <c r="B682" s="104"/>
      <c r="C682" s="104"/>
      <c r="D682" s="105"/>
      <c r="E682" s="106"/>
      <c r="F682" s="107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6"/>
    </row>
    <row r="683" ht="15.75" customHeight="1">
      <c r="A683" s="109"/>
      <c r="B683" s="104"/>
      <c r="C683" s="104"/>
      <c r="D683" s="105"/>
      <c r="E683" s="106"/>
      <c r="F683" s="107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6"/>
    </row>
    <row r="684" ht="15.75" customHeight="1">
      <c r="A684" s="109"/>
      <c r="B684" s="104"/>
      <c r="C684" s="104"/>
      <c r="D684" s="105"/>
      <c r="E684" s="106"/>
      <c r="F684" s="107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6"/>
    </row>
    <row r="685" ht="15.75" customHeight="1">
      <c r="A685" s="109"/>
      <c r="B685" s="104"/>
      <c r="C685" s="104"/>
      <c r="D685" s="105"/>
      <c r="E685" s="106"/>
      <c r="F685" s="107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6"/>
    </row>
    <row r="686" ht="15.75" customHeight="1">
      <c r="A686" s="109"/>
      <c r="B686" s="104"/>
      <c r="C686" s="104"/>
      <c r="D686" s="105"/>
      <c r="E686" s="106"/>
      <c r="F686" s="107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6"/>
    </row>
    <row r="687" ht="15.75" customHeight="1">
      <c r="A687" s="109"/>
      <c r="B687" s="104"/>
      <c r="C687" s="104"/>
      <c r="D687" s="105"/>
      <c r="E687" s="106"/>
      <c r="F687" s="107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6"/>
    </row>
    <row r="688" ht="15.75" customHeight="1">
      <c r="A688" s="109"/>
      <c r="B688" s="104"/>
      <c r="C688" s="104"/>
      <c r="D688" s="105"/>
      <c r="E688" s="106"/>
      <c r="F688" s="107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6"/>
    </row>
    <row r="689" ht="15.75" customHeight="1">
      <c r="A689" s="109"/>
      <c r="B689" s="104"/>
      <c r="C689" s="104"/>
      <c r="D689" s="105"/>
      <c r="E689" s="106"/>
      <c r="F689" s="107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6"/>
    </row>
    <row r="690" ht="15.75" customHeight="1">
      <c r="A690" s="109"/>
      <c r="B690" s="104"/>
      <c r="C690" s="104"/>
      <c r="D690" s="105"/>
      <c r="E690" s="106"/>
      <c r="F690" s="107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6"/>
    </row>
    <row r="691" ht="15.75" customHeight="1">
      <c r="A691" s="109"/>
      <c r="B691" s="104"/>
      <c r="C691" s="104"/>
      <c r="D691" s="105"/>
      <c r="E691" s="106"/>
      <c r="F691" s="107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6"/>
    </row>
    <row r="692" ht="15.75" customHeight="1">
      <c r="A692" s="109"/>
      <c r="B692" s="104"/>
      <c r="C692" s="104"/>
      <c r="D692" s="105"/>
      <c r="E692" s="106"/>
      <c r="F692" s="107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6"/>
    </row>
    <row r="693" ht="15.75" customHeight="1">
      <c r="A693" s="109"/>
      <c r="B693" s="104"/>
      <c r="C693" s="104"/>
      <c r="D693" s="105"/>
      <c r="E693" s="106"/>
      <c r="F693" s="107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6"/>
    </row>
    <row r="694" ht="15.75" customHeight="1">
      <c r="A694" s="109"/>
      <c r="B694" s="104"/>
      <c r="C694" s="104"/>
      <c r="D694" s="105"/>
      <c r="E694" s="106"/>
      <c r="F694" s="107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6"/>
    </row>
    <row r="695" ht="15.75" customHeight="1">
      <c r="A695" s="109"/>
      <c r="B695" s="104"/>
      <c r="C695" s="104"/>
      <c r="D695" s="105"/>
      <c r="E695" s="106"/>
      <c r="F695" s="107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6"/>
    </row>
    <row r="696" ht="15.75" customHeight="1">
      <c r="A696" s="109"/>
      <c r="B696" s="104"/>
      <c r="C696" s="104"/>
      <c r="D696" s="105"/>
      <c r="E696" s="106"/>
      <c r="F696" s="107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6"/>
    </row>
    <row r="697" ht="15.75" customHeight="1">
      <c r="A697" s="109"/>
      <c r="B697" s="104"/>
      <c r="C697" s="104"/>
      <c r="D697" s="105"/>
      <c r="E697" s="106"/>
      <c r="F697" s="107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6"/>
    </row>
    <row r="698" ht="15.75" customHeight="1">
      <c r="A698" s="109"/>
      <c r="B698" s="104"/>
      <c r="C698" s="104"/>
      <c r="D698" s="105"/>
      <c r="E698" s="106"/>
      <c r="F698" s="107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6"/>
    </row>
    <row r="699" ht="15.75" customHeight="1">
      <c r="A699" s="109"/>
      <c r="B699" s="104"/>
      <c r="C699" s="104"/>
      <c r="D699" s="105"/>
      <c r="E699" s="106"/>
      <c r="F699" s="107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6"/>
    </row>
    <row r="700" ht="15.75" customHeight="1">
      <c r="A700" s="109"/>
      <c r="B700" s="104"/>
      <c r="C700" s="104"/>
      <c r="D700" s="105"/>
      <c r="E700" s="106"/>
      <c r="F700" s="107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6"/>
    </row>
    <row r="701" ht="15.75" customHeight="1">
      <c r="A701" s="109"/>
      <c r="B701" s="104"/>
      <c r="C701" s="104"/>
      <c r="D701" s="105"/>
      <c r="E701" s="106"/>
      <c r="F701" s="107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6"/>
    </row>
    <row r="702" ht="15.75" customHeight="1">
      <c r="A702" s="109"/>
      <c r="B702" s="104"/>
      <c r="C702" s="104"/>
      <c r="D702" s="105"/>
      <c r="E702" s="106"/>
      <c r="F702" s="107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6"/>
    </row>
    <row r="703" ht="15.75" customHeight="1">
      <c r="A703" s="109"/>
      <c r="B703" s="104"/>
      <c r="C703" s="104"/>
      <c r="D703" s="105"/>
      <c r="E703" s="106"/>
      <c r="F703" s="107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6"/>
    </row>
    <row r="704" ht="15.75" customHeight="1">
      <c r="A704" s="109"/>
      <c r="B704" s="104"/>
      <c r="C704" s="104"/>
      <c r="D704" s="105"/>
      <c r="E704" s="106"/>
      <c r="F704" s="107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6"/>
    </row>
    <row r="705" ht="15.75" customHeight="1">
      <c r="A705" s="109"/>
      <c r="B705" s="104"/>
      <c r="C705" s="104"/>
      <c r="D705" s="105"/>
      <c r="E705" s="106"/>
      <c r="F705" s="107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6"/>
    </row>
    <row r="706" ht="15.75" customHeight="1">
      <c r="A706" s="109"/>
      <c r="B706" s="104"/>
      <c r="C706" s="104"/>
      <c r="D706" s="105"/>
      <c r="E706" s="106"/>
      <c r="F706" s="107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6"/>
    </row>
    <row r="707" ht="15.75" customHeight="1">
      <c r="A707" s="109"/>
      <c r="B707" s="104"/>
      <c r="C707" s="104"/>
      <c r="D707" s="105"/>
      <c r="E707" s="106"/>
      <c r="F707" s="107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6"/>
    </row>
    <row r="708" ht="15.75" customHeight="1">
      <c r="A708" s="109"/>
      <c r="B708" s="104"/>
      <c r="C708" s="104"/>
      <c r="D708" s="105"/>
      <c r="E708" s="106"/>
      <c r="F708" s="107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6"/>
    </row>
    <row r="709" ht="15.75" customHeight="1">
      <c r="A709" s="109"/>
      <c r="B709" s="104"/>
      <c r="C709" s="104"/>
      <c r="D709" s="105"/>
      <c r="E709" s="106"/>
      <c r="F709" s="107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6"/>
    </row>
    <row r="710" ht="15.75" customHeight="1">
      <c r="A710" s="109"/>
      <c r="B710" s="104"/>
      <c r="C710" s="104"/>
      <c r="D710" s="105"/>
      <c r="E710" s="106"/>
      <c r="F710" s="107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6"/>
    </row>
    <row r="711" ht="15.75" customHeight="1">
      <c r="A711" s="109"/>
      <c r="B711" s="104"/>
      <c r="C711" s="104"/>
      <c r="D711" s="105"/>
      <c r="E711" s="106"/>
      <c r="F711" s="107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6"/>
    </row>
    <row r="712" ht="15.75" customHeight="1">
      <c r="A712" s="109"/>
      <c r="B712" s="104"/>
      <c r="C712" s="104"/>
      <c r="D712" s="105"/>
      <c r="E712" s="106"/>
      <c r="F712" s="107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6"/>
    </row>
    <row r="713" ht="15.75" customHeight="1">
      <c r="A713" s="109"/>
      <c r="B713" s="104"/>
      <c r="C713" s="104"/>
      <c r="D713" s="105"/>
      <c r="E713" s="106"/>
      <c r="F713" s="107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6"/>
    </row>
    <row r="714" ht="15.75" customHeight="1">
      <c r="A714" s="109"/>
      <c r="B714" s="104"/>
      <c r="C714" s="104"/>
      <c r="D714" s="105"/>
      <c r="E714" s="106"/>
      <c r="F714" s="107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6"/>
    </row>
    <row r="715" ht="15.75" customHeight="1">
      <c r="A715" s="109"/>
      <c r="B715" s="104"/>
      <c r="C715" s="104"/>
      <c r="D715" s="105"/>
      <c r="E715" s="106"/>
      <c r="F715" s="107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6"/>
    </row>
    <row r="716" ht="15.75" customHeight="1">
      <c r="A716" s="109"/>
      <c r="B716" s="104"/>
      <c r="C716" s="104"/>
      <c r="D716" s="105"/>
      <c r="E716" s="106"/>
      <c r="F716" s="107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6"/>
    </row>
    <row r="717" ht="15.75" customHeight="1">
      <c r="A717" s="109"/>
      <c r="B717" s="104"/>
      <c r="C717" s="104"/>
      <c r="D717" s="105"/>
      <c r="E717" s="106"/>
      <c r="F717" s="107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6"/>
    </row>
    <row r="718" ht="15.75" customHeight="1">
      <c r="A718" s="109"/>
      <c r="B718" s="104"/>
      <c r="C718" s="104"/>
      <c r="D718" s="105"/>
      <c r="E718" s="106"/>
      <c r="F718" s="107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6"/>
    </row>
    <row r="719" ht="15.75" customHeight="1">
      <c r="A719" s="109"/>
      <c r="B719" s="104"/>
      <c r="C719" s="104"/>
      <c r="D719" s="105"/>
      <c r="E719" s="106"/>
      <c r="F719" s="107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6"/>
    </row>
    <row r="720" ht="15.75" customHeight="1">
      <c r="A720" s="109"/>
      <c r="B720" s="104"/>
      <c r="C720" s="104"/>
      <c r="D720" s="105"/>
      <c r="E720" s="106"/>
      <c r="F720" s="107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6"/>
    </row>
    <row r="721" ht="15.75" customHeight="1">
      <c r="A721" s="109"/>
      <c r="B721" s="104"/>
      <c r="C721" s="104"/>
      <c r="D721" s="105"/>
      <c r="E721" s="106"/>
      <c r="F721" s="107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6"/>
    </row>
    <row r="722" ht="15.75" customHeight="1">
      <c r="A722" s="109"/>
      <c r="B722" s="104"/>
      <c r="C722" s="104"/>
      <c r="D722" s="105"/>
      <c r="E722" s="106"/>
      <c r="F722" s="107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6"/>
    </row>
    <row r="723" ht="15.75" customHeight="1">
      <c r="A723" s="109"/>
      <c r="B723" s="104"/>
      <c r="C723" s="104"/>
      <c r="D723" s="105"/>
      <c r="E723" s="106"/>
      <c r="F723" s="107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6"/>
    </row>
    <row r="724" ht="15.75" customHeight="1">
      <c r="A724" s="109"/>
      <c r="B724" s="104"/>
      <c r="C724" s="104"/>
      <c r="D724" s="105"/>
      <c r="E724" s="106"/>
      <c r="F724" s="107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6"/>
    </row>
    <row r="725" ht="15.75" customHeight="1">
      <c r="A725" s="109"/>
      <c r="B725" s="104"/>
      <c r="C725" s="104"/>
      <c r="D725" s="105"/>
      <c r="E725" s="106"/>
      <c r="F725" s="107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6"/>
    </row>
    <row r="726" ht="15.75" customHeight="1">
      <c r="A726" s="109"/>
      <c r="B726" s="104"/>
      <c r="C726" s="104"/>
      <c r="D726" s="105"/>
      <c r="E726" s="106"/>
      <c r="F726" s="107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6"/>
    </row>
    <row r="727" ht="15.75" customHeight="1">
      <c r="A727" s="109"/>
      <c r="B727" s="104"/>
      <c r="C727" s="104"/>
      <c r="D727" s="105"/>
      <c r="E727" s="106"/>
      <c r="F727" s="107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6"/>
    </row>
    <row r="728" ht="15.75" customHeight="1">
      <c r="A728" s="109"/>
      <c r="B728" s="104"/>
      <c r="C728" s="104"/>
      <c r="D728" s="105"/>
      <c r="E728" s="106"/>
      <c r="F728" s="107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6"/>
    </row>
    <row r="729" ht="15.75" customHeight="1">
      <c r="A729" s="109"/>
      <c r="B729" s="104"/>
      <c r="C729" s="104"/>
      <c r="D729" s="105"/>
      <c r="E729" s="106"/>
      <c r="F729" s="107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6"/>
    </row>
    <row r="730" ht="15.75" customHeight="1">
      <c r="A730" s="109"/>
      <c r="B730" s="104"/>
      <c r="C730" s="104"/>
      <c r="D730" s="105"/>
      <c r="E730" s="106"/>
      <c r="F730" s="107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6"/>
    </row>
    <row r="731" ht="15.75" customHeight="1">
      <c r="A731" s="109"/>
      <c r="B731" s="104"/>
      <c r="C731" s="104"/>
      <c r="D731" s="105"/>
      <c r="E731" s="106"/>
      <c r="F731" s="107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6"/>
    </row>
    <row r="732" ht="15.75" customHeight="1">
      <c r="A732" s="109"/>
      <c r="B732" s="104"/>
      <c r="C732" s="104"/>
      <c r="D732" s="105"/>
      <c r="E732" s="106"/>
      <c r="F732" s="107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6"/>
    </row>
    <row r="733" ht="15.75" customHeight="1">
      <c r="A733" s="109"/>
      <c r="B733" s="104"/>
      <c r="C733" s="104"/>
      <c r="D733" s="105"/>
      <c r="E733" s="106"/>
      <c r="F733" s="107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6"/>
    </row>
    <row r="734" ht="15.75" customHeight="1">
      <c r="A734" s="109"/>
      <c r="B734" s="104"/>
      <c r="C734" s="104"/>
      <c r="D734" s="105"/>
      <c r="E734" s="106"/>
      <c r="F734" s="107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6"/>
    </row>
    <row r="735" ht="15.75" customHeight="1">
      <c r="A735" s="109"/>
      <c r="B735" s="104"/>
      <c r="C735" s="104"/>
      <c r="D735" s="105"/>
      <c r="E735" s="106"/>
      <c r="F735" s="107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6"/>
    </row>
    <row r="736" ht="15.75" customHeight="1">
      <c r="A736" s="109"/>
      <c r="B736" s="104"/>
      <c r="C736" s="104"/>
      <c r="D736" s="105"/>
      <c r="E736" s="106"/>
      <c r="F736" s="107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6"/>
    </row>
    <row r="737" ht="15.75" customHeight="1">
      <c r="A737" s="109"/>
      <c r="B737" s="104"/>
      <c r="C737" s="104"/>
      <c r="D737" s="105"/>
      <c r="E737" s="106"/>
      <c r="F737" s="107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6"/>
    </row>
    <row r="738" ht="15.75" customHeight="1">
      <c r="A738" s="109"/>
      <c r="B738" s="104"/>
      <c r="C738" s="104"/>
      <c r="D738" s="105"/>
      <c r="E738" s="106"/>
      <c r="F738" s="107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6"/>
    </row>
    <row r="739" ht="15.75" customHeight="1">
      <c r="A739" s="109"/>
      <c r="B739" s="104"/>
      <c r="C739" s="104"/>
      <c r="D739" s="105"/>
      <c r="E739" s="106"/>
      <c r="F739" s="107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6"/>
    </row>
    <row r="740" ht="15.75" customHeight="1">
      <c r="A740" s="109"/>
      <c r="B740" s="104"/>
      <c r="C740" s="104"/>
      <c r="D740" s="105"/>
      <c r="E740" s="106"/>
      <c r="F740" s="107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6"/>
    </row>
    <row r="741" ht="15.75" customHeight="1">
      <c r="A741" s="109"/>
      <c r="B741" s="104"/>
      <c r="C741" s="104"/>
      <c r="D741" s="105"/>
      <c r="E741" s="106"/>
      <c r="F741" s="107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6"/>
    </row>
    <row r="742" ht="15.75" customHeight="1">
      <c r="A742" s="109"/>
      <c r="B742" s="104"/>
      <c r="C742" s="104"/>
      <c r="D742" s="105"/>
      <c r="E742" s="106"/>
      <c r="F742" s="107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6"/>
    </row>
    <row r="743" ht="15.75" customHeight="1">
      <c r="A743" s="109"/>
      <c r="B743" s="104"/>
      <c r="C743" s="104"/>
      <c r="D743" s="105"/>
      <c r="E743" s="106"/>
      <c r="F743" s="107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6"/>
    </row>
    <row r="744" ht="15.75" customHeight="1">
      <c r="A744" s="109"/>
      <c r="B744" s="104"/>
      <c r="C744" s="104"/>
      <c r="D744" s="105"/>
      <c r="E744" s="106"/>
      <c r="F744" s="107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6"/>
    </row>
    <row r="745" ht="15.75" customHeight="1">
      <c r="A745" s="109"/>
      <c r="B745" s="104"/>
      <c r="C745" s="104"/>
      <c r="D745" s="105"/>
      <c r="E745" s="106"/>
      <c r="F745" s="107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6"/>
    </row>
    <row r="746" ht="15.75" customHeight="1">
      <c r="A746" s="109"/>
      <c r="B746" s="104"/>
      <c r="C746" s="104"/>
      <c r="D746" s="105"/>
      <c r="E746" s="106"/>
      <c r="F746" s="107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6"/>
    </row>
    <row r="747" ht="15.75" customHeight="1">
      <c r="A747" s="109"/>
      <c r="B747" s="104"/>
      <c r="C747" s="104"/>
      <c r="D747" s="105"/>
      <c r="E747" s="106"/>
      <c r="F747" s="107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6"/>
    </row>
    <row r="748" ht="15.75" customHeight="1">
      <c r="A748" s="109"/>
      <c r="B748" s="104"/>
      <c r="C748" s="104"/>
      <c r="D748" s="105"/>
      <c r="E748" s="106"/>
      <c r="F748" s="107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6"/>
    </row>
    <row r="749" ht="15.75" customHeight="1">
      <c r="A749" s="109"/>
      <c r="B749" s="104"/>
      <c r="C749" s="104"/>
      <c r="D749" s="105"/>
      <c r="E749" s="106"/>
      <c r="F749" s="107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6"/>
    </row>
    <row r="750" ht="15.75" customHeight="1">
      <c r="A750" s="109"/>
      <c r="B750" s="104"/>
      <c r="C750" s="104"/>
      <c r="D750" s="105"/>
      <c r="E750" s="106"/>
      <c r="F750" s="107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6"/>
    </row>
    <row r="751" ht="15.75" customHeight="1">
      <c r="A751" s="109"/>
      <c r="B751" s="104"/>
      <c r="C751" s="104"/>
      <c r="D751" s="105"/>
      <c r="E751" s="106"/>
      <c r="F751" s="107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6"/>
    </row>
    <row r="752" ht="15.75" customHeight="1">
      <c r="A752" s="109"/>
      <c r="B752" s="104"/>
      <c r="C752" s="104"/>
      <c r="D752" s="105"/>
      <c r="E752" s="106"/>
      <c r="F752" s="107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6"/>
    </row>
    <row r="753" ht="15.75" customHeight="1">
      <c r="A753" s="109"/>
      <c r="B753" s="104"/>
      <c r="C753" s="104"/>
      <c r="D753" s="105"/>
      <c r="E753" s="106"/>
      <c r="F753" s="107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6"/>
    </row>
    <row r="754" ht="15.75" customHeight="1">
      <c r="A754" s="109"/>
      <c r="B754" s="104"/>
      <c r="C754" s="104"/>
      <c r="D754" s="105"/>
      <c r="E754" s="106"/>
      <c r="F754" s="107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6"/>
    </row>
    <row r="755" ht="15.75" customHeight="1">
      <c r="A755" s="109"/>
      <c r="B755" s="104"/>
      <c r="C755" s="104"/>
      <c r="D755" s="105"/>
      <c r="E755" s="106"/>
      <c r="F755" s="107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6"/>
    </row>
    <row r="756" ht="15.75" customHeight="1">
      <c r="A756" s="109"/>
      <c r="B756" s="104"/>
      <c r="C756" s="104"/>
      <c r="D756" s="105"/>
      <c r="E756" s="106"/>
      <c r="F756" s="107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6"/>
    </row>
    <row r="757" ht="15.75" customHeight="1">
      <c r="A757" s="109"/>
      <c r="B757" s="104"/>
      <c r="C757" s="104"/>
      <c r="D757" s="105"/>
      <c r="E757" s="106"/>
      <c r="F757" s="107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6"/>
    </row>
    <row r="758" ht="15.75" customHeight="1">
      <c r="A758" s="109"/>
      <c r="B758" s="104"/>
      <c r="C758" s="104"/>
      <c r="D758" s="105"/>
      <c r="E758" s="106"/>
      <c r="F758" s="107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6"/>
    </row>
    <row r="759" ht="15.75" customHeight="1">
      <c r="A759" s="109"/>
      <c r="B759" s="104"/>
      <c r="C759" s="104"/>
      <c r="D759" s="105"/>
      <c r="E759" s="106"/>
      <c r="F759" s="107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6"/>
    </row>
    <row r="760" ht="15.75" customHeight="1">
      <c r="A760" s="109"/>
      <c r="B760" s="104"/>
      <c r="C760" s="104"/>
      <c r="D760" s="105"/>
      <c r="E760" s="106"/>
      <c r="F760" s="107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6"/>
    </row>
    <row r="761" ht="15.75" customHeight="1">
      <c r="A761" s="109"/>
      <c r="B761" s="104"/>
      <c r="C761" s="104"/>
      <c r="D761" s="105"/>
      <c r="E761" s="106"/>
      <c r="F761" s="107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6"/>
    </row>
    <row r="762" ht="15.75" customHeight="1">
      <c r="A762" s="109"/>
      <c r="B762" s="104"/>
      <c r="C762" s="104"/>
      <c r="D762" s="105"/>
      <c r="E762" s="106"/>
      <c r="F762" s="107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6"/>
    </row>
    <row r="763" ht="15.75" customHeight="1">
      <c r="A763" s="109"/>
      <c r="B763" s="104"/>
      <c r="C763" s="104"/>
      <c r="D763" s="105"/>
      <c r="E763" s="106"/>
      <c r="F763" s="107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6"/>
    </row>
    <row r="764" ht="15.75" customHeight="1">
      <c r="A764" s="109"/>
      <c r="B764" s="104"/>
      <c r="C764" s="104"/>
      <c r="D764" s="105"/>
      <c r="E764" s="106"/>
      <c r="F764" s="107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6"/>
    </row>
    <row r="765" ht="15.75" customHeight="1">
      <c r="A765" s="109"/>
      <c r="B765" s="104"/>
      <c r="C765" s="104"/>
      <c r="D765" s="105"/>
      <c r="E765" s="106"/>
      <c r="F765" s="107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6"/>
    </row>
    <row r="766" ht="15.75" customHeight="1">
      <c r="A766" s="109"/>
      <c r="B766" s="104"/>
      <c r="C766" s="104"/>
      <c r="D766" s="105"/>
      <c r="E766" s="106"/>
      <c r="F766" s="107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6"/>
    </row>
    <row r="767" ht="15.75" customHeight="1">
      <c r="A767" s="109"/>
      <c r="B767" s="104"/>
      <c r="C767" s="104"/>
      <c r="D767" s="105"/>
      <c r="E767" s="106"/>
      <c r="F767" s="107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6"/>
    </row>
    <row r="768" ht="15.75" customHeight="1">
      <c r="A768" s="109"/>
      <c r="B768" s="104"/>
      <c r="C768" s="104"/>
      <c r="D768" s="105"/>
      <c r="E768" s="106"/>
      <c r="F768" s="107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6"/>
    </row>
    <row r="769" ht="15.75" customHeight="1">
      <c r="A769" s="109"/>
      <c r="B769" s="104"/>
      <c r="C769" s="104"/>
      <c r="D769" s="105"/>
      <c r="E769" s="106"/>
      <c r="F769" s="107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6"/>
    </row>
    <row r="770" ht="15.75" customHeight="1">
      <c r="A770" s="109"/>
      <c r="B770" s="104"/>
      <c r="C770" s="104"/>
      <c r="D770" s="105"/>
      <c r="E770" s="106"/>
      <c r="F770" s="107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6"/>
    </row>
    <row r="771" ht="15.75" customHeight="1">
      <c r="A771" s="109"/>
      <c r="B771" s="104"/>
      <c r="C771" s="104"/>
      <c r="D771" s="105"/>
      <c r="E771" s="106"/>
      <c r="F771" s="107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6"/>
    </row>
    <row r="772" ht="15.75" customHeight="1">
      <c r="A772" s="109"/>
      <c r="B772" s="104"/>
      <c r="C772" s="104"/>
      <c r="D772" s="105"/>
      <c r="E772" s="106"/>
      <c r="F772" s="107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6"/>
    </row>
    <row r="773" ht="15.75" customHeight="1">
      <c r="A773" s="109"/>
      <c r="B773" s="104"/>
      <c r="C773" s="104"/>
      <c r="D773" s="105"/>
      <c r="E773" s="106"/>
      <c r="F773" s="107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6"/>
    </row>
    <row r="774" ht="15.75" customHeight="1">
      <c r="A774" s="109"/>
      <c r="B774" s="104"/>
      <c r="C774" s="104"/>
      <c r="D774" s="105"/>
      <c r="E774" s="106"/>
      <c r="F774" s="107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6"/>
    </row>
    <row r="775" ht="15.75" customHeight="1">
      <c r="A775" s="109"/>
      <c r="B775" s="104"/>
      <c r="C775" s="104"/>
      <c r="D775" s="105"/>
      <c r="E775" s="106"/>
      <c r="F775" s="107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6"/>
    </row>
    <row r="776" ht="15.75" customHeight="1">
      <c r="A776" s="109"/>
      <c r="B776" s="104"/>
      <c r="C776" s="104"/>
      <c r="D776" s="105"/>
      <c r="E776" s="106"/>
      <c r="F776" s="107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6"/>
    </row>
    <row r="777" ht="15.75" customHeight="1">
      <c r="A777" s="109"/>
      <c r="B777" s="104"/>
      <c r="C777" s="104"/>
      <c r="D777" s="105"/>
      <c r="E777" s="106"/>
      <c r="F777" s="107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6"/>
    </row>
    <row r="778" ht="15.75" customHeight="1">
      <c r="A778" s="109"/>
      <c r="B778" s="104"/>
      <c r="C778" s="104"/>
      <c r="D778" s="105"/>
      <c r="E778" s="106"/>
      <c r="F778" s="107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6"/>
    </row>
    <row r="779" ht="15.75" customHeight="1">
      <c r="A779" s="109"/>
      <c r="B779" s="104"/>
      <c r="C779" s="104"/>
      <c r="D779" s="105"/>
      <c r="E779" s="106"/>
      <c r="F779" s="107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6"/>
    </row>
    <row r="780" ht="15.75" customHeight="1">
      <c r="A780" s="109"/>
      <c r="B780" s="104"/>
      <c r="C780" s="104"/>
      <c r="D780" s="105"/>
      <c r="E780" s="106"/>
      <c r="F780" s="107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6"/>
    </row>
    <row r="781" ht="15.75" customHeight="1">
      <c r="A781" s="109"/>
      <c r="B781" s="104"/>
      <c r="C781" s="104"/>
      <c r="D781" s="105"/>
      <c r="E781" s="106"/>
      <c r="F781" s="107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6"/>
    </row>
    <row r="782" ht="15.75" customHeight="1">
      <c r="A782" s="109"/>
      <c r="B782" s="104"/>
      <c r="C782" s="104"/>
      <c r="D782" s="105"/>
      <c r="E782" s="106"/>
      <c r="F782" s="107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6"/>
    </row>
    <row r="783" ht="15.75" customHeight="1">
      <c r="A783" s="109"/>
      <c r="B783" s="104"/>
      <c r="C783" s="104"/>
      <c r="D783" s="105"/>
      <c r="E783" s="106"/>
      <c r="F783" s="107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6"/>
    </row>
    <row r="784" ht="15.75" customHeight="1">
      <c r="A784" s="109"/>
      <c r="B784" s="104"/>
      <c r="C784" s="104"/>
      <c r="D784" s="105"/>
      <c r="E784" s="106"/>
      <c r="F784" s="107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6"/>
    </row>
    <row r="785" ht="15.75" customHeight="1">
      <c r="A785" s="109"/>
      <c r="B785" s="104"/>
      <c r="C785" s="104"/>
      <c r="D785" s="105"/>
      <c r="E785" s="106"/>
      <c r="F785" s="107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6"/>
    </row>
    <row r="786" ht="15.75" customHeight="1">
      <c r="A786" s="109"/>
      <c r="B786" s="104"/>
      <c r="C786" s="104"/>
      <c r="D786" s="105"/>
      <c r="E786" s="106"/>
      <c r="F786" s="107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6"/>
    </row>
    <row r="787" ht="15.75" customHeight="1">
      <c r="A787" s="109"/>
      <c r="B787" s="104"/>
      <c r="C787" s="104"/>
      <c r="D787" s="105"/>
      <c r="E787" s="106"/>
      <c r="F787" s="107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6"/>
    </row>
    <row r="788" ht="15.75" customHeight="1">
      <c r="A788" s="109"/>
      <c r="B788" s="104"/>
      <c r="C788" s="104"/>
      <c r="D788" s="105"/>
      <c r="E788" s="106"/>
      <c r="F788" s="107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6"/>
    </row>
    <row r="789" ht="15.75" customHeight="1">
      <c r="A789" s="109"/>
      <c r="B789" s="104"/>
      <c r="C789" s="104"/>
      <c r="D789" s="105"/>
      <c r="E789" s="106"/>
      <c r="F789" s="107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6"/>
    </row>
    <row r="790" ht="15.75" customHeight="1">
      <c r="A790" s="109"/>
      <c r="B790" s="104"/>
      <c r="C790" s="104"/>
      <c r="D790" s="105"/>
      <c r="E790" s="106"/>
      <c r="F790" s="107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6"/>
    </row>
    <row r="791" ht="15.75" customHeight="1">
      <c r="A791" s="109"/>
      <c r="B791" s="104"/>
      <c r="C791" s="104"/>
      <c r="D791" s="105"/>
      <c r="E791" s="106"/>
      <c r="F791" s="107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6"/>
    </row>
    <row r="792" ht="15.75" customHeight="1">
      <c r="A792" s="109"/>
      <c r="B792" s="104"/>
      <c r="C792" s="104"/>
      <c r="D792" s="105"/>
      <c r="E792" s="106"/>
      <c r="F792" s="107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6"/>
    </row>
    <row r="793" ht="15.75" customHeight="1">
      <c r="A793" s="109"/>
      <c r="B793" s="104"/>
      <c r="C793" s="104"/>
      <c r="D793" s="105"/>
      <c r="E793" s="106"/>
      <c r="F793" s="107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6"/>
    </row>
    <row r="794" ht="15.75" customHeight="1">
      <c r="A794" s="109"/>
      <c r="B794" s="104"/>
      <c r="C794" s="104"/>
      <c r="D794" s="105"/>
      <c r="E794" s="106"/>
      <c r="F794" s="107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6"/>
    </row>
    <row r="795" ht="15.75" customHeight="1">
      <c r="A795" s="109"/>
      <c r="B795" s="104"/>
      <c r="C795" s="104"/>
      <c r="D795" s="105"/>
      <c r="E795" s="106"/>
      <c r="F795" s="107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6"/>
    </row>
    <row r="796" ht="15.75" customHeight="1">
      <c r="A796" s="109"/>
      <c r="B796" s="104"/>
      <c r="C796" s="104"/>
      <c r="D796" s="105"/>
      <c r="E796" s="106"/>
      <c r="F796" s="107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6"/>
    </row>
    <row r="797" ht="15.75" customHeight="1">
      <c r="A797" s="109"/>
      <c r="B797" s="104"/>
      <c r="C797" s="104"/>
      <c r="D797" s="105"/>
      <c r="E797" s="106"/>
      <c r="F797" s="107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6"/>
    </row>
    <row r="798" ht="15.75" customHeight="1">
      <c r="A798" s="109"/>
      <c r="B798" s="104"/>
      <c r="C798" s="104"/>
      <c r="D798" s="105"/>
      <c r="E798" s="106"/>
      <c r="F798" s="107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6"/>
    </row>
    <row r="799" ht="15.75" customHeight="1">
      <c r="A799" s="109"/>
      <c r="B799" s="104"/>
      <c r="C799" s="104"/>
      <c r="D799" s="105"/>
      <c r="E799" s="106"/>
      <c r="F799" s="107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6"/>
    </row>
    <row r="800" ht="15.75" customHeight="1">
      <c r="A800" s="109"/>
      <c r="B800" s="104"/>
      <c r="C800" s="104"/>
      <c r="D800" s="105"/>
      <c r="E800" s="106"/>
      <c r="F800" s="107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6"/>
    </row>
    <row r="801" ht="15.75" customHeight="1">
      <c r="A801" s="109"/>
      <c r="B801" s="104"/>
      <c r="C801" s="104"/>
      <c r="D801" s="105"/>
      <c r="E801" s="106"/>
      <c r="F801" s="107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6"/>
    </row>
    <row r="802" ht="15.75" customHeight="1">
      <c r="A802" s="109"/>
      <c r="B802" s="104"/>
      <c r="C802" s="104"/>
      <c r="D802" s="105"/>
      <c r="E802" s="106"/>
      <c r="F802" s="107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6"/>
    </row>
    <row r="803" ht="15.75" customHeight="1">
      <c r="A803" s="109"/>
      <c r="B803" s="104"/>
      <c r="C803" s="104"/>
      <c r="D803" s="105"/>
      <c r="E803" s="106"/>
      <c r="F803" s="107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6"/>
    </row>
    <row r="804" ht="15.75" customHeight="1">
      <c r="A804" s="109"/>
      <c r="B804" s="104"/>
      <c r="C804" s="104"/>
      <c r="D804" s="105"/>
      <c r="E804" s="106"/>
      <c r="F804" s="107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6"/>
    </row>
    <row r="805" ht="15.75" customHeight="1">
      <c r="A805" s="109"/>
      <c r="B805" s="104"/>
      <c r="C805" s="104"/>
      <c r="D805" s="105"/>
      <c r="E805" s="106"/>
      <c r="F805" s="107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6"/>
    </row>
    <row r="806" ht="15.75" customHeight="1">
      <c r="A806" s="109"/>
      <c r="B806" s="104"/>
      <c r="C806" s="104"/>
      <c r="D806" s="105"/>
      <c r="E806" s="106"/>
      <c r="F806" s="107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6"/>
    </row>
    <row r="807" ht="15.75" customHeight="1">
      <c r="A807" s="109"/>
      <c r="B807" s="104"/>
      <c r="C807" s="104"/>
      <c r="D807" s="105"/>
      <c r="E807" s="106"/>
      <c r="F807" s="107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6"/>
    </row>
    <row r="808" ht="15.75" customHeight="1">
      <c r="A808" s="109"/>
      <c r="B808" s="104"/>
      <c r="C808" s="104"/>
      <c r="D808" s="105"/>
      <c r="E808" s="106"/>
      <c r="F808" s="107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6"/>
    </row>
    <row r="809" ht="15.75" customHeight="1">
      <c r="A809" s="109"/>
      <c r="B809" s="104"/>
      <c r="C809" s="104"/>
      <c r="D809" s="105"/>
      <c r="E809" s="106"/>
      <c r="F809" s="107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6"/>
    </row>
    <row r="810" ht="15.75" customHeight="1">
      <c r="A810" s="109"/>
      <c r="B810" s="104"/>
      <c r="C810" s="104"/>
      <c r="D810" s="105"/>
      <c r="E810" s="106"/>
      <c r="F810" s="107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6"/>
    </row>
    <row r="811" ht="15.75" customHeight="1">
      <c r="A811" s="109"/>
      <c r="B811" s="104"/>
      <c r="C811" s="104"/>
      <c r="D811" s="105"/>
      <c r="E811" s="106"/>
      <c r="F811" s="107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6"/>
    </row>
    <row r="812" ht="15.75" customHeight="1">
      <c r="A812" s="109"/>
      <c r="B812" s="104"/>
      <c r="C812" s="104"/>
      <c r="D812" s="105"/>
      <c r="E812" s="106"/>
      <c r="F812" s="107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6"/>
    </row>
    <row r="813" ht="15.75" customHeight="1">
      <c r="A813" s="109"/>
      <c r="B813" s="104"/>
      <c r="C813" s="104"/>
      <c r="D813" s="105"/>
      <c r="E813" s="106"/>
      <c r="F813" s="107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6"/>
    </row>
    <row r="814" ht="15.75" customHeight="1">
      <c r="A814" s="109"/>
      <c r="B814" s="104"/>
      <c r="C814" s="104"/>
      <c r="D814" s="105"/>
      <c r="E814" s="106"/>
      <c r="F814" s="107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6"/>
    </row>
    <row r="815" ht="15.75" customHeight="1">
      <c r="A815" s="109"/>
      <c r="B815" s="104"/>
      <c r="C815" s="104"/>
      <c r="D815" s="105"/>
      <c r="E815" s="106"/>
      <c r="F815" s="107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6"/>
    </row>
    <row r="816" ht="15.75" customHeight="1">
      <c r="A816" s="109"/>
      <c r="B816" s="104"/>
      <c r="C816" s="104"/>
      <c r="D816" s="105"/>
      <c r="E816" s="106"/>
      <c r="F816" s="107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6"/>
    </row>
    <row r="817" ht="15.75" customHeight="1">
      <c r="A817" s="109"/>
      <c r="B817" s="104"/>
      <c r="C817" s="104"/>
      <c r="D817" s="105"/>
      <c r="E817" s="106"/>
      <c r="F817" s="107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6"/>
    </row>
    <row r="818" ht="15.75" customHeight="1">
      <c r="A818" s="109"/>
      <c r="B818" s="104"/>
      <c r="C818" s="104"/>
      <c r="D818" s="105"/>
      <c r="E818" s="106"/>
      <c r="F818" s="107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6"/>
    </row>
    <row r="819" ht="15.75" customHeight="1">
      <c r="A819" s="109"/>
      <c r="B819" s="104"/>
      <c r="C819" s="104"/>
      <c r="D819" s="105"/>
      <c r="E819" s="106"/>
      <c r="F819" s="107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6"/>
    </row>
    <row r="820" ht="15.75" customHeight="1">
      <c r="A820" s="109"/>
      <c r="B820" s="104"/>
      <c r="C820" s="104"/>
      <c r="D820" s="105"/>
      <c r="E820" s="106"/>
      <c r="F820" s="107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6"/>
    </row>
    <row r="821" ht="15.75" customHeight="1">
      <c r="A821" s="109"/>
      <c r="B821" s="104"/>
      <c r="C821" s="104"/>
      <c r="D821" s="105"/>
      <c r="E821" s="106"/>
      <c r="F821" s="107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6"/>
    </row>
    <row r="822" ht="15.75" customHeight="1">
      <c r="A822" s="109"/>
      <c r="B822" s="104"/>
      <c r="C822" s="104"/>
      <c r="D822" s="105"/>
      <c r="E822" s="106"/>
      <c r="F822" s="107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6"/>
    </row>
    <row r="823" ht="15.75" customHeight="1">
      <c r="A823" s="109"/>
      <c r="B823" s="104"/>
      <c r="C823" s="104"/>
      <c r="D823" s="105"/>
      <c r="E823" s="106"/>
      <c r="F823" s="107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6"/>
    </row>
    <row r="824" ht="15.75" customHeight="1">
      <c r="A824" s="109"/>
      <c r="B824" s="104"/>
      <c r="C824" s="104"/>
      <c r="D824" s="105"/>
      <c r="E824" s="106"/>
      <c r="F824" s="107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6"/>
    </row>
    <row r="825" ht="15.75" customHeight="1">
      <c r="A825" s="109"/>
      <c r="B825" s="104"/>
      <c r="C825" s="104"/>
      <c r="D825" s="105"/>
      <c r="E825" s="106"/>
      <c r="F825" s="107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6"/>
    </row>
    <row r="826" ht="15.75" customHeight="1">
      <c r="A826" s="109"/>
      <c r="B826" s="104"/>
      <c r="C826" s="104"/>
      <c r="D826" s="105"/>
      <c r="E826" s="106"/>
      <c r="F826" s="107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6"/>
    </row>
    <row r="827" ht="15.75" customHeight="1">
      <c r="A827" s="109"/>
      <c r="B827" s="104"/>
      <c r="C827" s="104"/>
      <c r="D827" s="105"/>
      <c r="E827" s="106"/>
      <c r="F827" s="107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6"/>
    </row>
    <row r="828" ht="15.75" customHeight="1">
      <c r="A828" s="109"/>
      <c r="B828" s="104"/>
      <c r="C828" s="104"/>
      <c r="D828" s="105"/>
      <c r="E828" s="106"/>
      <c r="F828" s="107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6"/>
    </row>
    <row r="829" ht="15.75" customHeight="1">
      <c r="A829" s="109"/>
      <c r="B829" s="104"/>
      <c r="C829" s="104"/>
      <c r="D829" s="105"/>
      <c r="E829" s="106"/>
      <c r="F829" s="107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6"/>
    </row>
    <row r="830" ht="15.75" customHeight="1">
      <c r="A830" s="109"/>
      <c r="B830" s="104"/>
      <c r="C830" s="104"/>
      <c r="D830" s="105"/>
      <c r="E830" s="106"/>
      <c r="F830" s="107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6"/>
    </row>
    <row r="831" ht="15.75" customHeight="1">
      <c r="A831" s="109"/>
      <c r="B831" s="104"/>
      <c r="C831" s="104"/>
      <c r="D831" s="105"/>
      <c r="E831" s="106"/>
      <c r="F831" s="107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6"/>
    </row>
    <row r="832" ht="15.75" customHeight="1">
      <c r="A832" s="109"/>
      <c r="B832" s="104"/>
      <c r="C832" s="104"/>
      <c r="D832" s="105"/>
      <c r="E832" s="106"/>
      <c r="F832" s="107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6"/>
    </row>
    <row r="833" ht="15.75" customHeight="1">
      <c r="A833" s="109"/>
      <c r="B833" s="104"/>
      <c r="C833" s="104"/>
      <c r="D833" s="105"/>
      <c r="E833" s="106"/>
      <c r="F833" s="107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6"/>
    </row>
    <row r="834" ht="15.75" customHeight="1">
      <c r="A834" s="109"/>
      <c r="B834" s="104"/>
      <c r="C834" s="104"/>
      <c r="D834" s="105"/>
      <c r="E834" s="106"/>
      <c r="F834" s="107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6"/>
    </row>
    <row r="835" ht="15.75" customHeight="1">
      <c r="A835" s="109"/>
      <c r="B835" s="104"/>
      <c r="C835" s="104"/>
      <c r="D835" s="105"/>
      <c r="E835" s="106"/>
      <c r="F835" s="107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6"/>
    </row>
    <row r="836" ht="15.75" customHeight="1">
      <c r="A836" s="109"/>
      <c r="B836" s="104"/>
      <c r="C836" s="104"/>
      <c r="D836" s="105"/>
      <c r="E836" s="106"/>
      <c r="F836" s="107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6"/>
    </row>
    <row r="837" ht="15.75" customHeight="1">
      <c r="A837" s="109"/>
      <c r="B837" s="104"/>
      <c r="C837" s="104"/>
      <c r="D837" s="105"/>
      <c r="E837" s="106"/>
      <c r="F837" s="107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6"/>
    </row>
    <row r="838" ht="15.75" customHeight="1">
      <c r="A838" s="109"/>
      <c r="B838" s="104"/>
      <c r="C838" s="104"/>
      <c r="D838" s="105"/>
      <c r="E838" s="106"/>
      <c r="F838" s="107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6"/>
    </row>
    <row r="839" ht="15.75" customHeight="1">
      <c r="A839" s="109"/>
      <c r="B839" s="104"/>
      <c r="C839" s="104"/>
      <c r="D839" s="105"/>
      <c r="E839" s="106"/>
      <c r="F839" s="107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6"/>
    </row>
    <row r="840" ht="15.75" customHeight="1">
      <c r="A840" s="109"/>
      <c r="B840" s="104"/>
      <c r="C840" s="104"/>
      <c r="D840" s="105"/>
      <c r="E840" s="106"/>
      <c r="F840" s="107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6"/>
    </row>
    <row r="841" ht="15.75" customHeight="1">
      <c r="A841" s="109"/>
      <c r="B841" s="104"/>
      <c r="C841" s="104"/>
      <c r="D841" s="105"/>
      <c r="E841" s="106"/>
      <c r="F841" s="107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6"/>
    </row>
    <row r="842" ht="15.75" customHeight="1">
      <c r="A842" s="109"/>
      <c r="B842" s="104"/>
      <c r="C842" s="104"/>
      <c r="D842" s="105"/>
      <c r="E842" s="106"/>
      <c r="F842" s="107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6"/>
    </row>
    <row r="843" ht="15.75" customHeight="1">
      <c r="A843" s="109"/>
      <c r="B843" s="104"/>
      <c r="C843" s="104"/>
      <c r="D843" s="105"/>
      <c r="E843" s="106"/>
      <c r="F843" s="107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6"/>
    </row>
    <row r="844" ht="15.75" customHeight="1">
      <c r="A844" s="109"/>
      <c r="B844" s="104"/>
      <c r="C844" s="104"/>
      <c r="D844" s="105"/>
      <c r="E844" s="106"/>
      <c r="F844" s="107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6"/>
    </row>
    <row r="845" ht="15.75" customHeight="1">
      <c r="A845" s="109"/>
      <c r="B845" s="104"/>
      <c r="C845" s="104"/>
      <c r="D845" s="105"/>
      <c r="E845" s="106"/>
      <c r="F845" s="107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6"/>
    </row>
    <row r="846" ht="15.75" customHeight="1">
      <c r="A846" s="109"/>
      <c r="B846" s="104"/>
      <c r="C846" s="104"/>
      <c r="D846" s="105"/>
      <c r="E846" s="106"/>
      <c r="F846" s="107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6"/>
    </row>
    <row r="847" ht="15.75" customHeight="1">
      <c r="A847" s="109"/>
      <c r="B847" s="104"/>
      <c r="C847" s="104"/>
      <c r="D847" s="105"/>
      <c r="E847" s="106"/>
      <c r="F847" s="107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6"/>
    </row>
    <row r="848" ht="15.75" customHeight="1">
      <c r="A848" s="109"/>
      <c r="B848" s="104"/>
      <c r="C848" s="104"/>
      <c r="D848" s="105"/>
      <c r="E848" s="106"/>
      <c r="F848" s="107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6"/>
    </row>
    <row r="849" ht="15.75" customHeight="1">
      <c r="A849" s="109"/>
      <c r="B849" s="104"/>
      <c r="C849" s="104"/>
      <c r="D849" s="105"/>
      <c r="E849" s="106"/>
      <c r="F849" s="107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6"/>
    </row>
    <row r="850" ht="15.75" customHeight="1">
      <c r="A850" s="109"/>
      <c r="B850" s="104"/>
      <c r="C850" s="104"/>
      <c r="D850" s="105"/>
      <c r="E850" s="106"/>
      <c r="F850" s="107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6"/>
    </row>
    <row r="851" ht="15.75" customHeight="1">
      <c r="A851" s="109"/>
      <c r="B851" s="104"/>
      <c r="C851" s="104"/>
      <c r="D851" s="105"/>
      <c r="E851" s="106"/>
      <c r="F851" s="107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6"/>
    </row>
    <row r="852" ht="15.75" customHeight="1">
      <c r="A852" s="109"/>
      <c r="B852" s="104"/>
      <c r="C852" s="104"/>
      <c r="D852" s="105"/>
      <c r="E852" s="106"/>
      <c r="F852" s="107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6"/>
    </row>
    <row r="853" ht="15.75" customHeight="1">
      <c r="A853" s="109"/>
      <c r="B853" s="104"/>
      <c r="C853" s="104"/>
      <c r="D853" s="105"/>
      <c r="E853" s="106"/>
      <c r="F853" s="107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6"/>
    </row>
    <row r="854" ht="15.75" customHeight="1">
      <c r="A854" s="109"/>
      <c r="B854" s="104"/>
      <c r="C854" s="104"/>
      <c r="D854" s="105"/>
      <c r="E854" s="106"/>
      <c r="F854" s="107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6"/>
    </row>
    <row r="855" ht="15.75" customHeight="1">
      <c r="A855" s="109"/>
      <c r="B855" s="104"/>
      <c r="C855" s="104"/>
      <c r="D855" s="105"/>
      <c r="E855" s="106"/>
      <c r="F855" s="107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6"/>
    </row>
    <row r="856" ht="15.75" customHeight="1">
      <c r="A856" s="109"/>
      <c r="B856" s="104"/>
      <c r="C856" s="104"/>
      <c r="D856" s="105"/>
      <c r="E856" s="106"/>
      <c r="F856" s="107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6"/>
    </row>
    <row r="857" ht="15.75" customHeight="1">
      <c r="A857" s="109"/>
      <c r="B857" s="104"/>
      <c r="C857" s="104"/>
      <c r="D857" s="105"/>
      <c r="E857" s="106"/>
      <c r="F857" s="107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6"/>
    </row>
    <row r="858" ht="15.75" customHeight="1">
      <c r="A858" s="109"/>
      <c r="B858" s="104"/>
      <c r="C858" s="104"/>
      <c r="D858" s="105"/>
      <c r="E858" s="106"/>
      <c r="F858" s="107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6"/>
    </row>
    <row r="859" ht="15.75" customHeight="1">
      <c r="A859" s="109"/>
      <c r="B859" s="104"/>
      <c r="C859" s="104"/>
      <c r="D859" s="105"/>
      <c r="E859" s="106"/>
      <c r="F859" s="107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6"/>
    </row>
    <row r="860" ht="15.75" customHeight="1">
      <c r="A860" s="109"/>
      <c r="B860" s="104"/>
      <c r="C860" s="104"/>
      <c r="D860" s="105"/>
      <c r="E860" s="106"/>
      <c r="F860" s="107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6"/>
    </row>
    <row r="861" ht="15.75" customHeight="1">
      <c r="A861" s="109"/>
      <c r="B861" s="104"/>
      <c r="C861" s="104"/>
      <c r="D861" s="105"/>
      <c r="E861" s="106"/>
      <c r="F861" s="107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6"/>
    </row>
    <row r="862" ht="15.75" customHeight="1">
      <c r="A862" s="109"/>
      <c r="B862" s="104"/>
      <c r="C862" s="104"/>
      <c r="D862" s="105"/>
      <c r="E862" s="106"/>
      <c r="F862" s="107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6"/>
    </row>
    <row r="863" ht="15.75" customHeight="1">
      <c r="A863" s="109"/>
      <c r="B863" s="104"/>
      <c r="C863" s="104"/>
      <c r="D863" s="105"/>
      <c r="E863" s="106"/>
      <c r="F863" s="107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6"/>
    </row>
    <row r="864" ht="15.75" customHeight="1">
      <c r="A864" s="109"/>
      <c r="B864" s="104"/>
      <c r="C864" s="104"/>
      <c r="D864" s="105"/>
      <c r="E864" s="106"/>
      <c r="F864" s="107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6"/>
    </row>
    <row r="865" ht="15.75" customHeight="1">
      <c r="A865" s="109"/>
      <c r="B865" s="104"/>
      <c r="C865" s="104"/>
      <c r="D865" s="105"/>
      <c r="E865" s="106"/>
      <c r="F865" s="107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6"/>
    </row>
    <row r="866" ht="15.75" customHeight="1">
      <c r="A866" s="109"/>
      <c r="B866" s="104"/>
      <c r="C866" s="104"/>
      <c r="D866" s="105"/>
      <c r="E866" s="106"/>
      <c r="F866" s="107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6"/>
    </row>
    <row r="867" ht="15.75" customHeight="1">
      <c r="A867" s="109"/>
      <c r="B867" s="104"/>
      <c r="C867" s="104"/>
      <c r="D867" s="105"/>
      <c r="E867" s="106"/>
      <c r="F867" s="107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6"/>
    </row>
    <row r="868" ht="15.75" customHeight="1">
      <c r="A868" s="109"/>
      <c r="B868" s="104"/>
      <c r="C868" s="104"/>
      <c r="D868" s="105"/>
      <c r="E868" s="106"/>
      <c r="F868" s="107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6"/>
    </row>
    <row r="869" ht="15.75" customHeight="1">
      <c r="A869" s="109"/>
      <c r="B869" s="104"/>
      <c r="C869" s="104"/>
      <c r="D869" s="105"/>
      <c r="E869" s="106"/>
      <c r="F869" s="107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6"/>
    </row>
    <row r="870" ht="15.75" customHeight="1">
      <c r="A870" s="109"/>
      <c r="B870" s="104"/>
      <c r="C870" s="104"/>
      <c r="D870" s="105"/>
      <c r="E870" s="106"/>
      <c r="F870" s="107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6"/>
    </row>
    <row r="871" ht="15.75" customHeight="1">
      <c r="A871" s="109"/>
      <c r="B871" s="104"/>
      <c r="C871" s="104"/>
      <c r="D871" s="105"/>
      <c r="E871" s="106"/>
      <c r="F871" s="107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6"/>
    </row>
    <row r="872" ht="15.75" customHeight="1">
      <c r="A872" s="109"/>
      <c r="B872" s="104"/>
      <c r="C872" s="104"/>
      <c r="D872" s="105"/>
      <c r="E872" s="106"/>
      <c r="F872" s="107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6"/>
    </row>
    <row r="873" ht="15.75" customHeight="1">
      <c r="A873" s="109"/>
      <c r="B873" s="104"/>
      <c r="C873" s="104"/>
      <c r="D873" s="105"/>
      <c r="E873" s="106"/>
      <c r="F873" s="107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6"/>
    </row>
    <row r="874" ht="15.75" customHeight="1">
      <c r="A874" s="109"/>
      <c r="B874" s="104"/>
      <c r="C874" s="104"/>
      <c r="D874" s="105"/>
      <c r="E874" s="106"/>
      <c r="F874" s="107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6"/>
    </row>
    <row r="875" ht="15.75" customHeight="1">
      <c r="A875" s="109"/>
      <c r="B875" s="104"/>
      <c r="C875" s="104"/>
      <c r="D875" s="105"/>
      <c r="E875" s="106"/>
      <c r="F875" s="107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6"/>
    </row>
    <row r="876" ht="15.75" customHeight="1">
      <c r="A876" s="109"/>
      <c r="B876" s="104"/>
      <c r="C876" s="104"/>
      <c r="D876" s="105"/>
      <c r="E876" s="106"/>
      <c r="F876" s="107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6"/>
    </row>
    <row r="877" ht="15.75" customHeight="1">
      <c r="A877" s="109"/>
      <c r="B877" s="104"/>
      <c r="C877" s="104"/>
      <c r="D877" s="105"/>
      <c r="E877" s="106"/>
      <c r="F877" s="107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6"/>
    </row>
    <row r="878" ht="15.75" customHeight="1">
      <c r="A878" s="109"/>
      <c r="B878" s="104"/>
      <c r="C878" s="104"/>
      <c r="D878" s="105"/>
      <c r="E878" s="106"/>
      <c r="F878" s="107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6"/>
    </row>
    <row r="879" ht="15.75" customHeight="1">
      <c r="A879" s="109"/>
      <c r="B879" s="104"/>
      <c r="C879" s="104"/>
      <c r="D879" s="105"/>
      <c r="E879" s="106"/>
      <c r="F879" s="107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6"/>
    </row>
    <row r="880" ht="15.75" customHeight="1">
      <c r="A880" s="109"/>
      <c r="B880" s="104"/>
      <c r="C880" s="104"/>
      <c r="D880" s="105"/>
      <c r="E880" s="106"/>
      <c r="F880" s="107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6"/>
    </row>
    <row r="881" ht="15.75" customHeight="1">
      <c r="A881" s="109"/>
      <c r="B881" s="104"/>
      <c r="C881" s="104"/>
      <c r="D881" s="105"/>
      <c r="E881" s="106"/>
      <c r="F881" s="107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6"/>
    </row>
    <row r="882" ht="15.75" customHeight="1">
      <c r="A882" s="109"/>
      <c r="B882" s="104"/>
      <c r="C882" s="104"/>
      <c r="D882" s="105"/>
      <c r="E882" s="106"/>
      <c r="F882" s="107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6"/>
    </row>
    <row r="883" ht="15.75" customHeight="1">
      <c r="A883" s="109"/>
      <c r="B883" s="104"/>
      <c r="C883" s="104"/>
      <c r="D883" s="105"/>
      <c r="E883" s="106"/>
      <c r="F883" s="107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6"/>
    </row>
    <row r="884" ht="15.75" customHeight="1">
      <c r="A884" s="109"/>
      <c r="B884" s="104"/>
      <c r="C884" s="104"/>
      <c r="D884" s="105"/>
      <c r="E884" s="106"/>
      <c r="F884" s="107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6"/>
    </row>
    <row r="885" ht="15.75" customHeight="1">
      <c r="A885" s="109"/>
      <c r="B885" s="104"/>
      <c r="C885" s="104"/>
      <c r="D885" s="105"/>
      <c r="E885" s="106"/>
      <c r="F885" s="107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6"/>
    </row>
    <row r="886" ht="15.75" customHeight="1">
      <c r="A886" s="109"/>
      <c r="B886" s="104"/>
      <c r="C886" s="104"/>
      <c r="D886" s="105"/>
      <c r="E886" s="106"/>
      <c r="F886" s="107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6"/>
    </row>
    <row r="887" ht="15.75" customHeight="1">
      <c r="A887" s="109"/>
      <c r="B887" s="104"/>
      <c r="C887" s="104"/>
      <c r="D887" s="105"/>
      <c r="E887" s="106"/>
      <c r="F887" s="107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6"/>
    </row>
    <row r="888" ht="15.75" customHeight="1">
      <c r="A888" s="109"/>
      <c r="B888" s="104"/>
      <c r="C888" s="104"/>
      <c r="D888" s="105"/>
      <c r="E888" s="106"/>
      <c r="F888" s="107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6"/>
    </row>
    <row r="889" ht="15.75" customHeight="1">
      <c r="A889" s="109"/>
      <c r="B889" s="104"/>
      <c r="C889" s="104"/>
      <c r="D889" s="105"/>
      <c r="E889" s="106"/>
      <c r="F889" s="107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6"/>
    </row>
    <row r="890" ht="15.75" customHeight="1">
      <c r="A890" s="109"/>
      <c r="B890" s="104"/>
      <c r="C890" s="104"/>
      <c r="D890" s="105"/>
      <c r="E890" s="106"/>
      <c r="F890" s="107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6"/>
    </row>
    <row r="891" ht="15.75" customHeight="1">
      <c r="A891" s="109"/>
      <c r="B891" s="104"/>
      <c r="C891" s="104"/>
      <c r="D891" s="105"/>
      <c r="E891" s="106"/>
      <c r="F891" s="107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6"/>
    </row>
    <row r="892" ht="15.75" customHeight="1">
      <c r="A892" s="109"/>
      <c r="B892" s="104"/>
      <c r="C892" s="104"/>
      <c r="D892" s="105"/>
      <c r="E892" s="106"/>
      <c r="F892" s="107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6"/>
    </row>
    <row r="893" ht="15.75" customHeight="1">
      <c r="A893" s="109"/>
      <c r="B893" s="104"/>
      <c r="C893" s="104"/>
      <c r="D893" s="105"/>
      <c r="E893" s="106"/>
      <c r="F893" s="107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6"/>
    </row>
    <row r="894" ht="15.75" customHeight="1">
      <c r="A894" s="109"/>
      <c r="B894" s="104"/>
      <c r="C894" s="104"/>
      <c r="D894" s="105"/>
      <c r="E894" s="106"/>
      <c r="F894" s="107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6"/>
    </row>
    <row r="895" ht="15.75" customHeight="1">
      <c r="A895" s="109"/>
      <c r="B895" s="104"/>
      <c r="C895" s="104"/>
      <c r="D895" s="105"/>
      <c r="E895" s="106"/>
      <c r="F895" s="107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6"/>
    </row>
    <row r="896" ht="15.75" customHeight="1">
      <c r="A896" s="109"/>
      <c r="B896" s="104"/>
      <c r="C896" s="104"/>
      <c r="D896" s="105"/>
      <c r="E896" s="106"/>
      <c r="F896" s="107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6"/>
    </row>
    <row r="897" ht="15.75" customHeight="1">
      <c r="A897" s="109"/>
      <c r="B897" s="104"/>
      <c r="C897" s="104"/>
      <c r="D897" s="105"/>
      <c r="E897" s="106"/>
      <c r="F897" s="107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6"/>
    </row>
    <row r="898" ht="15.75" customHeight="1">
      <c r="A898" s="109"/>
      <c r="B898" s="104"/>
      <c r="C898" s="104"/>
      <c r="D898" s="105"/>
      <c r="E898" s="106"/>
      <c r="F898" s="107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6"/>
    </row>
    <row r="899" ht="15.75" customHeight="1">
      <c r="A899" s="109"/>
      <c r="B899" s="104"/>
      <c r="C899" s="104"/>
      <c r="D899" s="105"/>
      <c r="E899" s="106"/>
      <c r="F899" s="107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6"/>
    </row>
    <row r="900" ht="15.75" customHeight="1">
      <c r="A900" s="109"/>
      <c r="B900" s="104"/>
      <c r="C900" s="104"/>
      <c r="D900" s="105"/>
      <c r="E900" s="106"/>
      <c r="F900" s="107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6"/>
    </row>
    <row r="901" ht="15.75" customHeight="1">
      <c r="A901" s="109"/>
      <c r="B901" s="104"/>
      <c r="C901" s="104"/>
      <c r="D901" s="105"/>
      <c r="E901" s="106"/>
      <c r="F901" s="107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6"/>
    </row>
    <row r="902" ht="15.75" customHeight="1">
      <c r="A902" s="109"/>
      <c r="B902" s="104"/>
      <c r="C902" s="104"/>
      <c r="D902" s="105"/>
      <c r="E902" s="106"/>
      <c r="F902" s="107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6"/>
    </row>
    <row r="903" ht="15.75" customHeight="1">
      <c r="A903" s="109"/>
      <c r="B903" s="104"/>
      <c r="C903" s="104"/>
      <c r="D903" s="105"/>
      <c r="E903" s="106"/>
      <c r="F903" s="107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6"/>
    </row>
    <row r="904" ht="15.75" customHeight="1">
      <c r="A904" s="109"/>
      <c r="B904" s="104"/>
      <c r="C904" s="104"/>
      <c r="D904" s="105"/>
      <c r="E904" s="106"/>
      <c r="F904" s="107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6"/>
    </row>
    <row r="905" ht="15.75" customHeight="1">
      <c r="A905" s="109"/>
      <c r="B905" s="104"/>
      <c r="C905" s="104"/>
      <c r="D905" s="105"/>
      <c r="E905" s="106"/>
      <c r="F905" s="107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6"/>
    </row>
    <row r="906" ht="15.75" customHeight="1">
      <c r="A906" s="109"/>
      <c r="B906" s="104"/>
      <c r="C906" s="104"/>
      <c r="D906" s="105"/>
      <c r="E906" s="106"/>
      <c r="F906" s="107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6"/>
    </row>
    <row r="907" ht="15.75" customHeight="1">
      <c r="A907" s="109"/>
      <c r="B907" s="104"/>
      <c r="C907" s="104"/>
      <c r="D907" s="105"/>
      <c r="E907" s="106"/>
      <c r="F907" s="107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6"/>
    </row>
    <row r="908" ht="15.75" customHeight="1">
      <c r="A908" s="109"/>
      <c r="B908" s="104"/>
      <c r="C908" s="104"/>
      <c r="D908" s="105"/>
      <c r="E908" s="106"/>
      <c r="F908" s="107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6"/>
    </row>
    <row r="909" ht="15.75" customHeight="1">
      <c r="A909" s="109"/>
      <c r="B909" s="104"/>
      <c r="C909" s="104"/>
      <c r="D909" s="105"/>
      <c r="E909" s="106"/>
      <c r="F909" s="107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6"/>
    </row>
    <row r="910" ht="15.75" customHeight="1">
      <c r="A910" s="109"/>
      <c r="B910" s="104"/>
      <c r="C910" s="104"/>
      <c r="D910" s="105"/>
      <c r="E910" s="106"/>
      <c r="F910" s="107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6"/>
    </row>
    <row r="911" ht="15.75" customHeight="1">
      <c r="A911" s="109"/>
      <c r="B911" s="104"/>
      <c r="C911" s="104"/>
      <c r="D911" s="105"/>
      <c r="E911" s="106"/>
      <c r="F911" s="107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6"/>
    </row>
    <row r="912" ht="15.75" customHeight="1">
      <c r="A912" s="109"/>
      <c r="B912" s="104"/>
      <c r="C912" s="104"/>
      <c r="D912" s="105"/>
      <c r="E912" s="106"/>
      <c r="F912" s="107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6"/>
    </row>
    <row r="913" ht="15.75" customHeight="1">
      <c r="A913" s="109"/>
      <c r="B913" s="104"/>
      <c r="C913" s="104"/>
      <c r="D913" s="105"/>
      <c r="E913" s="106"/>
      <c r="F913" s="107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6"/>
    </row>
    <row r="914" ht="15.75" customHeight="1">
      <c r="A914" s="109"/>
      <c r="B914" s="104"/>
      <c r="C914" s="104"/>
      <c r="D914" s="105"/>
      <c r="E914" s="106"/>
      <c r="F914" s="107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6"/>
    </row>
    <row r="915" ht="15.75" customHeight="1">
      <c r="A915" s="109"/>
      <c r="B915" s="104"/>
      <c r="C915" s="104"/>
      <c r="D915" s="105"/>
      <c r="E915" s="106"/>
      <c r="F915" s="107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6"/>
    </row>
    <row r="916" ht="15.75" customHeight="1">
      <c r="A916" s="109"/>
      <c r="B916" s="104"/>
      <c r="C916" s="104"/>
      <c r="D916" s="105"/>
      <c r="E916" s="106"/>
      <c r="F916" s="107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6"/>
    </row>
    <row r="917" ht="15.75" customHeight="1">
      <c r="A917" s="109"/>
      <c r="B917" s="104"/>
      <c r="C917" s="104"/>
      <c r="D917" s="105"/>
      <c r="E917" s="106"/>
      <c r="F917" s="107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6"/>
    </row>
    <row r="918" ht="15.75" customHeight="1">
      <c r="A918" s="109"/>
      <c r="B918" s="104"/>
      <c r="C918" s="104"/>
      <c r="D918" s="105"/>
      <c r="E918" s="106"/>
      <c r="F918" s="107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6"/>
    </row>
    <row r="919" ht="15.75" customHeight="1">
      <c r="A919" s="109"/>
      <c r="B919" s="104"/>
      <c r="C919" s="104"/>
      <c r="D919" s="105"/>
      <c r="E919" s="106"/>
      <c r="F919" s="107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6"/>
    </row>
    <row r="920" ht="15.75" customHeight="1">
      <c r="A920" s="109"/>
      <c r="B920" s="104"/>
      <c r="C920" s="104"/>
      <c r="D920" s="105"/>
      <c r="E920" s="106"/>
      <c r="F920" s="107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6"/>
    </row>
    <row r="921" ht="15.75" customHeight="1">
      <c r="A921" s="109"/>
      <c r="B921" s="104"/>
      <c r="C921" s="104"/>
      <c r="D921" s="105"/>
      <c r="E921" s="106"/>
      <c r="F921" s="107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6"/>
    </row>
    <row r="922" ht="15.75" customHeight="1">
      <c r="A922" s="109"/>
      <c r="B922" s="104"/>
      <c r="C922" s="104"/>
      <c r="D922" s="105"/>
      <c r="E922" s="106"/>
      <c r="F922" s="107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6"/>
    </row>
    <row r="923" ht="15.75" customHeight="1">
      <c r="A923" s="109"/>
      <c r="B923" s="104"/>
      <c r="C923" s="104"/>
      <c r="D923" s="105"/>
      <c r="E923" s="106"/>
      <c r="F923" s="107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6"/>
    </row>
    <row r="924" ht="15.75" customHeight="1">
      <c r="A924" s="109"/>
      <c r="B924" s="104"/>
      <c r="C924" s="104"/>
      <c r="D924" s="105"/>
      <c r="E924" s="106"/>
      <c r="F924" s="107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6"/>
    </row>
    <row r="925" ht="15.75" customHeight="1">
      <c r="A925" s="109"/>
      <c r="B925" s="104"/>
      <c r="C925" s="104"/>
      <c r="D925" s="105"/>
      <c r="E925" s="106"/>
      <c r="F925" s="107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6"/>
    </row>
    <row r="926" ht="15.75" customHeight="1">
      <c r="A926" s="109"/>
      <c r="B926" s="104"/>
      <c r="C926" s="104"/>
      <c r="D926" s="105"/>
      <c r="E926" s="106"/>
      <c r="F926" s="107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6"/>
    </row>
    <row r="927" ht="15.75" customHeight="1">
      <c r="A927" s="109"/>
      <c r="B927" s="104"/>
      <c r="C927" s="104"/>
      <c r="D927" s="105"/>
      <c r="E927" s="106"/>
      <c r="F927" s="107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6"/>
    </row>
    <row r="928" ht="15.75" customHeight="1">
      <c r="A928" s="109"/>
      <c r="B928" s="104"/>
      <c r="C928" s="104"/>
      <c r="D928" s="105"/>
      <c r="E928" s="106"/>
      <c r="F928" s="107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6"/>
    </row>
    <row r="929" ht="15.75" customHeight="1">
      <c r="A929" s="109"/>
      <c r="B929" s="104"/>
      <c r="C929" s="104"/>
      <c r="D929" s="105"/>
      <c r="E929" s="106"/>
      <c r="F929" s="107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6"/>
    </row>
    <row r="930" ht="15.75" customHeight="1">
      <c r="A930" s="109"/>
      <c r="B930" s="104"/>
      <c r="C930" s="104"/>
      <c r="D930" s="105"/>
      <c r="E930" s="106"/>
      <c r="F930" s="107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6"/>
    </row>
    <row r="931" ht="15.75" customHeight="1">
      <c r="A931" s="109"/>
      <c r="B931" s="104"/>
      <c r="C931" s="104"/>
      <c r="D931" s="105"/>
      <c r="E931" s="106"/>
      <c r="F931" s="107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6"/>
    </row>
    <row r="932" ht="15.75" customHeight="1">
      <c r="A932" s="109"/>
      <c r="B932" s="104"/>
      <c r="C932" s="104"/>
      <c r="D932" s="105"/>
      <c r="E932" s="106"/>
      <c r="F932" s="107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6"/>
    </row>
    <row r="933" ht="15.75" customHeight="1">
      <c r="A933" s="109"/>
      <c r="B933" s="104"/>
      <c r="C933" s="104"/>
      <c r="D933" s="105"/>
      <c r="E933" s="106"/>
      <c r="F933" s="107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6"/>
    </row>
    <row r="934" ht="15.75" customHeight="1">
      <c r="A934" s="109"/>
      <c r="B934" s="104"/>
      <c r="C934" s="104"/>
      <c r="D934" s="105"/>
      <c r="E934" s="106"/>
      <c r="F934" s="107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6"/>
    </row>
    <row r="935" ht="15.75" customHeight="1">
      <c r="A935" s="109"/>
      <c r="B935" s="104"/>
      <c r="C935" s="104"/>
      <c r="D935" s="105"/>
      <c r="E935" s="106"/>
      <c r="F935" s="107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6"/>
    </row>
    <row r="936" ht="15.75" customHeight="1">
      <c r="A936" s="109"/>
      <c r="B936" s="104"/>
      <c r="C936" s="104"/>
      <c r="D936" s="105"/>
      <c r="E936" s="106"/>
      <c r="F936" s="107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6"/>
    </row>
    <row r="937" ht="15.75" customHeight="1">
      <c r="A937" s="109"/>
      <c r="B937" s="104"/>
      <c r="C937" s="104"/>
      <c r="D937" s="105"/>
      <c r="E937" s="106"/>
      <c r="F937" s="107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6"/>
    </row>
    <row r="938" ht="15.75" customHeight="1">
      <c r="A938" s="109"/>
      <c r="B938" s="104"/>
      <c r="C938" s="104"/>
      <c r="D938" s="105"/>
      <c r="E938" s="106"/>
      <c r="F938" s="107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6"/>
    </row>
    <row r="939" ht="15.75" customHeight="1">
      <c r="A939" s="109"/>
      <c r="B939" s="104"/>
      <c r="C939" s="104"/>
      <c r="D939" s="105"/>
      <c r="E939" s="106"/>
      <c r="F939" s="107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6"/>
    </row>
    <row r="940" ht="15.75" customHeight="1">
      <c r="A940" s="109"/>
      <c r="B940" s="104"/>
      <c r="C940" s="104"/>
      <c r="D940" s="105"/>
      <c r="E940" s="106"/>
      <c r="F940" s="107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6"/>
    </row>
    <row r="941" ht="15.75" customHeight="1">
      <c r="A941" s="109"/>
      <c r="B941" s="104"/>
      <c r="C941" s="104"/>
      <c r="D941" s="105"/>
      <c r="E941" s="106"/>
      <c r="F941" s="107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6"/>
    </row>
    <row r="942" ht="15.75" customHeight="1">
      <c r="A942" s="109"/>
      <c r="B942" s="104"/>
      <c r="C942" s="104"/>
      <c r="D942" s="105"/>
      <c r="E942" s="106"/>
      <c r="F942" s="107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6"/>
    </row>
    <row r="943" ht="15.75" customHeight="1">
      <c r="A943" s="109"/>
      <c r="B943" s="104"/>
      <c r="C943" s="104"/>
      <c r="D943" s="105"/>
      <c r="E943" s="106"/>
      <c r="F943" s="107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6"/>
    </row>
    <row r="944" ht="15.75" customHeight="1">
      <c r="A944" s="109"/>
      <c r="B944" s="104"/>
      <c r="C944" s="104"/>
      <c r="D944" s="105"/>
      <c r="E944" s="106"/>
      <c r="F944" s="107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6"/>
    </row>
    <row r="945" ht="15.75" customHeight="1">
      <c r="A945" s="109"/>
      <c r="B945" s="104"/>
      <c r="C945" s="104"/>
      <c r="D945" s="105"/>
      <c r="E945" s="106"/>
      <c r="F945" s="107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6"/>
    </row>
    <row r="946" ht="15.75" customHeight="1">
      <c r="A946" s="109"/>
      <c r="B946" s="104"/>
      <c r="C946" s="104"/>
      <c r="D946" s="105"/>
      <c r="E946" s="106"/>
      <c r="F946" s="107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6"/>
    </row>
    <row r="947" ht="15.75" customHeight="1">
      <c r="A947" s="109"/>
      <c r="B947" s="104"/>
      <c r="C947" s="104"/>
      <c r="D947" s="105"/>
      <c r="E947" s="106"/>
      <c r="F947" s="107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6"/>
    </row>
    <row r="948" ht="15.75" customHeight="1">
      <c r="A948" s="109"/>
      <c r="B948" s="104"/>
      <c r="C948" s="104"/>
      <c r="D948" s="105"/>
      <c r="E948" s="106"/>
      <c r="F948" s="107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6"/>
    </row>
    <row r="949" ht="15.75" customHeight="1">
      <c r="A949" s="109"/>
      <c r="B949" s="104"/>
      <c r="C949" s="104"/>
      <c r="D949" s="105"/>
      <c r="E949" s="106"/>
      <c r="F949" s="107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6"/>
    </row>
    <row r="950" ht="15.75" customHeight="1">
      <c r="A950" s="109"/>
      <c r="B950" s="104"/>
      <c r="C950" s="104"/>
      <c r="D950" s="105"/>
      <c r="E950" s="106"/>
      <c r="F950" s="107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6"/>
    </row>
    <row r="951" ht="15.75" customHeight="1">
      <c r="A951" s="109"/>
      <c r="B951" s="104"/>
      <c r="C951" s="104"/>
      <c r="D951" s="105"/>
      <c r="E951" s="106"/>
      <c r="F951" s="107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6"/>
    </row>
    <row r="952" ht="15.75" customHeight="1">
      <c r="A952" s="109"/>
      <c r="B952" s="104"/>
      <c r="C952" s="104"/>
      <c r="D952" s="105"/>
      <c r="E952" s="106"/>
      <c r="F952" s="107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6"/>
    </row>
    <row r="953" ht="15.75" customHeight="1">
      <c r="A953" s="109"/>
      <c r="B953" s="104"/>
      <c r="C953" s="104"/>
      <c r="D953" s="105"/>
      <c r="E953" s="106"/>
      <c r="F953" s="107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6"/>
    </row>
    <row r="954" ht="15.75" customHeight="1">
      <c r="A954" s="109"/>
      <c r="B954" s="104"/>
      <c r="C954" s="104"/>
      <c r="D954" s="105"/>
      <c r="E954" s="106"/>
      <c r="F954" s="107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6"/>
    </row>
    <row r="955" ht="15.75" customHeight="1">
      <c r="A955" s="109"/>
      <c r="B955" s="104"/>
      <c r="C955" s="104"/>
      <c r="D955" s="105"/>
      <c r="E955" s="106"/>
      <c r="F955" s="107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6"/>
    </row>
    <row r="956" ht="15.75" customHeight="1">
      <c r="A956" s="109"/>
      <c r="B956" s="104"/>
      <c r="C956" s="104"/>
      <c r="D956" s="105"/>
      <c r="E956" s="106"/>
      <c r="F956" s="107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6"/>
    </row>
    <row r="957" ht="15.75" customHeight="1">
      <c r="A957" s="109"/>
      <c r="B957" s="104"/>
      <c r="C957" s="104"/>
      <c r="D957" s="105"/>
      <c r="E957" s="106"/>
      <c r="F957" s="107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6"/>
    </row>
    <row r="958" ht="15.75" customHeight="1">
      <c r="A958" s="109"/>
      <c r="B958" s="104"/>
      <c r="C958" s="104"/>
      <c r="D958" s="105"/>
      <c r="E958" s="106"/>
      <c r="F958" s="107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6"/>
    </row>
    <row r="959" ht="15.75" customHeight="1">
      <c r="A959" s="109"/>
      <c r="B959" s="104"/>
      <c r="C959" s="104"/>
      <c r="D959" s="105"/>
      <c r="E959" s="106"/>
      <c r="F959" s="107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6"/>
    </row>
    <row r="960" ht="15.75" customHeight="1">
      <c r="A960" s="109"/>
      <c r="B960" s="104"/>
      <c r="C960" s="104"/>
      <c r="D960" s="105"/>
      <c r="E960" s="106"/>
      <c r="F960" s="107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6"/>
    </row>
    <row r="961" ht="15.75" customHeight="1">
      <c r="A961" s="109"/>
      <c r="B961" s="104"/>
      <c r="C961" s="104"/>
      <c r="D961" s="105"/>
      <c r="E961" s="106"/>
      <c r="F961" s="107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6"/>
    </row>
    <row r="962" ht="15.75" customHeight="1">
      <c r="A962" s="109"/>
      <c r="B962" s="104"/>
      <c r="C962" s="104"/>
      <c r="D962" s="105"/>
      <c r="E962" s="106"/>
      <c r="F962" s="107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6"/>
    </row>
    <row r="963" ht="15.75" customHeight="1">
      <c r="A963" s="109"/>
      <c r="B963" s="104"/>
      <c r="C963" s="104"/>
      <c r="D963" s="105"/>
      <c r="E963" s="106"/>
      <c r="F963" s="107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6"/>
    </row>
    <row r="964" ht="15.75" customHeight="1">
      <c r="A964" s="109"/>
      <c r="B964" s="104"/>
      <c r="C964" s="104"/>
      <c r="D964" s="105"/>
      <c r="E964" s="106"/>
      <c r="F964" s="107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6"/>
    </row>
    <row r="965" ht="15.75" customHeight="1">
      <c r="A965" s="109"/>
      <c r="B965" s="104"/>
      <c r="C965" s="104"/>
      <c r="D965" s="105"/>
      <c r="E965" s="106"/>
      <c r="F965" s="107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6"/>
    </row>
    <row r="966" ht="15.75" customHeight="1">
      <c r="A966" s="109"/>
      <c r="B966" s="104"/>
      <c r="C966" s="104"/>
      <c r="D966" s="105"/>
      <c r="E966" s="106"/>
      <c r="F966" s="107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6"/>
    </row>
    <row r="967" ht="15.75" customHeight="1">
      <c r="A967" s="109"/>
      <c r="B967" s="104"/>
      <c r="C967" s="104"/>
      <c r="D967" s="105"/>
      <c r="E967" s="106"/>
      <c r="F967" s="107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6"/>
    </row>
    <row r="968" ht="15.75" customHeight="1">
      <c r="A968" s="109"/>
      <c r="B968" s="104"/>
      <c r="C968" s="104"/>
      <c r="D968" s="105"/>
      <c r="E968" s="106"/>
      <c r="F968" s="107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6"/>
    </row>
    <row r="969" ht="15.75" customHeight="1">
      <c r="A969" s="109"/>
      <c r="B969" s="104"/>
      <c r="C969" s="104"/>
      <c r="D969" s="105"/>
      <c r="E969" s="106"/>
      <c r="F969" s="107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6"/>
    </row>
    <row r="970" ht="15.75" customHeight="1">
      <c r="A970" s="109"/>
      <c r="B970" s="104"/>
      <c r="C970" s="104"/>
      <c r="D970" s="105"/>
      <c r="E970" s="106"/>
      <c r="F970" s="107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6"/>
    </row>
    <row r="971" ht="15.75" customHeight="1">
      <c r="A971" s="109"/>
      <c r="B971" s="104"/>
      <c r="C971" s="104"/>
      <c r="D971" s="105"/>
      <c r="E971" s="106"/>
      <c r="F971" s="107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6"/>
    </row>
    <row r="972" ht="15.75" customHeight="1">
      <c r="A972" s="109"/>
      <c r="B972" s="104"/>
      <c r="C972" s="104"/>
      <c r="D972" s="105"/>
      <c r="E972" s="106"/>
      <c r="F972" s="107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6"/>
    </row>
    <row r="973" ht="15.75" customHeight="1">
      <c r="A973" s="109"/>
      <c r="B973" s="104"/>
      <c r="C973" s="104"/>
      <c r="D973" s="105"/>
      <c r="E973" s="106"/>
      <c r="F973" s="107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6"/>
    </row>
    <row r="974" ht="15.75" customHeight="1">
      <c r="A974" s="109"/>
      <c r="B974" s="104"/>
      <c r="C974" s="104"/>
      <c r="D974" s="105"/>
      <c r="E974" s="106"/>
      <c r="F974" s="107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6"/>
    </row>
    <row r="975" ht="15.75" customHeight="1">
      <c r="A975" s="109"/>
      <c r="B975" s="104"/>
      <c r="C975" s="104"/>
      <c r="D975" s="105"/>
      <c r="E975" s="106"/>
      <c r="F975" s="107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6"/>
    </row>
    <row r="976" ht="15.75" customHeight="1">
      <c r="A976" s="109"/>
      <c r="B976" s="104"/>
      <c r="C976" s="104"/>
      <c r="D976" s="105"/>
      <c r="E976" s="106"/>
      <c r="F976" s="107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6"/>
    </row>
    <row r="977" ht="15.75" customHeight="1">
      <c r="A977" s="109"/>
      <c r="B977" s="104"/>
      <c r="C977" s="104"/>
      <c r="D977" s="105"/>
      <c r="E977" s="106"/>
      <c r="F977" s="107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6"/>
    </row>
    <row r="978" ht="15.75" customHeight="1">
      <c r="A978" s="109"/>
      <c r="B978" s="104"/>
      <c r="C978" s="104"/>
      <c r="D978" s="105"/>
      <c r="E978" s="106"/>
      <c r="F978" s="107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6"/>
    </row>
    <row r="979" ht="15.75" customHeight="1">
      <c r="A979" s="109"/>
      <c r="B979" s="104"/>
      <c r="C979" s="104"/>
      <c r="D979" s="105"/>
      <c r="E979" s="106"/>
      <c r="F979" s="107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6"/>
    </row>
    <row r="980" ht="15.75" customHeight="1">
      <c r="A980" s="109"/>
      <c r="B980" s="104"/>
      <c r="C980" s="104"/>
      <c r="D980" s="105"/>
      <c r="E980" s="106"/>
      <c r="F980" s="107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6"/>
    </row>
    <row r="981" ht="15.75" customHeight="1">
      <c r="A981" s="109"/>
      <c r="B981" s="104"/>
      <c r="C981" s="104"/>
      <c r="D981" s="105"/>
      <c r="E981" s="106"/>
      <c r="F981" s="107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6"/>
    </row>
    <row r="982" ht="15.75" customHeight="1">
      <c r="A982" s="109"/>
      <c r="B982" s="104"/>
      <c r="C982" s="104"/>
      <c r="D982" s="105"/>
      <c r="E982" s="106"/>
      <c r="F982" s="107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6"/>
    </row>
    <row r="983" ht="15.75" customHeight="1">
      <c r="A983" s="109"/>
      <c r="B983" s="104"/>
      <c r="C983" s="104"/>
      <c r="D983" s="105"/>
      <c r="E983" s="106"/>
      <c r="F983" s="107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6"/>
    </row>
    <row r="984" ht="15.75" customHeight="1">
      <c r="A984" s="109"/>
      <c r="B984" s="104"/>
      <c r="C984" s="104"/>
      <c r="D984" s="105"/>
      <c r="E984" s="106"/>
      <c r="F984" s="107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6"/>
    </row>
    <row r="985" ht="15.75" customHeight="1">
      <c r="A985" s="109"/>
      <c r="B985" s="104"/>
      <c r="C985" s="104"/>
      <c r="D985" s="105"/>
      <c r="E985" s="106"/>
      <c r="F985" s="107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6"/>
    </row>
    <row r="986" ht="15.75" customHeight="1">
      <c r="A986" s="109"/>
      <c r="B986" s="104"/>
      <c r="C986" s="104"/>
      <c r="D986" s="105"/>
      <c r="E986" s="106"/>
      <c r="F986" s="107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6"/>
    </row>
    <row r="987" ht="15.75" customHeight="1">
      <c r="A987" s="109"/>
      <c r="B987" s="104"/>
      <c r="C987" s="104"/>
      <c r="D987" s="105"/>
      <c r="E987" s="106"/>
      <c r="F987" s="107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6"/>
    </row>
    <row r="988" ht="15.75" customHeight="1">
      <c r="A988" s="109"/>
      <c r="B988" s="104"/>
      <c r="C988" s="104"/>
      <c r="D988" s="105"/>
      <c r="E988" s="106"/>
      <c r="F988" s="107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6"/>
    </row>
    <row r="989" ht="15.75" customHeight="1">
      <c r="A989" s="109"/>
      <c r="B989" s="104"/>
      <c r="C989" s="104"/>
      <c r="D989" s="105"/>
      <c r="E989" s="106"/>
      <c r="F989" s="107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6"/>
    </row>
    <row r="990" ht="15.75" customHeight="1">
      <c r="A990" s="109"/>
      <c r="B990" s="104"/>
      <c r="C990" s="104"/>
      <c r="D990" s="105"/>
      <c r="E990" s="106"/>
      <c r="F990" s="107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6"/>
    </row>
    <row r="991" ht="15.75" customHeight="1">
      <c r="A991" s="109"/>
      <c r="B991" s="104"/>
      <c r="C991" s="104"/>
      <c r="D991" s="105"/>
      <c r="E991" s="106"/>
      <c r="F991" s="107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6"/>
    </row>
    <row r="992" ht="15.75" customHeight="1">
      <c r="A992" s="109"/>
      <c r="B992" s="104"/>
      <c r="C992" s="104"/>
      <c r="D992" s="105"/>
      <c r="E992" s="106"/>
      <c r="F992" s="107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6"/>
    </row>
    <row r="993" ht="15.75" customHeight="1">
      <c r="A993" s="109"/>
      <c r="B993" s="104"/>
      <c r="C993" s="104"/>
      <c r="D993" s="105"/>
      <c r="E993" s="106"/>
      <c r="F993" s="107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6"/>
    </row>
    <row r="994" ht="15.75" customHeight="1">
      <c r="A994" s="109"/>
      <c r="B994" s="104"/>
      <c r="C994" s="104"/>
      <c r="D994" s="105"/>
      <c r="E994" s="106"/>
      <c r="F994" s="107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6"/>
    </row>
    <row r="995" ht="15.75" customHeight="1">
      <c r="A995" s="109"/>
      <c r="B995" s="104"/>
      <c r="C995" s="104"/>
      <c r="D995" s="105"/>
      <c r="E995" s="106"/>
      <c r="F995" s="107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6"/>
    </row>
    <row r="996" ht="15.75" customHeight="1">
      <c r="A996" s="109"/>
      <c r="B996" s="104"/>
      <c r="C996" s="104"/>
      <c r="D996" s="105"/>
      <c r="E996" s="106"/>
      <c r="F996" s="107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6"/>
    </row>
    <row r="997" ht="15.75" customHeight="1">
      <c r="A997" s="109"/>
      <c r="B997" s="104"/>
      <c r="C997" s="104"/>
      <c r="D997" s="105"/>
      <c r="E997" s="106"/>
      <c r="F997" s="107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6"/>
    </row>
    <row r="998" ht="15.75" customHeight="1">
      <c r="A998" s="109"/>
      <c r="B998" s="104"/>
      <c r="C998" s="104"/>
      <c r="D998" s="105"/>
      <c r="E998" s="106"/>
      <c r="F998" s="107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6"/>
    </row>
    <row r="999" ht="15.75" customHeight="1">
      <c r="A999" s="109"/>
      <c r="B999" s="104"/>
      <c r="C999" s="104"/>
      <c r="D999" s="105"/>
      <c r="E999" s="106"/>
      <c r="F999" s="107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6"/>
    </row>
    <row r="1000" ht="15.75" customHeight="1">
      <c r="A1000" s="109"/>
      <c r="B1000" s="104"/>
      <c r="C1000" s="104"/>
      <c r="D1000" s="105"/>
      <c r="E1000" s="106"/>
      <c r="F1000" s="107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6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1.22" defaultRowHeight="15.0"/>
  <cols>
    <col customWidth="1" min="1" max="1" width="22.78"/>
    <col customWidth="1" min="2" max="2" width="16.44"/>
    <col customWidth="1" min="3" max="3" width="13.44"/>
    <col customWidth="1" min="4" max="4" width="14.11"/>
    <col customWidth="1" min="5" max="7" width="16.78"/>
    <col customWidth="1" min="8" max="8" width="17.33"/>
    <col customWidth="1" min="9" max="11" width="16.78"/>
    <col customWidth="1" min="12" max="12" width="20.0"/>
    <col customWidth="1" min="13" max="15" width="16.78"/>
    <col customWidth="1" min="16" max="16" width="22.78"/>
    <col customWidth="1" min="17" max="17" width="23.89"/>
    <col customWidth="1" min="18" max="18" width="98.89"/>
  </cols>
  <sheetData>
    <row r="1" ht="15.75" customHeight="1">
      <c r="A1" s="25" t="s">
        <v>28</v>
      </c>
      <c r="B1" s="26"/>
      <c r="C1" s="26"/>
      <c r="D1" s="27"/>
      <c r="E1" s="28"/>
      <c r="F1" s="29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28"/>
    </row>
    <row r="2" ht="15.75" customHeight="1">
      <c r="A2" s="31" t="s">
        <v>29</v>
      </c>
      <c r="B2" s="26"/>
      <c r="C2" s="26"/>
      <c r="D2" s="27"/>
      <c r="E2" s="28"/>
      <c r="F2" s="29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28"/>
    </row>
    <row r="3" ht="15.75" customHeight="1">
      <c r="A3" s="32" t="s">
        <v>30</v>
      </c>
      <c r="B3" s="26"/>
      <c r="C3" s="26"/>
      <c r="D3" s="27"/>
      <c r="E3" s="28"/>
      <c r="F3" s="29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28"/>
    </row>
    <row r="4" ht="21.75" customHeight="1">
      <c r="A4" s="33" t="s">
        <v>31</v>
      </c>
      <c r="B4" s="34" t="s">
        <v>92</v>
      </c>
      <c r="C4" s="26"/>
      <c r="D4" s="27"/>
      <c r="E4" s="28"/>
      <c r="F4" s="29"/>
      <c r="G4" s="30"/>
      <c r="H4" s="30"/>
      <c r="I4" s="35"/>
      <c r="J4" s="30"/>
      <c r="K4" s="30"/>
      <c r="L4" s="30"/>
      <c r="M4" s="30"/>
      <c r="N4" s="30"/>
      <c r="O4" s="30"/>
      <c r="P4" s="30"/>
      <c r="Q4" s="30"/>
      <c r="R4" s="28"/>
    </row>
    <row r="5" ht="24.0" customHeight="1">
      <c r="A5" s="36"/>
      <c r="B5" s="37" t="s">
        <v>32</v>
      </c>
      <c r="C5" s="113">
        <v>8.0</v>
      </c>
      <c r="D5" s="27"/>
      <c r="E5" s="28"/>
      <c r="F5" s="29"/>
      <c r="G5" s="30"/>
      <c r="H5" s="39"/>
      <c r="I5" s="35" t="s">
        <v>33</v>
      </c>
      <c r="J5" s="30"/>
      <c r="K5" s="30"/>
      <c r="L5" s="30"/>
      <c r="M5" s="30"/>
      <c r="N5" s="30"/>
      <c r="O5" s="30"/>
      <c r="P5" s="30"/>
      <c r="Q5" s="30"/>
      <c r="R5" s="39"/>
    </row>
    <row r="6" ht="15.75" customHeight="1">
      <c r="A6" s="40"/>
      <c r="B6" s="26"/>
      <c r="C6" s="26"/>
      <c r="D6" s="27"/>
      <c r="E6" s="28"/>
      <c r="F6" s="29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28"/>
    </row>
    <row r="7" ht="15.75" customHeight="1">
      <c r="A7" s="40"/>
      <c r="B7" s="26"/>
      <c r="C7" s="26"/>
      <c r="D7" s="27"/>
      <c r="E7" s="28"/>
      <c r="F7" s="29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28"/>
    </row>
    <row r="8" ht="15.75" customHeight="1">
      <c r="A8" s="40"/>
      <c r="B8" s="26"/>
      <c r="C8" s="26"/>
      <c r="D8" s="27"/>
      <c r="E8" s="28"/>
      <c r="F8" s="29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28"/>
    </row>
    <row r="9" ht="15.75" customHeight="1">
      <c r="A9" s="40"/>
      <c r="B9" s="26"/>
      <c r="C9" s="26"/>
      <c r="D9" s="27"/>
      <c r="E9" s="28"/>
      <c r="F9" s="29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28"/>
    </row>
    <row r="10" ht="78.75" customHeight="1">
      <c r="A10" s="41" t="s">
        <v>34</v>
      </c>
      <c r="B10" s="42" t="s">
        <v>35</v>
      </c>
      <c r="C10" s="42" t="s">
        <v>36</v>
      </c>
      <c r="D10" s="42" t="s">
        <v>37</v>
      </c>
      <c r="E10" s="43" t="s">
        <v>38</v>
      </c>
      <c r="F10" s="44" t="s">
        <v>39</v>
      </c>
      <c r="G10" s="45" t="s">
        <v>40</v>
      </c>
      <c r="H10" s="45" t="s">
        <v>41</v>
      </c>
      <c r="I10" s="45" t="s">
        <v>42</v>
      </c>
      <c r="J10" s="45" t="s">
        <v>43</v>
      </c>
      <c r="K10" s="45" t="s">
        <v>44</v>
      </c>
      <c r="L10" s="45" t="s">
        <v>45</v>
      </c>
      <c r="M10" s="45" t="s">
        <v>46</v>
      </c>
      <c r="N10" s="45" t="s">
        <v>43</v>
      </c>
      <c r="O10" s="45" t="s">
        <v>44</v>
      </c>
      <c r="P10" s="46" t="s">
        <v>47</v>
      </c>
      <c r="Q10" s="46" t="s">
        <v>64</v>
      </c>
      <c r="R10" s="44" t="s">
        <v>49</v>
      </c>
    </row>
    <row r="11" ht="15.75" customHeight="1">
      <c r="A11" s="47">
        <v>45662.0</v>
      </c>
      <c r="B11" s="48">
        <v>6.0</v>
      </c>
      <c r="C11" s="49">
        <f t="shared" ref="C11:C75" si="1">IF(B11=0,"",B11/C$5)</f>
        <v>0.75</v>
      </c>
      <c r="D11" s="50">
        <v>6400.0</v>
      </c>
      <c r="E11" s="51">
        <f t="shared" ref="E11:E14" si="2">IFERROR(D11/B11,"")</f>
        <v>1066.666667</v>
      </c>
      <c r="F11" s="50">
        <v>6551.0</v>
      </c>
      <c r="G11" s="52">
        <f t="shared" ref="G11:G75" si="3">IFERROR(F11/D11,"")</f>
        <v>1.02359375</v>
      </c>
      <c r="H11" s="53"/>
      <c r="I11" s="53"/>
      <c r="J11" s="54"/>
      <c r="K11" s="55"/>
      <c r="L11" s="53"/>
      <c r="M11" s="53"/>
      <c r="N11" s="55"/>
      <c r="O11" s="55"/>
      <c r="P11" s="53"/>
      <c r="Q11" s="53"/>
      <c r="R11" s="56" t="s">
        <v>93</v>
      </c>
    </row>
    <row r="12" ht="15.75" customHeight="1">
      <c r="A12" s="57">
        <f t="shared" ref="A12:A14" si="4">A11+7</f>
        <v>45669</v>
      </c>
      <c r="B12" s="48">
        <v>6.0</v>
      </c>
      <c r="C12" s="49">
        <f t="shared" si="1"/>
        <v>0.75</v>
      </c>
      <c r="D12" s="50">
        <v>6400.0</v>
      </c>
      <c r="E12" s="51">
        <f t="shared" si="2"/>
        <v>1066.666667</v>
      </c>
      <c r="F12" s="50">
        <v>7041.0</v>
      </c>
      <c r="G12" s="52">
        <f t="shared" si="3"/>
        <v>1.10015625</v>
      </c>
      <c r="H12" s="58"/>
      <c r="I12" s="58"/>
      <c r="J12" s="54"/>
      <c r="K12" s="55"/>
      <c r="L12" s="58"/>
      <c r="M12" s="58"/>
      <c r="N12" s="55"/>
      <c r="O12" s="55"/>
      <c r="P12" s="58"/>
      <c r="Q12" s="58"/>
      <c r="R12" s="59"/>
    </row>
    <row r="13" ht="15.75" customHeight="1">
      <c r="A13" s="57">
        <f t="shared" si="4"/>
        <v>45676</v>
      </c>
      <c r="B13" s="48">
        <v>6.0</v>
      </c>
      <c r="C13" s="49">
        <f t="shared" si="1"/>
        <v>0.75</v>
      </c>
      <c r="D13" s="50">
        <v>6500.0</v>
      </c>
      <c r="E13" s="51">
        <f t="shared" si="2"/>
        <v>1083.333333</v>
      </c>
      <c r="F13" s="50">
        <v>8101.0</v>
      </c>
      <c r="G13" s="52">
        <f t="shared" si="3"/>
        <v>1.246307692</v>
      </c>
      <c r="H13" s="58"/>
      <c r="I13" s="58"/>
      <c r="J13" s="54"/>
      <c r="K13" s="55"/>
      <c r="L13" s="58"/>
      <c r="M13" s="58"/>
      <c r="N13" s="55"/>
      <c r="O13" s="55"/>
      <c r="P13" s="58"/>
      <c r="Q13" s="58"/>
      <c r="R13" s="59"/>
    </row>
    <row r="14" ht="15.75" customHeight="1">
      <c r="A14" s="57">
        <f t="shared" si="4"/>
        <v>45683</v>
      </c>
      <c r="B14" s="48">
        <v>6.0</v>
      </c>
      <c r="C14" s="49">
        <f t="shared" si="1"/>
        <v>0.75</v>
      </c>
      <c r="D14" s="50">
        <v>6500.0</v>
      </c>
      <c r="E14" s="51">
        <f t="shared" si="2"/>
        <v>1083.333333</v>
      </c>
      <c r="F14" s="50">
        <v>8101.0</v>
      </c>
      <c r="G14" s="52">
        <f t="shared" si="3"/>
        <v>1.246307692</v>
      </c>
      <c r="H14" s="60"/>
      <c r="I14" s="60"/>
      <c r="J14" s="54"/>
      <c r="K14" s="55"/>
      <c r="L14" s="58"/>
      <c r="M14" s="58"/>
      <c r="N14" s="55"/>
      <c r="O14" s="55"/>
      <c r="P14" s="58"/>
      <c r="Q14" s="58"/>
      <c r="R14" s="59"/>
    </row>
    <row r="15" ht="15.75" customHeight="1">
      <c r="A15" s="61" t="s">
        <v>51</v>
      </c>
      <c r="B15" s="62">
        <v>7.0</v>
      </c>
      <c r="C15" s="63">
        <f t="shared" si="1"/>
        <v>0.875</v>
      </c>
      <c r="D15" s="64">
        <v>7500.0</v>
      </c>
      <c r="E15" s="65">
        <f>D15/B15</f>
        <v>1071.428571</v>
      </c>
      <c r="F15" s="64">
        <v>7500.0</v>
      </c>
      <c r="G15" s="66">
        <f t="shared" si="3"/>
        <v>1</v>
      </c>
      <c r="H15" s="67">
        <v>8101.0</v>
      </c>
      <c r="I15" s="67">
        <v>7500.0</v>
      </c>
      <c r="J15" s="68">
        <f>IF(H15=0,"",H15-I15)</f>
        <v>601</v>
      </c>
      <c r="K15" s="69">
        <f>IFERROR((H15-I15)/H15,"")</f>
        <v>0.07418837181</v>
      </c>
      <c r="L15" s="67">
        <v>8925.0</v>
      </c>
      <c r="M15" s="67">
        <v>6175.0</v>
      </c>
      <c r="N15" s="68">
        <f>IF(L15=0,"",L15-M15)</f>
        <v>2750</v>
      </c>
      <c r="O15" s="69">
        <f>IFERROR((L15-M15)/L15,"")</f>
        <v>0.3081232493</v>
      </c>
      <c r="P15" s="70">
        <f t="shared" ref="P15:Q15" si="5">H15-L15</f>
        <v>-824</v>
      </c>
      <c r="Q15" s="70">
        <f t="shared" si="5"/>
        <v>1325</v>
      </c>
      <c r="R15" s="71" t="s">
        <v>94</v>
      </c>
    </row>
    <row r="16" ht="15.75" customHeight="1">
      <c r="A16" s="57">
        <f>A14+7</f>
        <v>45690</v>
      </c>
      <c r="B16" s="48">
        <v>6.0</v>
      </c>
      <c r="C16" s="49">
        <f t="shared" si="1"/>
        <v>0.75</v>
      </c>
      <c r="D16" s="50">
        <v>6500.0</v>
      </c>
      <c r="E16" s="51">
        <f t="shared" ref="E16:E19" si="6">IFERROR(D16/B16,"")</f>
        <v>1083.333333</v>
      </c>
      <c r="F16" s="50">
        <v>533.0</v>
      </c>
      <c r="G16" s="72">
        <f t="shared" si="3"/>
        <v>0.082</v>
      </c>
      <c r="H16" s="73"/>
      <c r="I16" s="74"/>
      <c r="J16" s="75"/>
      <c r="K16" s="76"/>
      <c r="L16" s="74"/>
      <c r="M16" s="74"/>
      <c r="N16" s="77"/>
      <c r="O16" s="55"/>
      <c r="P16" s="74"/>
      <c r="Q16" s="74"/>
      <c r="R16" s="59"/>
    </row>
    <row r="17" ht="15.75" customHeight="1">
      <c r="A17" s="57">
        <f t="shared" ref="A17:A19" si="7">A16+7</f>
        <v>45697</v>
      </c>
      <c r="B17" s="48">
        <v>6.0</v>
      </c>
      <c r="C17" s="49">
        <f t="shared" si="1"/>
        <v>0.75</v>
      </c>
      <c r="D17" s="50">
        <v>6500.0</v>
      </c>
      <c r="E17" s="51">
        <f t="shared" si="6"/>
        <v>1083.333333</v>
      </c>
      <c r="F17" s="50">
        <v>6537.0</v>
      </c>
      <c r="G17" s="52">
        <f t="shared" si="3"/>
        <v>1.005692308</v>
      </c>
      <c r="H17" s="78"/>
      <c r="I17" s="78"/>
      <c r="J17" s="54"/>
      <c r="K17" s="55"/>
      <c r="L17" s="78"/>
      <c r="M17" s="78"/>
      <c r="N17" s="55"/>
      <c r="O17" s="55"/>
      <c r="P17" s="78"/>
      <c r="Q17" s="78"/>
      <c r="R17" s="59"/>
    </row>
    <row r="18" ht="15.75" customHeight="1">
      <c r="A18" s="57">
        <f t="shared" si="7"/>
        <v>45704</v>
      </c>
      <c r="B18" s="48">
        <v>6.0</v>
      </c>
      <c r="C18" s="49">
        <f t="shared" si="1"/>
        <v>0.75</v>
      </c>
      <c r="D18" s="50">
        <v>6500.0</v>
      </c>
      <c r="E18" s="51">
        <f t="shared" si="6"/>
        <v>1083.333333</v>
      </c>
      <c r="F18" s="50">
        <v>6537.0</v>
      </c>
      <c r="G18" s="52">
        <f t="shared" si="3"/>
        <v>1.005692308</v>
      </c>
      <c r="H18" s="58"/>
      <c r="I18" s="58"/>
      <c r="J18" s="54"/>
      <c r="K18" s="55"/>
      <c r="L18" s="58"/>
      <c r="M18" s="58"/>
      <c r="N18" s="55"/>
      <c r="O18" s="55"/>
      <c r="P18" s="58"/>
      <c r="Q18" s="58"/>
      <c r="R18" s="59"/>
    </row>
    <row r="19" ht="15.75" customHeight="1">
      <c r="A19" s="57">
        <f t="shared" si="7"/>
        <v>45711</v>
      </c>
      <c r="B19" s="48">
        <v>6.0</v>
      </c>
      <c r="C19" s="49">
        <f t="shared" si="1"/>
        <v>0.75</v>
      </c>
      <c r="D19" s="50">
        <v>6500.0</v>
      </c>
      <c r="E19" s="51">
        <f t="shared" si="6"/>
        <v>1083.333333</v>
      </c>
      <c r="F19" s="50">
        <v>6897.0</v>
      </c>
      <c r="G19" s="52">
        <f t="shared" si="3"/>
        <v>1.061076923</v>
      </c>
      <c r="H19" s="60"/>
      <c r="I19" s="60"/>
      <c r="J19" s="54"/>
      <c r="K19" s="55"/>
      <c r="L19" s="58"/>
      <c r="M19" s="58"/>
      <c r="N19" s="55"/>
      <c r="O19" s="55"/>
      <c r="P19" s="58"/>
      <c r="Q19" s="58"/>
      <c r="R19" s="59"/>
    </row>
    <row r="20" ht="15.75" customHeight="1">
      <c r="A20" s="61" t="s">
        <v>51</v>
      </c>
      <c r="B20" s="62">
        <v>7.0</v>
      </c>
      <c r="C20" s="63">
        <f t="shared" si="1"/>
        <v>0.875</v>
      </c>
      <c r="D20" s="64">
        <v>7500.0</v>
      </c>
      <c r="E20" s="70">
        <f>D20/B20</f>
        <v>1071.428571</v>
      </c>
      <c r="F20" s="64">
        <v>7500.0</v>
      </c>
      <c r="G20" s="66">
        <f t="shared" si="3"/>
        <v>1</v>
      </c>
      <c r="H20" s="67">
        <v>7444.0</v>
      </c>
      <c r="I20" s="67">
        <v>7500.0</v>
      </c>
      <c r="J20" s="68">
        <f>IF(H20=0,"",H20-I20)</f>
        <v>-56</v>
      </c>
      <c r="K20" s="69">
        <f>IFERROR((H20-I20)/H20,"")</f>
        <v>-0.007522837184</v>
      </c>
      <c r="L20" s="67">
        <v>8526.0</v>
      </c>
      <c r="M20" s="67">
        <v>6175.0</v>
      </c>
      <c r="N20" s="68">
        <f>IF(L20=0,"",L20-M20)</f>
        <v>2351</v>
      </c>
      <c r="O20" s="69">
        <f>IFERROR((L20-M20)/L20,"")</f>
        <v>0.2757447807</v>
      </c>
      <c r="P20" s="70">
        <f t="shared" ref="P20:Q20" si="8">H20-L20</f>
        <v>-1082</v>
      </c>
      <c r="Q20" s="70">
        <f t="shared" si="8"/>
        <v>1325</v>
      </c>
      <c r="R20" s="71" t="s">
        <v>95</v>
      </c>
    </row>
    <row r="21" ht="15.75" customHeight="1">
      <c r="A21" s="57">
        <f>A19+7</f>
        <v>45718</v>
      </c>
      <c r="B21" s="48">
        <v>8.0</v>
      </c>
      <c r="C21" s="49">
        <f t="shared" si="1"/>
        <v>1</v>
      </c>
      <c r="D21" s="50">
        <v>8850.0</v>
      </c>
      <c r="E21" s="51">
        <f t="shared" ref="E21:E25" si="9">IFERROR(D21/B21,"")</f>
        <v>1106.25</v>
      </c>
      <c r="F21" s="50">
        <v>533.0</v>
      </c>
      <c r="G21" s="79">
        <f t="shared" si="3"/>
        <v>0.0602259887</v>
      </c>
      <c r="H21" s="80"/>
      <c r="I21" s="81"/>
      <c r="J21" s="54"/>
      <c r="K21" s="76"/>
      <c r="L21" s="73"/>
      <c r="M21" s="74"/>
      <c r="N21" s="77"/>
      <c r="O21" s="55"/>
      <c r="P21" s="73"/>
      <c r="Q21" s="74"/>
      <c r="R21" s="59"/>
    </row>
    <row r="22" ht="15.75" customHeight="1">
      <c r="A22" s="57">
        <f t="shared" ref="A22:A25" si="10">A21+7</f>
        <v>45725</v>
      </c>
      <c r="B22" s="48">
        <v>8.0</v>
      </c>
      <c r="C22" s="49">
        <f t="shared" si="1"/>
        <v>1</v>
      </c>
      <c r="D22" s="50">
        <v>8850.0</v>
      </c>
      <c r="E22" s="51">
        <f t="shared" si="9"/>
        <v>1106.25</v>
      </c>
      <c r="F22" s="50">
        <v>7765.0</v>
      </c>
      <c r="G22" s="52">
        <f t="shared" si="3"/>
        <v>0.8774011299</v>
      </c>
      <c r="H22" s="78"/>
      <c r="I22" s="78"/>
      <c r="J22" s="54"/>
      <c r="K22" s="55"/>
      <c r="L22" s="78"/>
      <c r="M22" s="78"/>
      <c r="N22" s="55"/>
      <c r="O22" s="55"/>
      <c r="P22" s="78"/>
      <c r="Q22" s="78"/>
      <c r="R22" s="59"/>
    </row>
    <row r="23" ht="15.75" customHeight="1">
      <c r="A23" s="57">
        <f t="shared" si="10"/>
        <v>45732</v>
      </c>
      <c r="B23" s="48">
        <v>8.0</v>
      </c>
      <c r="C23" s="49">
        <f t="shared" si="1"/>
        <v>1</v>
      </c>
      <c r="D23" s="50">
        <v>8850.0</v>
      </c>
      <c r="E23" s="51">
        <f t="shared" si="9"/>
        <v>1106.25</v>
      </c>
      <c r="F23" s="50">
        <v>7765.0</v>
      </c>
      <c r="G23" s="52">
        <f t="shared" si="3"/>
        <v>0.8774011299</v>
      </c>
      <c r="H23" s="58"/>
      <c r="I23" s="58"/>
      <c r="J23" s="54"/>
      <c r="K23" s="55"/>
      <c r="L23" s="58"/>
      <c r="M23" s="58"/>
      <c r="N23" s="55"/>
      <c r="O23" s="55"/>
      <c r="P23" s="58"/>
      <c r="Q23" s="58"/>
      <c r="R23" s="59"/>
    </row>
    <row r="24" ht="15.75" customHeight="1">
      <c r="A24" s="57">
        <f t="shared" si="10"/>
        <v>45739</v>
      </c>
      <c r="B24" s="48">
        <v>8.0</v>
      </c>
      <c r="C24" s="49">
        <f t="shared" si="1"/>
        <v>1</v>
      </c>
      <c r="D24" s="50">
        <v>8850.0</v>
      </c>
      <c r="E24" s="51">
        <f t="shared" si="9"/>
        <v>1106.25</v>
      </c>
      <c r="F24" s="50">
        <v>7765.0</v>
      </c>
      <c r="G24" s="52">
        <f t="shared" si="3"/>
        <v>0.8774011299</v>
      </c>
      <c r="H24" s="58"/>
      <c r="I24" s="58"/>
      <c r="J24" s="54"/>
      <c r="K24" s="55"/>
      <c r="L24" s="58"/>
      <c r="M24" s="58"/>
      <c r="N24" s="55"/>
      <c r="O24" s="55"/>
      <c r="P24" s="58"/>
      <c r="Q24" s="58"/>
      <c r="R24" s="59"/>
    </row>
    <row r="25" ht="15.75" customHeight="1">
      <c r="A25" s="57">
        <f t="shared" si="10"/>
        <v>45746</v>
      </c>
      <c r="B25" s="48">
        <v>8.0</v>
      </c>
      <c r="C25" s="49">
        <f t="shared" si="1"/>
        <v>1</v>
      </c>
      <c r="D25" s="50">
        <v>8850.0</v>
      </c>
      <c r="E25" s="51">
        <f t="shared" si="9"/>
        <v>1106.25</v>
      </c>
      <c r="F25" s="50">
        <v>7765.0</v>
      </c>
      <c r="G25" s="52">
        <f t="shared" si="3"/>
        <v>0.8774011299</v>
      </c>
      <c r="H25" s="82"/>
      <c r="I25" s="82"/>
      <c r="J25" s="54"/>
      <c r="K25" s="55"/>
      <c r="L25" s="82"/>
      <c r="M25" s="82"/>
      <c r="N25" s="55"/>
      <c r="O25" s="55"/>
      <c r="P25" s="82"/>
      <c r="Q25" s="82"/>
      <c r="R25" s="59"/>
    </row>
    <row r="26" ht="15.75" customHeight="1">
      <c r="A26" s="61" t="s">
        <v>51</v>
      </c>
      <c r="B26" s="62">
        <v>7.0</v>
      </c>
      <c r="C26" s="63">
        <f t="shared" si="1"/>
        <v>0.875</v>
      </c>
      <c r="D26" s="64">
        <v>7500.0</v>
      </c>
      <c r="E26" s="70">
        <f>D26/B26</f>
        <v>1071.428571</v>
      </c>
      <c r="F26" s="64">
        <v>7500.0</v>
      </c>
      <c r="G26" s="66">
        <f t="shared" si="3"/>
        <v>1</v>
      </c>
      <c r="H26" s="83">
        <v>7765.0</v>
      </c>
      <c r="I26" s="67">
        <v>7500.0</v>
      </c>
      <c r="J26" s="68">
        <f>IF(H26=0,"",H26-I26)</f>
        <v>265</v>
      </c>
      <c r="K26" s="69">
        <f>IFERROR((H26-I26)/H26,"")</f>
        <v>0.03412749517</v>
      </c>
      <c r="L26" s="83">
        <v>9661.0</v>
      </c>
      <c r="M26" s="67">
        <v>6175.0</v>
      </c>
      <c r="N26" s="68">
        <f>IF(L26=0,"",L26-M26)</f>
        <v>3486</v>
      </c>
      <c r="O26" s="69">
        <f>IFERROR((L26-M26)/L26,"")</f>
        <v>0.360832212</v>
      </c>
      <c r="P26" s="84">
        <f t="shared" ref="P26:Q26" si="11">H26-L26</f>
        <v>-1896</v>
      </c>
      <c r="Q26" s="84">
        <f t="shared" si="11"/>
        <v>1325</v>
      </c>
      <c r="R26" s="71" t="s">
        <v>96</v>
      </c>
    </row>
    <row r="27" ht="15.75" customHeight="1">
      <c r="A27" s="57">
        <f>A25+7</f>
        <v>45753</v>
      </c>
      <c r="B27" s="48">
        <v>8.0</v>
      </c>
      <c r="C27" s="49">
        <f t="shared" si="1"/>
        <v>1</v>
      </c>
      <c r="D27" s="50">
        <v>8850.0</v>
      </c>
      <c r="E27" s="51">
        <f t="shared" ref="E27:E30" si="12">IFERROR(D27/B27,"")</f>
        <v>1106.25</v>
      </c>
      <c r="F27" s="50">
        <v>6902.0</v>
      </c>
      <c r="G27" s="52">
        <f t="shared" si="3"/>
        <v>0.7798870056</v>
      </c>
      <c r="H27" s="53"/>
      <c r="I27" s="53"/>
      <c r="J27" s="54"/>
      <c r="K27" s="55"/>
      <c r="L27" s="53"/>
      <c r="M27" s="53"/>
      <c r="N27" s="55"/>
      <c r="O27" s="55"/>
      <c r="P27" s="53"/>
      <c r="Q27" s="53"/>
      <c r="R27" s="59"/>
    </row>
    <row r="28" ht="15.75" customHeight="1">
      <c r="A28" s="57">
        <f t="shared" ref="A28:A30" si="13">A27+7</f>
        <v>45760</v>
      </c>
      <c r="B28" s="48">
        <v>8.0</v>
      </c>
      <c r="C28" s="49">
        <f t="shared" si="1"/>
        <v>1</v>
      </c>
      <c r="D28" s="50">
        <v>8850.0</v>
      </c>
      <c r="E28" s="51">
        <f t="shared" si="12"/>
        <v>1106.25</v>
      </c>
      <c r="F28" s="50">
        <v>8490.0</v>
      </c>
      <c r="G28" s="52">
        <f t="shared" si="3"/>
        <v>0.9593220339</v>
      </c>
      <c r="H28" s="58"/>
      <c r="I28" s="58"/>
      <c r="J28" s="54"/>
      <c r="K28" s="55"/>
      <c r="L28" s="58"/>
      <c r="M28" s="58"/>
      <c r="N28" s="55"/>
      <c r="O28" s="55"/>
      <c r="P28" s="58"/>
      <c r="Q28" s="58"/>
      <c r="R28" s="59"/>
    </row>
    <row r="29" ht="15.75" customHeight="1">
      <c r="A29" s="57">
        <f t="shared" si="13"/>
        <v>45767</v>
      </c>
      <c r="B29" s="48">
        <v>8.0</v>
      </c>
      <c r="C29" s="49">
        <f t="shared" si="1"/>
        <v>1</v>
      </c>
      <c r="D29" s="50">
        <v>8850.0</v>
      </c>
      <c r="E29" s="51">
        <f t="shared" si="12"/>
        <v>1106.25</v>
      </c>
      <c r="F29" s="50">
        <v>8850.0</v>
      </c>
      <c r="G29" s="52">
        <f t="shared" si="3"/>
        <v>1</v>
      </c>
      <c r="H29" s="58"/>
      <c r="I29" s="58"/>
      <c r="J29" s="54"/>
      <c r="K29" s="55"/>
      <c r="L29" s="58"/>
      <c r="M29" s="58"/>
      <c r="N29" s="55"/>
      <c r="O29" s="55"/>
      <c r="P29" s="58"/>
      <c r="Q29" s="58"/>
      <c r="R29" s="59"/>
    </row>
    <row r="30" ht="15.75" customHeight="1">
      <c r="A30" s="85">
        <f t="shared" si="13"/>
        <v>45774</v>
      </c>
      <c r="B30" s="48">
        <v>8.0</v>
      </c>
      <c r="C30" s="49">
        <f t="shared" si="1"/>
        <v>1</v>
      </c>
      <c r="D30" s="50">
        <v>8850.0</v>
      </c>
      <c r="E30" s="51">
        <f t="shared" si="12"/>
        <v>1106.25</v>
      </c>
      <c r="F30" s="50">
        <v>8850.0</v>
      </c>
      <c r="G30" s="52">
        <f t="shared" si="3"/>
        <v>1</v>
      </c>
      <c r="H30" s="82"/>
      <c r="I30" s="82"/>
      <c r="J30" s="54"/>
      <c r="K30" s="55"/>
      <c r="L30" s="82"/>
      <c r="M30" s="82"/>
      <c r="N30" s="55"/>
      <c r="O30" s="55"/>
      <c r="P30" s="82"/>
      <c r="Q30" s="82"/>
      <c r="R30" s="59"/>
    </row>
    <row r="31" ht="15.75" customHeight="1">
      <c r="A31" s="61" t="s">
        <v>51</v>
      </c>
      <c r="B31" s="62">
        <v>7.0</v>
      </c>
      <c r="C31" s="63">
        <f t="shared" si="1"/>
        <v>0.875</v>
      </c>
      <c r="D31" s="64">
        <v>7500.0</v>
      </c>
      <c r="E31" s="70">
        <f>D31/B31</f>
        <v>1071.428571</v>
      </c>
      <c r="F31" s="64">
        <v>7500.0</v>
      </c>
      <c r="G31" s="66">
        <f t="shared" si="3"/>
        <v>1</v>
      </c>
      <c r="H31" s="83">
        <v>9137.0</v>
      </c>
      <c r="I31" s="67">
        <v>7500.0</v>
      </c>
      <c r="J31" s="68">
        <f>IF(H31=0,"",H31-I31)</f>
        <v>1637</v>
      </c>
      <c r="K31" s="69">
        <f>IFERROR((H31-I31)/H31,"")</f>
        <v>0.1791616504</v>
      </c>
      <c r="L31" s="83">
        <v>4236.0</v>
      </c>
      <c r="M31" s="67">
        <v>6175.0</v>
      </c>
      <c r="N31" s="68">
        <f>IF(L31=0,"",L31-M31)</f>
        <v>-1939</v>
      </c>
      <c r="O31" s="69">
        <f>IFERROR((L31-M31)/L31,"")</f>
        <v>-0.4577431539</v>
      </c>
      <c r="P31" s="84">
        <f t="shared" ref="P31:Q31" si="14">H31-L31</f>
        <v>4901</v>
      </c>
      <c r="Q31" s="84">
        <f t="shared" si="14"/>
        <v>1325</v>
      </c>
      <c r="R31" s="71" t="s">
        <v>97</v>
      </c>
    </row>
    <row r="32" ht="15.75" customHeight="1">
      <c r="A32" s="57">
        <f>A30+7</f>
        <v>45781</v>
      </c>
      <c r="B32" s="48">
        <v>8.0</v>
      </c>
      <c r="C32" s="49">
        <f t="shared" si="1"/>
        <v>1</v>
      </c>
      <c r="D32" s="50">
        <v>8950.0</v>
      </c>
      <c r="E32" s="51">
        <f t="shared" ref="E32:E35" si="15">IFERROR(D32/B32,"")</f>
        <v>1118.75</v>
      </c>
      <c r="F32" s="50">
        <v>6757.0</v>
      </c>
      <c r="G32" s="52">
        <f t="shared" si="3"/>
        <v>0.754972067</v>
      </c>
      <c r="H32" s="53"/>
      <c r="I32" s="53"/>
      <c r="J32" s="54"/>
      <c r="K32" s="55"/>
      <c r="L32" s="53"/>
      <c r="M32" s="53"/>
      <c r="N32" s="55"/>
      <c r="O32" s="55"/>
      <c r="P32" s="53"/>
      <c r="Q32" s="53"/>
      <c r="R32" s="59"/>
    </row>
    <row r="33" ht="15.75" customHeight="1">
      <c r="A33" s="57">
        <f t="shared" ref="A33:A35" si="16">A32+7</f>
        <v>45788</v>
      </c>
      <c r="B33" s="48">
        <v>8.0</v>
      </c>
      <c r="C33" s="49">
        <f t="shared" si="1"/>
        <v>1</v>
      </c>
      <c r="D33" s="50">
        <v>8950.0</v>
      </c>
      <c r="E33" s="51">
        <f t="shared" si="15"/>
        <v>1118.75</v>
      </c>
      <c r="F33" s="50">
        <v>9834.0</v>
      </c>
      <c r="G33" s="52">
        <f t="shared" si="3"/>
        <v>1.09877095</v>
      </c>
      <c r="H33" s="58"/>
      <c r="I33" s="58"/>
      <c r="J33" s="54"/>
      <c r="K33" s="55"/>
      <c r="L33" s="58"/>
      <c r="M33" s="58"/>
      <c r="N33" s="55"/>
      <c r="O33" s="55"/>
      <c r="P33" s="58"/>
      <c r="Q33" s="58"/>
      <c r="R33" s="86"/>
    </row>
    <row r="34" ht="15.75" customHeight="1">
      <c r="A34" s="57">
        <f t="shared" si="16"/>
        <v>45795</v>
      </c>
      <c r="B34" s="48">
        <v>8.0</v>
      </c>
      <c r="C34" s="49">
        <f t="shared" si="1"/>
        <v>1</v>
      </c>
      <c r="D34" s="50">
        <v>8950.0</v>
      </c>
      <c r="E34" s="51">
        <f t="shared" si="15"/>
        <v>1118.75</v>
      </c>
      <c r="F34" s="50">
        <v>9834.0</v>
      </c>
      <c r="G34" s="52">
        <f t="shared" si="3"/>
        <v>1.09877095</v>
      </c>
      <c r="H34" s="58"/>
      <c r="I34" s="58"/>
      <c r="J34" s="54"/>
      <c r="K34" s="55"/>
      <c r="L34" s="58"/>
      <c r="M34" s="58"/>
      <c r="N34" s="55"/>
      <c r="O34" s="55"/>
      <c r="P34" s="58"/>
      <c r="Q34" s="58"/>
      <c r="R34" s="86"/>
    </row>
    <row r="35" ht="15.75" customHeight="1">
      <c r="A35" s="57">
        <f t="shared" si="16"/>
        <v>45802</v>
      </c>
      <c r="B35" s="48">
        <v>8.0</v>
      </c>
      <c r="C35" s="49">
        <f t="shared" si="1"/>
        <v>1</v>
      </c>
      <c r="D35" s="50">
        <v>8950.0</v>
      </c>
      <c r="E35" s="51">
        <f t="shared" si="15"/>
        <v>1118.75</v>
      </c>
      <c r="F35" s="50">
        <v>9834.0</v>
      </c>
      <c r="G35" s="52">
        <f t="shared" si="3"/>
        <v>1.09877095</v>
      </c>
      <c r="H35" s="60"/>
      <c r="I35" s="60"/>
      <c r="J35" s="54"/>
      <c r="K35" s="55"/>
      <c r="L35" s="58"/>
      <c r="M35" s="58"/>
      <c r="N35" s="55"/>
      <c r="O35" s="55"/>
      <c r="P35" s="58"/>
      <c r="Q35" s="58"/>
      <c r="R35" s="86"/>
    </row>
    <row r="36" ht="15.75" customHeight="1">
      <c r="A36" s="61" t="s">
        <v>51</v>
      </c>
      <c r="B36" s="62">
        <v>7.0</v>
      </c>
      <c r="C36" s="63">
        <f t="shared" si="1"/>
        <v>0.875</v>
      </c>
      <c r="D36" s="64">
        <v>7500.0</v>
      </c>
      <c r="E36" s="70">
        <f>D36/B36</f>
        <v>1071.428571</v>
      </c>
      <c r="F36" s="64">
        <v>7500.0</v>
      </c>
      <c r="G36" s="66">
        <f t="shared" si="3"/>
        <v>1</v>
      </c>
      <c r="H36" s="67">
        <v>9909.0</v>
      </c>
      <c r="I36" s="67">
        <v>7500.0</v>
      </c>
      <c r="J36" s="68">
        <f>IF(H36=0,"",H36-I36)</f>
        <v>2409</v>
      </c>
      <c r="K36" s="69">
        <f>IFERROR((H36-I36)/H36,"")</f>
        <v>0.2431123221</v>
      </c>
      <c r="L36" s="67">
        <v>7489.0</v>
      </c>
      <c r="M36" s="67">
        <v>6175.0</v>
      </c>
      <c r="N36" s="68">
        <f>IF(L36=0,"",L36-M36)</f>
        <v>1314</v>
      </c>
      <c r="O36" s="69">
        <f>IFERROR((L36-M36)/L36,"")</f>
        <v>0.1754573374</v>
      </c>
      <c r="P36" s="70">
        <f t="shared" ref="P36:Q36" si="17">H36-L36</f>
        <v>2420</v>
      </c>
      <c r="Q36" s="70">
        <f t="shared" si="17"/>
        <v>1325</v>
      </c>
      <c r="R36" s="87"/>
    </row>
    <row r="37" ht="15.75" customHeight="1">
      <c r="A37" s="57">
        <f>A35+7</f>
        <v>45809</v>
      </c>
      <c r="B37" s="48">
        <v>8.0</v>
      </c>
      <c r="C37" s="49">
        <f t="shared" si="1"/>
        <v>1</v>
      </c>
      <c r="D37" s="50">
        <v>8950.0</v>
      </c>
      <c r="E37" s="51">
        <f t="shared" ref="E37:E41" si="18">IFERROR(D37/B37,"")</f>
        <v>1118.75</v>
      </c>
      <c r="F37" s="50">
        <v>1418.0</v>
      </c>
      <c r="G37" s="72">
        <f t="shared" si="3"/>
        <v>0.1584357542</v>
      </c>
      <c r="H37" s="74"/>
      <c r="I37" s="80"/>
      <c r="J37" s="75"/>
      <c r="K37" s="55"/>
      <c r="L37" s="60"/>
      <c r="M37" s="60"/>
      <c r="N37" s="55"/>
      <c r="O37" s="55"/>
      <c r="P37" s="60"/>
      <c r="Q37" s="60"/>
      <c r="R37" s="86"/>
    </row>
    <row r="38" ht="15.75" customHeight="1">
      <c r="A38" s="57">
        <f t="shared" ref="A38:A41" si="19">A37+7</f>
        <v>45816</v>
      </c>
      <c r="B38" s="48">
        <v>8.0</v>
      </c>
      <c r="C38" s="49">
        <f t="shared" si="1"/>
        <v>1</v>
      </c>
      <c r="D38" s="50">
        <v>8950.0</v>
      </c>
      <c r="E38" s="51">
        <f t="shared" si="18"/>
        <v>1118.75</v>
      </c>
      <c r="F38" s="50">
        <v>8950.0</v>
      </c>
      <c r="G38" s="52">
        <f t="shared" si="3"/>
        <v>1</v>
      </c>
      <c r="H38" s="78"/>
      <c r="I38" s="78"/>
      <c r="J38" s="54"/>
      <c r="K38" s="76"/>
      <c r="L38" s="74"/>
      <c r="M38" s="74"/>
      <c r="N38" s="77"/>
      <c r="O38" s="55"/>
      <c r="P38" s="74"/>
      <c r="Q38" s="74"/>
      <c r="R38" s="86"/>
    </row>
    <row r="39" ht="15.75" customHeight="1">
      <c r="A39" s="57">
        <f t="shared" si="19"/>
        <v>45823</v>
      </c>
      <c r="B39" s="48">
        <v>8.0</v>
      </c>
      <c r="C39" s="49">
        <f t="shared" si="1"/>
        <v>1</v>
      </c>
      <c r="D39" s="50">
        <v>8950.0</v>
      </c>
      <c r="E39" s="51">
        <f t="shared" si="18"/>
        <v>1118.75</v>
      </c>
      <c r="F39" s="50">
        <v>8950.0</v>
      </c>
      <c r="G39" s="52">
        <f t="shared" si="3"/>
        <v>1</v>
      </c>
      <c r="H39" s="58"/>
      <c r="I39" s="58"/>
      <c r="J39" s="54"/>
      <c r="K39" s="55"/>
      <c r="L39" s="78"/>
      <c r="M39" s="78"/>
      <c r="N39" s="55"/>
      <c r="O39" s="55"/>
      <c r="P39" s="78"/>
      <c r="Q39" s="78"/>
      <c r="R39" s="86"/>
    </row>
    <row r="40" ht="15.75" customHeight="1">
      <c r="A40" s="57">
        <f t="shared" si="19"/>
        <v>45830</v>
      </c>
      <c r="B40" s="48">
        <v>8.0</v>
      </c>
      <c r="C40" s="49">
        <f t="shared" si="1"/>
        <v>1</v>
      </c>
      <c r="D40" s="50">
        <v>8950.0</v>
      </c>
      <c r="E40" s="51">
        <f t="shared" si="18"/>
        <v>1118.75</v>
      </c>
      <c r="F40" s="50">
        <v>8950.0</v>
      </c>
      <c r="G40" s="52">
        <f t="shared" si="3"/>
        <v>1</v>
      </c>
      <c r="H40" s="58"/>
      <c r="I40" s="58"/>
      <c r="J40" s="54"/>
      <c r="K40" s="55"/>
      <c r="L40" s="58"/>
      <c r="M40" s="58"/>
      <c r="N40" s="55"/>
      <c r="O40" s="55"/>
      <c r="P40" s="58"/>
      <c r="Q40" s="58"/>
      <c r="R40" s="86"/>
    </row>
    <row r="41" ht="15.75" customHeight="1">
      <c r="A41" s="57">
        <f t="shared" si="19"/>
        <v>45837</v>
      </c>
      <c r="B41" s="48">
        <v>8.0</v>
      </c>
      <c r="C41" s="49">
        <f t="shared" si="1"/>
        <v>1</v>
      </c>
      <c r="D41" s="50">
        <v>8950.0</v>
      </c>
      <c r="E41" s="51">
        <f t="shared" si="18"/>
        <v>1118.75</v>
      </c>
      <c r="F41" s="50">
        <v>8950.0</v>
      </c>
      <c r="G41" s="52">
        <f t="shared" si="3"/>
        <v>1</v>
      </c>
      <c r="H41" s="82"/>
      <c r="I41" s="82"/>
      <c r="J41" s="54"/>
      <c r="K41" s="55"/>
      <c r="L41" s="82"/>
      <c r="M41" s="82"/>
      <c r="N41" s="55"/>
      <c r="O41" s="55"/>
      <c r="P41" s="82"/>
      <c r="Q41" s="82"/>
      <c r="R41" s="86"/>
    </row>
    <row r="42" ht="15.75" customHeight="1">
      <c r="A42" s="61" t="s">
        <v>51</v>
      </c>
      <c r="B42" s="62">
        <v>7.0</v>
      </c>
      <c r="C42" s="63">
        <f t="shared" si="1"/>
        <v>0.875</v>
      </c>
      <c r="D42" s="64">
        <v>7500.0</v>
      </c>
      <c r="E42" s="70">
        <f>D42/B42</f>
        <v>1071.428571</v>
      </c>
      <c r="F42" s="64">
        <v>7500.0</v>
      </c>
      <c r="G42" s="66">
        <f t="shared" si="3"/>
        <v>1</v>
      </c>
      <c r="H42" s="83">
        <v>8685.0</v>
      </c>
      <c r="I42" s="67">
        <v>7500.0</v>
      </c>
      <c r="J42" s="68">
        <f>IF(H42=0,"",H42-I42)</f>
        <v>1185</v>
      </c>
      <c r="K42" s="69">
        <f>IFERROR((H42-I42)/H42,"")</f>
        <v>0.1364421416</v>
      </c>
      <c r="L42" s="83">
        <v>9138.0</v>
      </c>
      <c r="M42" s="67">
        <v>6175.0</v>
      </c>
      <c r="N42" s="68">
        <f>IF(L42=0,"",L42-M42)</f>
        <v>2963</v>
      </c>
      <c r="O42" s="69">
        <f>IFERROR((L42-M42)/L42,"")</f>
        <v>0.324250383</v>
      </c>
      <c r="P42" s="84">
        <f t="shared" ref="P42:Q42" si="20">H42-L42</f>
        <v>-453</v>
      </c>
      <c r="Q42" s="84">
        <f t="shared" si="20"/>
        <v>1325</v>
      </c>
      <c r="R42" s="71" t="s">
        <v>98</v>
      </c>
    </row>
    <row r="43" ht="15.75" customHeight="1">
      <c r="A43" s="57">
        <f>A41+7</f>
        <v>45844</v>
      </c>
      <c r="B43" s="48">
        <v>8.0</v>
      </c>
      <c r="C43" s="49">
        <f t="shared" si="1"/>
        <v>1</v>
      </c>
      <c r="D43" s="50">
        <v>8950.0</v>
      </c>
      <c r="E43" s="51">
        <f t="shared" ref="E43:E46" si="21">IFERROR(D43/B43,"")</f>
        <v>1118.75</v>
      </c>
      <c r="F43" s="50">
        <v>8423.0</v>
      </c>
      <c r="G43" s="52">
        <f t="shared" si="3"/>
        <v>0.9411173184</v>
      </c>
      <c r="H43" s="53"/>
      <c r="I43" s="53"/>
      <c r="J43" s="54"/>
      <c r="K43" s="55"/>
      <c r="L43" s="53"/>
      <c r="M43" s="53"/>
      <c r="N43" s="55"/>
      <c r="O43" s="55"/>
      <c r="P43" s="53"/>
      <c r="Q43" s="53"/>
      <c r="R43" s="86"/>
    </row>
    <row r="44" ht="15.75" customHeight="1">
      <c r="A44" s="57">
        <f t="shared" ref="A44:A46" si="22">A43+7</f>
        <v>45851</v>
      </c>
      <c r="B44" s="48">
        <v>8.0</v>
      </c>
      <c r="C44" s="49">
        <f t="shared" si="1"/>
        <v>1</v>
      </c>
      <c r="D44" s="50">
        <v>8950.0</v>
      </c>
      <c r="E44" s="51">
        <f t="shared" si="21"/>
        <v>1118.75</v>
      </c>
      <c r="F44" s="50">
        <v>8423.0</v>
      </c>
      <c r="G44" s="52">
        <f t="shared" si="3"/>
        <v>0.9411173184</v>
      </c>
      <c r="H44" s="58"/>
      <c r="I44" s="58"/>
      <c r="J44" s="54"/>
      <c r="K44" s="55"/>
      <c r="L44" s="58"/>
      <c r="M44" s="58"/>
      <c r="N44" s="55"/>
      <c r="O44" s="55"/>
      <c r="P44" s="58"/>
      <c r="Q44" s="58"/>
      <c r="R44" s="86"/>
    </row>
    <row r="45" ht="15.75" customHeight="1">
      <c r="A45" s="57">
        <f t="shared" si="22"/>
        <v>45858</v>
      </c>
      <c r="B45" s="48">
        <v>8.0</v>
      </c>
      <c r="C45" s="49">
        <f t="shared" si="1"/>
        <v>1</v>
      </c>
      <c r="D45" s="50">
        <v>8950.0</v>
      </c>
      <c r="E45" s="51">
        <f t="shared" si="21"/>
        <v>1118.75</v>
      </c>
      <c r="F45" s="50">
        <v>8898.0</v>
      </c>
      <c r="G45" s="52">
        <f t="shared" si="3"/>
        <v>0.9941899441</v>
      </c>
      <c r="H45" s="58"/>
      <c r="I45" s="58"/>
      <c r="J45" s="54"/>
      <c r="K45" s="55"/>
      <c r="L45" s="58"/>
      <c r="M45" s="58"/>
      <c r="N45" s="55"/>
      <c r="O45" s="55"/>
      <c r="P45" s="58"/>
      <c r="Q45" s="58"/>
      <c r="R45" s="86"/>
    </row>
    <row r="46" ht="15.75" customHeight="1">
      <c r="A46" s="57">
        <f t="shared" si="22"/>
        <v>45865</v>
      </c>
      <c r="B46" s="48">
        <v>8.0</v>
      </c>
      <c r="C46" s="49">
        <f t="shared" si="1"/>
        <v>1</v>
      </c>
      <c r="D46" s="50">
        <v>8950.0</v>
      </c>
      <c r="E46" s="51">
        <f t="shared" si="21"/>
        <v>1118.75</v>
      </c>
      <c r="F46" s="50">
        <v>8950.0</v>
      </c>
      <c r="G46" s="52">
        <f t="shared" si="3"/>
        <v>1</v>
      </c>
      <c r="H46" s="82"/>
      <c r="I46" s="82"/>
      <c r="J46" s="54"/>
      <c r="K46" s="55"/>
      <c r="L46" s="82"/>
      <c r="M46" s="82"/>
      <c r="N46" s="55"/>
      <c r="O46" s="55"/>
      <c r="P46" s="82"/>
      <c r="Q46" s="82"/>
      <c r="R46" s="86"/>
    </row>
    <row r="47" ht="15.75" customHeight="1">
      <c r="A47" s="61" t="s">
        <v>51</v>
      </c>
      <c r="B47" s="62">
        <v>7.0</v>
      </c>
      <c r="C47" s="63">
        <f t="shared" si="1"/>
        <v>0.875</v>
      </c>
      <c r="D47" s="64">
        <v>7500.0</v>
      </c>
      <c r="E47" s="70">
        <f>D47/B47</f>
        <v>1071.428571</v>
      </c>
      <c r="F47" s="64">
        <v>7500.0</v>
      </c>
      <c r="G47" s="66">
        <f t="shared" si="3"/>
        <v>1</v>
      </c>
      <c r="H47" s="83">
        <v>10601.0</v>
      </c>
      <c r="I47" s="67">
        <v>7500.0</v>
      </c>
      <c r="J47" s="68">
        <f>IF(H47=0,"",H47-I47)</f>
        <v>3101</v>
      </c>
      <c r="K47" s="69">
        <f>IFERROR((H47-I47)/H47,"")</f>
        <v>0.2925195736</v>
      </c>
      <c r="L47" s="83">
        <v>10517.0</v>
      </c>
      <c r="M47" s="67">
        <v>6175.0</v>
      </c>
      <c r="N47" s="68">
        <f>IF(L47=0,"",L47-M47)</f>
        <v>4342</v>
      </c>
      <c r="O47" s="69">
        <f>IFERROR((L47-M47)/L47,"")</f>
        <v>0.412855377</v>
      </c>
      <c r="P47" s="84">
        <f t="shared" ref="P47:Q47" si="23">H47-L47</f>
        <v>84</v>
      </c>
      <c r="Q47" s="84">
        <f t="shared" si="23"/>
        <v>1325</v>
      </c>
      <c r="R47" s="71" t="s">
        <v>81</v>
      </c>
    </row>
    <row r="48" ht="15.75" customHeight="1">
      <c r="A48" s="57">
        <f>A46+7</f>
        <v>45872</v>
      </c>
      <c r="B48" s="48">
        <v>7.0</v>
      </c>
      <c r="C48" s="49">
        <f t="shared" si="1"/>
        <v>0.875</v>
      </c>
      <c r="D48" s="50">
        <v>7850.0</v>
      </c>
      <c r="E48" s="51">
        <f t="shared" ref="E48:E52" si="24">IFERROR(D48/B48,"")</f>
        <v>1121.428571</v>
      </c>
      <c r="F48" s="50">
        <v>7512.0</v>
      </c>
      <c r="G48" s="52">
        <f t="shared" si="3"/>
        <v>0.9569426752</v>
      </c>
      <c r="H48" s="53"/>
      <c r="I48" s="53"/>
      <c r="J48" s="54"/>
      <c r="K48" s="55"/>
      <c r="L48" s="53"/>
      <c r="M48" s="53"/>
      <c r="N48" s="55"/>
      <c r="O48" s="55"/>
      <c r="P48" s="53"/>
      <c r="Q48" s="53"/>
      <c r="R48" s="86"/>
    </row>
    <row r="49" ht="15.75" customHeight="1">
      <c r="A49" s="57">
        <f t="shared" ref="A49:A52" si="25">A48+7</f>
        <v>45879</v>
      </c>
      <c r="B49" s="48">
        <v>7.0</v>
      </c>
      <c r="C49" s="49">
        <f t="shared" si="1"/>
        <v>0.875</v>
      </c>
      <c r="D49" s="50">
        <v>7850.0</v>
      </c>
      <c r="E49" s="51">
        <f t="shared" si="24"/>
        <v>1121.428571</v>
      </c>
      <c r="F49" s="50">
        <v>7850.0</v>
      </c>
      <c r="G49" s="52">
        <f t="shared" si="3"/>
        <v>1</v>
      </c>
      <c r="H49" s="58"/>
      <c r="I49" s="58"/>
      <c r="J49" s="54"/>
      <c r="K49" s="55"/>
      <c r="L49" s="58"/>
      <c r="M49" s="58"/>
      <c r="N49" s="55"/>
      <c r="O49" s="55"/>
      <c r="P49" s="58"/>
      <c r="Q49" s="58"/>
      <c r="R49" s="86"/>
    </row>
    <row r="50" ht="15.75" customHeight="1">
      <c r="A50" s="57">
        <f t="shared" si="25"/>
        <v>45886</v>
      </c>
      <c r="B50" s="48">
        <v>7.0</v>
      </c>
      <c r="C50" s="49">
        <f t="shared" si="1"/>
        <v>0.875</v>
      </c>
      <c r="D50" s="50">
        <v>7850.0</v>
      </c>
      <c r="E50" s="51">
        <f t="shared" si="24"/>
        <v>1121.428571</v>
      </c>
      <c r="F50" s="50">
        <v>7850.0</v>
      </c>
      <c r="G50" s="52">
        <f t="shared" si="3"/>
        <v>1</v>
      </c>
      <c r="H50" s="58"/>
      <c r="I50" s="58"/>
      <c r="J50" s="54"/>
      <c r="K50" s="55"/>
      <c r="L50" s="58"/>
      <c r="M50" s="58"/>
      <c r="N50" s="55"/>
      <c r="O50" s="55"/>
      <c r="P50" s="58"/>
      <c r="Q50" s="58"/>
      <c r="R50" s="86"/>
    </row>
    <row r="51" ht="15.75" customHeight="1">
      <c r="A51" s="57">
        <f t="shared" si="25"/>
        <v>45893</v>
      </c>
      <c r="B51" s="48">
        <v>7.0</v>
      </c>
      <c r="C51" s="49">
        <f t="shared" si="1"/>
        <v>0.875</v>
      </c>
      <c r="D51" s="50">
        <v>7850.0</v>
      </c>
      <c r="E51" s="51">
        <f t="shared" si="24"/>
        <v>1121.428571</v>
      </c>
      <c r="F51" s="50">
        <v>7850.0</v>
      </c>
      <c r="G51" s="52">
        <f t="shared" si="3"/>
        <v>1</v>
      </c>
      <c r="H51" s="60"/>
      <c r="I51" s="60"/>
      <c r="J51" s="54"/>
      <c r="K51" s="55"/>
      <c r="L51" s="58"/>
      <c r="M51" s="58"/>
      <c r="N51" s="55"/>
      <c r="O51" s="55"/>
      <c r="P51" s="58"/>
      <c r="Q51" s="58"/>
      <c r="R51" s="86"/>
    </row>
    <row r="52" ht="15.75" customHeight="1">
      <c r="A52" s="57">
        <f t="shared" si="25"/>
        <v>45900</v>
      </c>
      <c r="B52" s="48">
        <v>7.0</v>
      </c>
      <c r="C52" s="49">
        <f t="shared" si="1"/>
        <v>0.875</v>
      </c>
      <c r="D52" s="50">
        <v>7850.0</v>
      </c>
      <c r="E52" s="51">
        <f t="shared" si="24"/>
        <v>1121.428571</v>
      </c>
      <c r="F52" s="50">
        <v>7850.0</v>
      </c>
      <c r="G52" s="72">
        <f t="shared" si="3"/>
        <v>1</v>
      </c>
      <c r="H52" s="74"/>
      <c r="I52" s="80"/>
      <c r="J52" s="75"/>
      <c r="K52" s="55"/>
      <c r="L52" s="60"/>
      <c r="M52" s="60"/>
      <c r="N52" s="55"/>
      <c r="O52" s="55"/>
      <c r="P52" s="60"/>
      <c r="Q52" s="60"/>
      <c r="R52" s="86"/>
    </row>
    <row r="53" ht="15.75" customHeight="1">
      <c r="A53" s="61" t="s">
        <v>51</v>
      </c>
      <c r="B53" s="62">
        <v>7.0</v>
      </c>
      <c r="C53" s="63">
        <f t="shared" si="1"/>
        <v>0.875</v>
      </c>
      <c r="D53" s="64">
        <v>7500.0</v>
      </c>
      <c r="E53" s="70">
        <f>D53/B53</f>
        <v>1071.428571</v>
      </c>
      <c r="F53" s="64">
        <v>7500.0</v>
      </c>
      <c r="G53" s="66">
        <f t="shared" si="3"/>
        <v>1</v>
      </c>
      <c r="H53" s="67">
        <v>7369.0</v>
      </c>
      <c r="I53" s="67">
        <v>7500.0</v>
      </c>
      <c r="J53" s="68">
        <f>IF(H53=0,"",H53-I53)</f>
        <v>-131</v>
      </c>
      <c r="K53" s="69">
        <f>IFERROR((H53-I53)/H53,"")</f>
        <v>-0.01777717465</v>
      </c>
      <c r="L53" s="67">
        <v>7441.0</v>
      </c>
      <c r="M53" s="67">
        <v>6175.0</v>
      </c>
      <c r="N53" s="68">
        <f>IF(L53=0,"",L53-M53)</f>
        <v>1266</v>
      </c>
      <c r="O53" s="69">
        <f>IFERROR((L53-M53)/L53,"")</f>
        <v>0.1701384223</v>
      </c>
      <c r="P53" s="70">
        <f t="shared" ref="P53:Q53" si="26">H53-L53</f>
        <v>-72</v>
      </c>
      <c r="Q53" s="70">
        <f t="shared" si="26"/>
        <v>1325</v>
      </c>
      <c r="R53" s="87"/>
    </row>
    <row r="54" ht="15.75" customHeight="1">
      <c r="A54" s="57">
        <f>A52+7</f>
        <v>45907</v>
      </c>
      <c r="B54" s="48">
        <v>7.0</v>
      </c>
      <c r="C54" s="49">
        <f t="shared" si="1"/>
        <v>0.875</v>
      </c>
      <c r="D54" s="50">
        <v>7850.0</v>
      </c>
      <c r="E54" s="51">
        <f t="shared" ref="E54:E57" si="27">IFERROR(D54/B54,"")</f>
        <v>1121.428571</v>
      </c>
      <c r="F54" s="50">
        <v>7323.0</v>
      </c>
      <c r="G54" s="52">
        <f t="shared" si="3"/>
        <v>0.932866242</v>
      </c>
      <c r="H54" s="78"/>
      <c r="I54" s="78"/>
      <c r="J54" s="54"/>
      <c r="K54" s="76"/>
      <c r="L54" s="74"/>
      <c r="M54" s="74"/>
      <c r="N54" s="77"/>
      <c r="O54" s="55"/>
      <c r="P54" s="74"/>
      <c r="Q54" s="74"/>
      <c r="R54" s="86"/>
    </row>
    <row r="55" ht="15.75" customHeight="1">
      <c r="A55" s="57">
        <f t="shared" ref="A55:A57" si="28">A54+7</f>
        <v>45914</v>
      </c>
      <c r="B55" s="48">
        <v>7.0</v>
      </c>
      <c r="C55" s="49">
        <f t="shared" si="1"/>
        <v>0.875</v>
      </c>
      <c r="D55" s="50">
        <v>7850.0</v>
      </c>
      <c r="E55" s="51">
        <f t="shared" si="27"/>
        <v>1121.428571</v>
      </c>
      <c r="F55" s="50">
        <v>7850.0</v>
      </c>
      <c r="G55" s="52">
        <f t="shared" si="3"/>
        <v>1</v>
      </c>
      <c r="H55" s="58"/>
      <c r="I55" s="58"/>
      <c r="J55" s="54"/>
      <c r="K55" s="55"/>
      <c r="L55" s="78"/>
      <c r="M55" s="78"/>
      <c r="N55" s="55"/>
      <c r="O55" s="55"/>
      <c r="P55" s="78"/>
      <c r="Q55" s="78"/>
      <c r="R55" s="86"/>
    </row>
    <row r="56" ht="15.75" customHeight="1">
      <c r="A56" s="57">
        <f t="shared" si="28"/>
        <v>45921</v>
      </c>
      <c r="B56" s="48">
        <v>7.0</v>
      </c>
      <c r="C56" s="49">
        <f t="shared" si="1"/>
        <v>0.875</v>
      </c>
      <c r="D56" s="50">
        <v>7850.0</v>
      </c>
      <c r="E56" s="51">
        <f t="shared" si="27"/>
        <v>1121.428571</v>
      </c>
      <c r="F56" s="50">
        <v>7850.0</v>
      </c>
      <c r="G56" s="52">
        <f t="shared" si="3"/>
        <v>1</v>
      </c>
      <c r="H56" s="58"/>
      <c r="I56" s="58"/>
      <c r="J56" s="54"/>
      <c r="K56" s="55"/>
      <c r="L56" s="58"/>
      <c r="M56" s="58"/>
      <c r="N56" s="55"/>
      <c r="O56" s="55"/>
      <c r="P56" s="58"/>
      <c r="Q56" s="58"/>
      <c r="R56" s="86"/>
    </row>
    <row r="57" ht="15.75" customHeight="1">
      <c r="A57" s="57">
        <f t="shared" si="28"/>
        <v>45928</v>
      </c>
      <c r="B57" s="48">
        <v>7.0</v>
      </c>
      <c r="C57" s="49">
        <f t="shared" si="1"/>
        <v>0.875</v>
      </c>
      <c r="D57" s="50">
        <v>7850.0</v>
      </c>
      <c r="E57" s="51">
        <f t="shared" si="27"/>
        <v>1121.428571</v>
      </c>
      <c r="F57" s="50">
        <v>7850.0</v>
      </c>
      <c r="G57" s="52">
        <f t="shared" si="3"/>
        <v>1</v>
      </c>
      <c r="H57" s="82"/>
      <c r="I57" s="82"/>
      <c r="J57" s="54"/>
      <c r="K57" s="55"/>
      <c r="L57" s="82"/>
      <c r="M57" s="82"/>
      <c r="N57" s="55"/>
      <c r="O57" s="55"/>
      <c r="P57" s="82"/>
      <c r="Q57" s="82"/>
      <c r="R57" s="86"/>
    </row>
    <row r="58" ht="15.75" customHeight="1">
      <c r="A58" s="61" t="s">
        <v>51</v>
      </c>
      <c r="B58" s="62">
        <v>7.0</v>
      </c>
      <c r="C58" s="63">
        <f t="shared" si="1"/>
        <v>0.875</v>
      </c>
      <c r="D58" s="64">
        <v>7500.0</v>
      </c>
      <c r="E58" s="70">
        <f>D58/B58</f>
        <v>1071.428571</v>
      </c>
      <c r="F58" s="64">
        <v>7500.0</v>
      </c>
      <c r="G58" s="66">
        <f t="shared" si="3"/>
        <v>1</v>
      </c>
      <c r="H58" s="83">
        <v>7825.0</v>
      </c>
      <c r="I58" s="67">
        <v>7500.0</v>
      </c>
      <c r="J58" s="68">
        <f>IF(H58=0,"",H58-I58)</f>
        <v>325</v>
      </c>
      <c r="K58" s="69">
        <f>IFERROR((H58-I58)/H58,"")</f>
        <v>0.04153354633</v>
      </c>
      <c r="L58" s="83">
        <v>8150.0</v>
      </c>
      <c r="M58" s="67">
        <v>6175.0</v>
      </c>
      <c r="N58" s="68">
        <f>IF(L58=0,"",L58-M58)</f>
        <v>1975</v>
      </c>
      <c r="O58" s="69">
        <f>IFERROR((L58-M58)/L58,"")</f>
        <v>0.2423312883</v>
      </c>
      <c r="P58" s="84">
        <f t="shared" ref="P58:Q58" si="29">H58-L58</f>
        <v>-325</v>
      </c>
      <c r="Q58" s="84">
        <f t="shared" si="29"/>
        <v>1325</v>
      </c>
      <c r="R58" s="87"/>
    </row>
    <row r="59" ht="15.75" customHeight="1">
      <c r="A59" s="57">
        <f>A57+7</f>
        <v>45935</v>
      </c>
      <c r="B59" s="48">
        <v>7.0</v>
      </c>
      <c r="C59" s="88">
        <f t="shared" si="1"/>
        <v>0.875</v>
      </c>
      <c r="D59" s="50">
        <v>7850.0</v>
      </c>
      <c r="E59" s="51">
        <f t="shared" ref="E59:E62" si="30">IFERROR(D59/B59,"")</f>
        <v>1121.428571</v>
      </c>
      <c r="F59" s="50">
        <v>6052.0</v>
      </c>
      <c r="G59" s="52">
        <f t="shared" si="3"/>
        <v>0.770955414</v>
      </c>
      <c r="H59" s="53"/>
      <c r="I59" s="53"/>
      <c r="J59" s="54"/>
      <c r="K59" s="55"/>
      <c r="L59" s="53"/>
      <c r="M59" s="53"/>
      <c r="N59" s="55"/>
      <c r="O59" s="55"/>
      <c r="P59" s="53"/>
      <c r="Q59" s="53"/>
      <c r="R59" s="86"/>
    </row>
    <row r="60" ht="15.75" customHeight="1">
      <c r="A60" s="57">
        <f t="shared" ref="A60:A62" si="31">A59+7</f>
        <v>45942</v>
      </c>
      <c r="B60" s="48">
        <v>7.0</v>
      </c>
      <c r="C60" s="88">
        <f t="shared" si="1"/>
        <v>0.875</v>
      </c>
      <c r="D60" s="50">
        <v>7850.0</v>
      </c>
      <c r="E60" s="51">
        <f t="shared" si="30"/>
        <v>1121.428571</v>
      </c>
      <c r="F60" s="50">
        <v>7429.0</v>
      </c>
      <c r="G60" s="52">
        <f t="shared" si="3"/>
        <v>0.9463694268</v>
      </c>
      <c r="H60" s="58"/>
      <c r="I60" s="58"/>
      <c r="J60" s="54"/>
      <c r="K60" s="55"/>
      <c r="L60" s="58"/>
      <c r="M60" s="58"/>
      <c r="N60" s="55"/>
      <c r="O60" s="55"/>
      <c r="P60" s="58"/>
      <c r="Q60" s="58"/>
      <c r="R60" s="86"/>
    </row>
    <row r="61" ht="15.75" customHeight="1">
      <c r="A61" s="57">
        <f t="shared" si="31"/>
        <v>45949</v>
      </c>
      <c r="B61" s="48">
        <v>7.0</v>
      </c>
      <c r="C61" s="88">
        <f t="shared" si="1"/>
        <v>0.875</v>
      </c>
      <c r="D61" s="50">
        <v>7850.0</v>
      </c>
      <c r="E61" s="51">
        <f t="shared" si="30"/>
        <v>1121.428571</v>
      </c>
      <c r="F61" s="50">
        <v>7873.0</v>
      </c>
      <c r="G61" s="52">
        <f t="shared" si="3"/>
        <v>1.002929936</v>
      </c>
      <c r="H61" s="58"/>
      <c r="I61" s="58"/>
      <c r="J61" s="54"/>
      <c r="K61" s="55"/>
      <c r="L61" s="58"/>
      <c r="M61" s="58"/>
      <c r="N61" s="55"/>
      <c r="O61" s="55"/>
      <c r="P61" s="58"/>
      <c r="Q61" s="58"/>
      <c r="R61" s="86"/>
    </row>
    <row r="62" ht="15.75" customHeight="1">
      <c r="A62" s="57">
        <f t="shared" si="31"/>
        <v>45956</v>
      </c>
      <c r="B62" s="48">
        <v>7.0</v>
      </c>
      <c r="C62" s="88">
        <f t="shared" si="1"/>
        <v>0.875</v>
      </c>
      <c r="D62" s="50">
        <v>7850.0</v>
      </c>
      <c r="E62" s="51">
        <f t="shared" si="30"/>
        <v>1121.428571</v>
      </c>
      <c r="F62" s="50">
        <v>7873.0</v>
      </c>
      <c r="G62" s="52">
        <f t="shared" si="3"/>
        <v>1.002929936</v>
      </c>
      <c r="H62" s="60"/>
      <c r="I62" s="60"/>
      <c r="J62" s="54"/>
      <c r="K62" s="55"/>
      <c r="L62" s="58"/>
      <c r="M62" s="58"/>
      <c r="N62" s="55"/>
      <c r="O62" s="55"/>
      <c r="P62" s="58"/>
      <c r="Q62" s="58"/>
      <c r="R62" s="86"/>
    </row>
    <row r="63" ht="15.75" customHeight="1">
      <c r="A63" s="61" t="s">
        <v>51</v>
      </c>
      <c r="B63" s="62">
        <v>7.0</v>
      </c>
      <c r="C63" s="63">
        <f t="shared" si="1"/>
        <v>0.875</v>
      </c>
      <c r="D63" s="64">
        <v>7500.0</v>
      </c>
      <c r="E63" s="70">
        <f>D63/B63</f>
        <v>1071.428571</v>
      </c>
      <c r="F63" s="64">
        <v>7500.0</v>
      </c>
      <c r="G63" s="66">
        <f t="shared" si="3"/>
        <v>1</v>
      </c>
      <c r="H63" s="67">
        <v>9352.0</v>
      </c>
      <c r="I63" s="67">
        <v>7500.0</v>
      </c>
      <c r="J63" s="68">
        <f>IF(H63=0,"",H63-I63)</f>
        <v>1852</v>
      </c>
      <c r="K63" s="69">
        <f>IFERROR((H63-I63)/H63,"")</f>
        <v>0.1980325064</v>
      </c>
      <c r="L63" s="67">
        <v>6908.0</v>
      </c>
      <c r="M63" s="67">
        <v>6175.0</v>
      </c>
      <c r="N63" s="68">
        <f>IF(L63=0,"",L63-M63)</f>
        <v>733</v>
      </c>
      <c r="O63" s="69">
        <f>IFERROR((L63-M63)/L63,"")</f>
        <v>0.1061088593</v>
      </c>
      <c r="P63" s="70">
        <f t="shared" ref="P63:Q63" si="32">H63-L63</f>
        <v>2444</v>
      </c>
      <c r="Q63" s="70">
        <f t="shared" si="32"/>
        <v>1325</v>
      </c>
      <c r="R63" s="87"/>
    </row>
    <row r="64" ht="15.75" customHeight="1">
      <c r="A64" s="57">
        <f>A62+7</f>
        <v>45963</v>
      </c>
      <c r="B64" s="48">
        <v>8.0</v>
      </c>
      <c r="C64" s="88">
        <f t="shared" si="1"/>
        <v>1</v>
      </c>
      <c r="D64" s="50">
        <v>9000.0</v>
      </c>
      <c r="E64" s="51">
        <f t="shared" ref="E64:E68" si="33">IFERROR(D64/B64,"")</f>
        <v>1125</v>
      </c>
      <c r="F64" s="50">
        <v>1230.0</v>
      </c>
      <c r="G64" s="79">
        <f t="shared" si="3"/>
        <v>0.1366666667</v>
      </c>
      <c r="H64" s="81"/>
      <c r="I64" s="74"/>
      <c r="J64" s="75"/>
      <c r="K64" s="55"/>
      <c r="L64" s="60"/>
      <c r="M64" s="60"/>
      <c r="N64" s="55"/>
      <c r="O64" s="55"/>
      <c r="P64" s="60"/>
      <c r="Q64" s="60"/>
      <c r="R64" s="86"/>
    </row>
    <row r="65" ht="15.75" customHeight="1">
      <c r="A65" s="57">
        <f t="shared" ref="A65:A68" si="34">A64+7</f>
        <v>45970</v>
      </c>
      <c r="B65" s="48">
        <v>8.0</v>
      </c>
      <c r="C65" s="88">
        <f t="shared" si="1"/>
        <v>1</v>
      </c>
      <c r="D65" s="50">
        <v>9000.0</v>
      </c>
      <c r="E65" s="51">
        <f t="shared" si="33"/>
        <v>1125</v>
      </c>
      <c r="F65" s="50">
        <v>7882.0</v>
      </c>
      <c r="G65" s="52">
        <f t="shared" si="3"/>
        <v>0.8757777778</v>
      </c>
      <c r="H65" s="78"/>
      <c r="I65" s="78"/>
      <c r="J65" s="54"/>
      <c r="K65" s="55"/>
      <c r="L65" s="80"/>
      <c r="M65" s="81"/>
      <c r="N65" s="77"/>
      <c r="O65" s="55"/>
      <c r="P65" s="80"/>
      <c r="Q65" s="81"/>
      <c r="R65" s="86"/>
    </row>
    <row r="66" ht="15.75" customHeight="1">
      <c r="A66" s="57">
        <f t="shared" si="34"/>
        <v>45977</v>
      </c>
      <c r="B66" s="48">
        <v>8.0</v>
      </c>
      <c r="C66" s="88">
        <f t="shared" si="1"/>
        <v>1</v>
      </c>
      <c r="D66" s="50">
        <v>9000.0</v>
      </c>
      <c r="E66" s="51">
        <f t="shared" si="33"/>
        <v>1125</v>
      </c>
      <c r="F66" s="50">
        <v>7882.0</v>
      </c>
      <c r="G66" s="52">
        <f t="shared" si="3"/>
        <v>0.8757777778</v>
      </c>
      <c r="H66" s="58"/>
      <c r="I66" s="58"/>
      <c r="J66" s="54"/>
      <c r="K66" s="55"/>
      <c r="L66" s="78"/>
      <c r="M66" s="78"/>
      <c r="N66" s="55"/>
      <c r="O66" s="55"/>
      <c r="P66" s="78"/>
      <c r="Q66" s="78"/>
      <c r="R66" s="86"/>
    </row>
    <row r="67" ht="15.75" customHeight="1">
      <c r="A67" s="57">
        <f t="shared" si="34"/>
        <v>45984</v>
      </c>
      <c r="B67" s="48">
        <v>8.0</v>
      </c>
      <c r="C67" s="88">
        <f t="shared" si="1"/>
        <v>1</v>
      </c>
      <c r="D67" s="50">
        <v>9000.0</v>
      </c>
      <c r="E67" s="51">
        <f t="shared" si="33"/>
        <v>1125</v>
      </c>
      <c r="F67" s="50">
        <v>7882.0</v>
      </c>
      <c r="G67" s="52">
        <f t="shared" si="3"/>
        <v>0.8757777778</v>
      </c>
      <c r="H67" s="60"/>
      <c r="I67" s="60"/>
      <c r="J67" s="54"/>
      <c r="K67" s="55"/>
      <c r="L67" s="58"/>
      <c r="M67" s="58"/>
      <c r="N67" s="55"/>
      <c r="O67" s="55"/>
      <c r="P67" s="58"/>
      <c r="Q67" s="58"/>
      <c r="R67" s="86"/>
    </row>
    <row r="68" ht="15.75" customHeight="1">
      <c r="A68" s="57">
        <f t="shared" si="34"/>
        <v>45991</v>
      </c>
      <c r="B68" s="48">
        <v>8.0</v>
      </c>
      <c r="C68" s="88">
        <f t="shared" si="1"/>
        <v>1</v>
      </c>
      <c r="D68" s="50">
        <v>9000.0</v>
      </c>
      <c r="E68" s="51">
        <f t="shared" si="33"/>
        <v>1125</v>
      </c>
      <c r="F68" s="50">
        <v>7882.0</v>
      </c>
      <c r="G68" s="79">
        <f t="shared" si="3"/>
        <v>0.8757777778</v>
      </c>
      <c r="H68" s="81"/>
      <c r="I68" s="74"/>
      <c r="J68" s="75"/>
      <c r="K68" s="55"/>
      <c r="L68" s="60"/>
      <c r="M68" s="60"/>
      <c r="N68" s="55"/>
      <c r="O68" s="55"/>
      <c r="P68" s="60"/>
      <c r="Q68" s="60"/>
      <c r="R68" s="86"/>
    </row>
    <row r="69" ht="15.75" customHeight="1">
      <c r="A69" s="61" t="s">
        <v>51</v>
      </c>
      <c r="B69" s="62">
        <v>7.0</v>
      </c>
      <c r="C69" s="63">
        <f t="shared" si="1"/>
        <v>0.875</v>
      </c>
      <c r="D69" s="64">
        <v>7500.0</v>
      </c>
      <c r="E69" s="70">
        <f>D69/B69</f>
        <v>1071.428571</v>
      </c>
      <c r="F69" s="64">
        <v>7500.0</v>
      </c>
      <c r="G69" s="66">
        <f t="shared" si="3"/>
        <v>1</v>
      </c>
      <c r="H69" s="70"/>
      <c r="I69" s="67">
        <v>7500.0</v>
      </c>
      <c r="J69" s="68" t="str">
        <f>IF(H69=0,"",H69-I69)</f>
        <v/>
      </c>
      <c r="K69" s="69" t="str">
        <f>IFERROR((H69-I69)/H69,"")</f>
        <v/>
      </c>
      <c r="L69" s="70"/>
      <c r="M69" s="67">
        <v>6175.0</v>
      </c>
      <c r="N69" s="68" t="str">
        <f>IF(L69=0,"",L69-M69)</f>
        <v/>
      </c>
      <c r="O69" s="69" t="str">
        <f>IFERROR((L69-M69)/L69,"")</f>
        <v/>
      </c>
      <c r="P69" s="70">
        <f t="shared" ref="P69:Q69" si="35">H69-L69</f>
        <v>0</v>
      </c>
      <c r="Q69" s="70">
        <f t="shared" si="35"/>
        <v>1325</v>
      </c>
      <c r="R69" s="87"/>
    </row>
    <row r="70" ht="15.75" customHeight="1">
      <c r="A70" s="57">
        <f>A68+7</f>
        <v>45998</v>
      </c>
      <c r="B70" s="89" t="s">
        <v>99</v>
      </c>
      <c r="C70" s="88">
        <f t="shared" si="1"/>
        <v>1</v>
      </c>
      <c r="D70" s="50">
        <v>9000.0</v>
      </c>
      <c r="E70" s="51">
        <f t="shared" ref="E70:E73" si="36">IFERROR(D70/B70,"")</f>
        <v>1125</v>
      </c>
      <c r="F70" s="50">
        <v>7030.0</v>
      </c>
      <c r="G70" s="52">
        <f t="shared" si="3"/>
        <v>0.7811111111</v>
      </c>
      <c r="H70" s="78"/>
      <c r="I70" s="78"/>
      <c r="J70" s="54"/>
      <c r="K70" s="76"/>
      <c r="L70" s="74"/>
      <c r="M70" s="74"/>
      <c r="N70" s="77"/>
      <c r="O70" s="55"/>
      <c r="P70" s="74"/>
      <c r="Q70" s="74"/>
      <c r="R70" s="86"/>
    </row>
    <row r="71" ht="15.75" customHeight="1">
      <c r="A71" s="57">
        <f t="shared" ref="A71:A73" si="37">A70+7</f>
        <v>46005</v>
      </c>
      <c r="B71" s="89" t="s">
        <v>99</v>
      </c>
      <c r="C71" s="88">
        <f t="shared" si="1"/>
        <v>1</v>
      </c>
      <c r="D71" s="50">
        <v>9000.0</v>
      </c>
      <c r="E71" s="51">
        <f t="shared" si="36"/>
        <v>1125</v>
      </c>
      <c r="F71" s="50">
        <v>8280.0</v>
      </c>
      <c r="G71" s="52">
        <f t="shared" si="3"/>
        <v>0.92</v>
      </c>
      <c r="H71" s="58"/>
      <c r="I71" s="58"/>
      <c r="J71" s="54"/>
      <c r="K71" s="55"/>
      <c r="L71" s="78"/>
      <c r="M71" s="78"/>
      <c r="N71" s="55"/>
      <c r="O71" s="55"/>
      <c r="P71" s="78"/>
      <c r="Q71" s="78"/>
      <c r="R71" s="86"/>
    </row>
    <row r="72" ht="15.75" customHeight="1">
      <c r="A72" s="57">
        <f t="shared" si="37"/>
        <v>46012</v>
      </c>
      <c r="B72" s="90"/>
      <c r="C72" s="88" t="str">
        <f t="shared" si="1"/>
        <v/>
      </c>
      <c r="D72" s="91"/>
      <c r="E72" s="51" t="str">
        <f t="shared" si="36"/>
        <v/>
      </c>
      <c r="F72" s="91"/>
      <c r="G72" s="52" t="str">
        <f t="shared" si="3"/>
        <v/>
      </c>
      <c r="H72" s="58"/>
      <c r="I72" s="58"/>
      <c r="J72" s="54"/>
      <c r="K72" s="55"/>
      <c r="L72" s="58"/>
      <c r="M72" s="58"/>
      <c r="N72" s="55"/>
      <c r="O72" s="55"/>
      <c r="P72" s="58"/>
      <c r="Q72" s="58"/>
      <c r="R72" s="86"/>
    </row>
    <row r="73" ht="15.75" customHeight="1">
      <c r="A73" s="57">
        <f t="shared" si="37"/>
        <v>46019</v>
      </c>
      <c r="B73" s="90"/>
      <c r="C73" s="88" t="str">
        <f t="shared" si="1"/>
        <v/>
      </c>
      <c r="D73" s="91"/>
      <c r="E73" s="51" t="str">
        <f t="shared" si="36"/>
        <v/>
      </c>
      <c r="F73" s="91"/>
      <c r="G73" s="52" t="str">
        <f t="shared" si="3"/>
        <v/>
      </c>
      <c r="H73" s="82"/>
      <c r="I73" s="82"/>
      <c r="J73" s="54"/>
      <c r="K73" s="55"/>
      <c r="L73" s="82"/>
      <c r="M73" s="82"/>
      <c r="N73" s="55"/>
      <c r="O73" s="55"/>
      <c r="P73" s="82"/>
      <c r="Q73" s="82"/>
      <c r="R73" s="86"/>
    </row>
    <row r="74" ht="15.75" customHeight="1">
      <c r="A74" s="61" t="s">
        <v>51</v>
      </c>
      <c r="B74" s="62">
        <v>7.0</v>
      </c>
      <c r="C74" s="63">
        <f t="shared" si="1"/>
        <v>0.875</v>
      </c>
      <c r="D74" s="64">
        <v>7500.0</v>
      </c>
      <c r="E74" s="70">
        <f>D74/B74</f>
        <v>1071.428571</v>
      </c>
      <c r="F74" s="64">
        <v>7500.0</v>
      </c>
      <c r="G74" s="66">
        <f t="shared" si="3"/>
        <v>1</v>
      </c>
      <c r="H74" s="92"/>
      <c r="I74" s="67">
        <v>7500.0</v>
      </c>
      <c r="J74" s="68" t="str">
        <f t="shared" ref="J74:J75" si="40">IF(H74=0,"",H74-I74)</f>
        <v/>
      </c>
      <c r="K74" s="69" t="str">
        <f t="shared" ref="K74:K75" si="41">IFERROR((H74-I74)/H74,"")</f>
        <v/>
      </c>
      <c r="L74" s="92"/>
      <c r="M74" s="67">
        <v>6175.0</v>
      </c>
      <c r="N74" s="68" t="str">
        <f t="shared" ref="N74:N75" si="43">IF(L74=0,"",L74-M74)</f>
        <v/>
      </c>
      <c r="O74" s="69" t="str">
        <f t="shared" ref="O74:O75" si="44">IFERROR((L74-M74)/L74,"")</f>
        <v/>
      </c>
      <c r="P74" s="92">
        <f t="shared" ref="P74:Q74" si="38">H74-L74</f>
        <v>0</v>
      </c>
      <c r="Q74" s="92">
        <f t="shared" si="38"/>
        <v>1325</v>
      </c>
      <c r="R74" s="87"/>
    </row>
    <row r="75" ht="15.75" customHeight="1">
      <c r="A75" s="93" t="s">
        <v>61</v>
      </c>
      <c r="B75" s="94"/>
      <c r="C75" s="95" t="str">
        <f t="shared" si="1"/>
        <v/>
      </c>
      <c r="D75" s="96"/>
      <c r="E75" s="96" t="str">
        <f>IFERROR(D75/B75,"")</f>
        <v/>
      </c>
      <c r="F75" s="96"/>
      <c r="G75" s="97" t="str">
        <f t="shared" si="3"/>
        <v/>
      </c>
      <c r="H75" s="96">
        <f t="shared" ref="H75:I75" si="39">H15+H20+H26+H31+H36+H42+H47+H53+H58+H63+H69+H74</f>
        <v>86188</v>
      </c>
      <c r="I75" s="96">
        <f t="shared" si="39"/>
        <v>90000</v>
      </c>
      <c r="J75" s="96">
        <f t="shared" si="40"/>
        <v>-3812</v>
      </c>
      <c r="K75" s="95">
        <f t="shared" si="41"/>
        <v>-0.04422889497</v>
      </c>
      <c r="L75" s="96">
        <f t="shared" ref="L75:M75" si="42">L15+L20+L26+L31+L36+L42+L47+L53+L58+L63+L69+L74</f>
        <v>80991</v>
      </c>
      <c r="M75" s="96">
        <f t="shared" si="42"/>
        <v>74100</v>
      </c>
      <c r="N75" s="95">
        <f t="shared" si="43"/>
        <v>6891</v>
      </c>
      <c r="O75" s="95">
        <f t="shared" si="44"/>
        <v>0.0850835278</v>
      </c>
      <c r="P75" s="96">
        <f t="shared" ref="P75:Q75" si="45">P15+P20+P26+P31+P36+P42+P47+P53+P58+P63+P69+P74</f>
        <v>5197</v>
      </c>
      <c r="Q75" s="96">
        <f t="shared" si="45"/>
        <v>15900</v>
      </c>
      <c r="R75" s="98"/>
    </row>
    <row r="76" ht="15.75" customHeight="1">
      <c r="A76" s="99" t="s">
        <v>62</v>
      </c>
      <c r="B76" s="100" t="s">
        <v>62</v>
      </c>
      <c r="C76" s="100" t="s">
        <v>62</v>
      </c>
      <c r="D76" s="101" t="s">
        <v>62</v>
      </c>
      <c r="E76" s="102" t="s">
        <v>62</v>
      </c>
      <c r="F76" s="101" t="s">
        <v>62</v>
      </c>
      <c r="G76" s="100" t="s">
        <v>62</v>
      </c>
      <c r="H76" s="102" t="s">
        <v>62</v>
      </c>
      <c r="I76" s="102" t="s">
        <v>62</v>
      </c>
      <c r="J76" s="102" t="s">
        <v>62</v>
      </c>
      <c r="K76" s="100" t="s">
        <v>62</v>
      </c>
      <c r="L76" s="102" t="s">
        <v>62</v>
      </c>
      <c r="M76" s="102" t="s">
        <v>62</v>
      </c>
      <c r="N76" s="100" t="s">
        <v>62</v>
      </c>
      <c r="O76" s="100" t="s">
        <v>62</v>
      </c>
      <c r="P76" s="102" t="s">
        <v>62</v>
      </c>
      <c r="Q76" s="102" t="s">
        <v>62</v>
      </c>
      <c r="R76" s="100" t="s">
        <v>62</v>
      </c>
    </row>
    <row r="77" ht="15.75" customHeight="1">
      <c r="A77" s="103"/>
      <c r="B77" s="104"/>
      <c r="C77" s="104"/>
      <c r="D77" s="105"/>
      <c r="E77" s="106"/>
      <c r="F77" s="107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6"/>
    </row>
    <row r="78" ht="15.75" customHeight="1">
      <c r="A78" s="103"/>
      <c r="B78" s="104"/>
      <c r="C78" s="104"/>
      <c r="D78" s="105"/>
      <c r="E78" s="106"/>
      <c r="F78" s="107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6"/>
    </row>
    <row r="79" ht="15.75" customHeight="1">
      <c r="A79" s="103"/>
      <c r="B79" s="104"/>
      <c r="C79" s="104"/>
      <c r="D79" s="105"/>
      <c r="E79" s="106"/>
      <c r="F79" s="107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6"/>
    </row>
    <row r="80" ht="15.75" customHeight="1">
      <c r="A80" s="103"/>
      <c r="B80" s="104"/>
      <c r="C80" s="104"/>
      <c r="D80" s="105"/>
      <c r="E80" s="106"/>
      <c r="F80" s="107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6"/>
    </row>
    <row r="81" ht="15.75" customHeight="1">
      <c r="A81" s="109"/>
      <c r="B81" s="104"/>
      <c r="C81" s="104"/>
      <c r="D81" s="105"/>
      <c r="E81" s="106"/>
      <c r="F81" s="107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6"/>
    </row>
    <row r="82" ht="15.75" customHeight="1">
      <c r="A82" s="109"/>
      <c r="B82" s="104"/>
      <c r="C82" s="104"/>
      <c r="D82" s="105"/>
      <c r="E82" s="106"/>
      <c r="F82" s="107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6"/>
    </row>
    <row r="83" ht="15.75" customHeight="1">
      <c r="A83" s="109"/>
      <c r="B83" s="104"/>
      <c r="C83" s="104"/>
      <c r="D83" s="105"/>
      <c r="E83" s="106"/>
      <c r="F83" s="107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6"/>
    </row>
    <row r="84" ht="15.75" customHeight="1">
      <c r="A84" s="109"/>
      <c r="B84" s="104"/>
      <c r="C84" s="104"/>
      <c r="D84" s="105"/>
      <c r="E84" s="106"/>
      <c r="F84" s="107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6"/>
    </row>
    <row r="85" ht="15.75" customHeight="1">
      <c r="A85" s="109"/>
      <c r="B85" s="104"/>
      <c r="C85" s="104"/>
      <c r="D85" s="105"/>
      <c r="E85" s="106"/>
      <c r="F85" s="107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6"/>
    </row>
    <row r="86" ht="15.75" customHeight="1">
      <c r="A86" s="109"/>
      <c r="B86" s="104"/>
      <c r="C86" s="104"/>
      <c r="D86" s="105"/>
      <c r="E86" s="106"/>
      <c r="F86" s="107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6"/>
    </row>
    <row r="87" ht="15.75" customHeight="1">
      <c r="A87" s="109"/>
      <c r="B87" s="104"/>
      <c r="C87" s="104"/>
      <c r="D87" s="105"/>
      <c r="E87" s="106"/>
      <c r="F87" s="107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6"/>
    </row>
    <row r="88" ht="15.75" customHeight="1">
      <c r="A88" s="109"/>
      <c r="B88" s="104"/>
      <c r="C88" s="104"/>
      <c r="D88" s="105"/>
      <c r="E88" s="106"/>
      <c r="F88" s="107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6"/>
    </row>
    <row r="89" ht="15.75" customHeight="1">
      <c r="A89" s="109"/>
      <c r="B89" s="104"/>
      <c r="C89" s="104"/>
      <c r="D89" s="105"/>
      <c r="E89" s="106"/>
      <c r="F89" s="107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6"/>
    </row>
    <row r="90" ht="15.75" customHeight="1">
      <c r="A90" s="109"/>
      <c r="B90" s="104"/>
      <c r="C90" s="104"/>
      <c r="D90" s="105"/>
      <c r="E90" s="106"/>
      <c r="F90" s="107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6"/>
    </row>
    <row r="91" ht="15.75" customHeight="1">
      <c r="A91" s="109"/>
      <c r="B91" s="104"/>
      <c r="C91" s="104"/>
      <c r="D91" s="105"/>
      <c r="E91" s="106"/>
      <c r="F91" s="107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6"/>
    </row>
    <row r="92" ht="15.75" customHeight="1">
      <c r="A92" s="109"/>
      <c r="B92" s="104"/>
      <c r="C92" s="104"/>
      <c r="D92" s="105"/>
      <c r="E92" s="106"/>
      <c r="F92" s="107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6"/>
    </row>
    <row r="93" ht="15.75" customHeight="1">
      <c r="A93" s="109"/>
      <c r="B93" s="104"/>
      <c r="C93" s="104"/>
      <c r="D93" s="105"/>
      <c r="E93" s="106"/>
      <c r="F93" s="107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6"/>
    </row>
    <row r="94" ht="15.75" customHeight="1">
      <c r="A94" s="109"/>
      <c r="B94" s="104"/>
      <c r="C94" s="104"/>
      <c r="D94" s="105"/>
      <c r="E94" s="106"/>
      <c r="F94" s="107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6"/>
    </row>
    <row r="95" ht="15.75" customHeight="1">
      <c r="A95" s="109"/>
      <c r="B95" s="104"/>
      <c r="C95" s="104"/>
      <c r="D95" s="105"/>
      <c r="E95" s="106"/>
      <c r="F95" s="107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6"/>
    </row>
    <row r="96" ht="15.75" customHeight="1">
      <c r="A96" s="109"/>
      <c r="B96" s="104"/>
      <c r="C96" s="104"/>
      <c r="D96" s="105"/>
      <c r="E96" s="106"/>
      <c r="F96" s="107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6"/>
    </row>
    <row r="97" ht="15.75" customHeight="1">
      <c r="A97" s="109"/>
      <c r="B97" s="104"/>
      <c r="C97" s="104"/>
      <c r="D97" s="105"/>
      <c r="E97" s="106"/>
      <c r="F97" s="107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6"/>
    </row>
    <row r="98" ht="15.75" customHeight="1">
      <c r="A98" s="109"/>
      <c r="B98" s="104"/>
      <c r="C98" s="104"/>
      <c r="D98" s="105"/>
      <c r="E98" s="106"/>
      <c r="F98" s="107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6"/>
    </row>
    <row r="99" ht="15.75" customHeight="1">
      <c r="A99" s="109"/>
      <c r="B99" s="104"/>
      <c r="C99" s="104"/>
      <c r="D99" s="105"/>
      <c r="E99" s="106"/>
      <c r="F99" s="107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6"/>
    </row>
    <row r="100" ht="15.75" customHeight="1">
      <c r="A100" s="109"/>
      <c r="B100" s="104"/>
      <c r="C100" s="104"/>
      <c r="D100" s="105"/>
      <c r="E100" s="106"/>
      <c r="F100" s="107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6"/>
    </row>
    <row r="101" ht="15.75" customHeight="1">
      <c r="A101" s="109"/>
      <c r="B101" s="104"/>
      <c r="C101" s="104"/>
      <c r="D101" s="105"/>
      <c r="E101" s="106"/>
      <c r="F101" s="107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6"/>
    </row>
    <row r="102" ht="15.75" customHeight="1">
      <c r="A102" s="109"/>
      <c r="B102" s="104"/>
      <c r="C102" s="104"/>
      <c r="D102" s="105"/>
      <c r="E102" s="106"/>
      <c r="F102" s="107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6"/>
    </row>
    <row r="103" ht="15.75" customHeight="1">
      <c r="A103" s="109"/>
      <c r="B103" s="104"/>
      <c r="C103" s="104"/>
      <c r="D103" s="105"/>
      <c r="E103" s="106"/>
      <c r="F103" s="107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6"/>
    </row>
    <row r="104" ht="15.75" customHeight="1">
      <c r="A104" s="109"/>
      <c r="B104" s="104"/>
      <c r="C104" s="104"/>
      <c r="D104" s="105"/>
      <c r="E104" s="106"/>
      <c r="F104" s="107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6"/>
    </row>
    <row r="105" ht="15.75" customHeight="1">
      <c r="A105" s="109"/>
      <c r="B105" s="104"/>
      <c r="C105" s="104"/>
      <c r="D105" s="105"/>
      <c r="E105" s="106"/>
      <c r="F105" s="107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6"/>
    </row>
    <row r="106" ht="15.75" customHeight="1">
      <c r="A106" s="109"/>
      <c r="B106" s="104"/>
      <c r="C106" s="104"/>
      <c r="D106" s="105"/>
      <c r="E106" s="106"/>
      <c r="F106" s="107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6"/>
    </row>
    <row r="107" ht="15.75" customHeight="1">
      <c r="A107" s="109"/>
      <c r="B107" s="104"/>
      <c r="C107" s="104"/>
      <c r="D107" s="105"/>
      <c r="E107" s="106"/>
      <c r="F107" s="107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6"/>
    </row>
    <row r="108" ht="15.75" customHeight="1">
      <c r="A108" s="109"/>
      <c r="B108" s="104"/>
      <c r="C108" s="104"/>
      <c r="D108" s="105"/>
      <c r="E108" s="106"/>
      <c r="F108" s="107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6"/>
    </row>
    <row r="109" ht="15.75" customHeight="1">
      <c r="A109" s="109"/>
      <c r="B109" s="104"/>
      <c r="C109" s="104"/>
      <c r="D109" s="105"/>
      <c r="E109" s="106"/>
      <c r="F109" s="107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6"/>
    </row>
    <row r="110" ht="15.75" customHeight="1">
      <c r="A110" s="109"/>
      <c r="B110" s="104"/>
      <c r="C110" s="104"/>
      <c r="D110" s="105"/>
      <c r="E110" s="106"/>
      <c r="F110" s="107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6"/>
    </row>
    <row r="111" ht="15.75" customHeight="1">
      <c r="A111" s="109"/>
      <c r="B111" s="104"/>
      <c r="C111" s="104"/>
      <c r="D111" s="105"/>
      <c r="E111" s="106"/>
      <c r="F111" s="107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6"/>
    </row>
    <row r="112" ht="15.75" customHeight="1">
      <c r="A112" s="109"/>
      <c r="B112" s="104"/>
      <c r="C112" s="104"/>
      <c r="D112" s="105"/>
      <c r="E112" s="106"/>
      <c r="F112" s="107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6"/>
    </row>
    <row r="113" ht="15.75" customHeight="1">
      <c r="A113" s="109"/>
      <c r="B113" s="104"/>
      <c r="C113" s="104"/>
      <c r="D113" s="105"/>
      <c r="E113" s="106"/>
      <c r="F113" s="107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6"/>
    </row>
    <row r="114" ht="15.75" customHeight="1">
      <c r="A114" s="109"/>
      <c r="B114" s="104"/>
      <c r="C114" s="104"/>
      <c r="D114" s="105"/>
      <c r="E114" s="106"/>
      <c r="F114" s="107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6"/>
    </row>
    <row r="115" ht="15.75" customHeight="1">
      <c r="A115" s="109"/>
      <c r="B115" s="104"/>
      <c r="C115" s="104"/>
      <c r="D115" s="105"/>
      <c r="E115" s="106"/>
      <c r="F115" s="107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6"/>
    </row>
    <row r="116" ht="15.75" customHeight="1">
      <c r="A116" s="109"/>
      <c r="B116" s="104"/>
      <c r="C116" s="104"/>
      <c r="D116" s="105"/>
      <c r="E116" s="106"/>
      <c r="F116" s="107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6"/>
    </row>
    <row r="117" ht="15.75" customHeight="1">
      <c r="A117" s="109"/>
      <c r="B117" s="104"/>
      <c r="C117" s="104"/>
      <c r="D117" s="105"/>
      <c r="E117" s="106"/>
      <c r="F117" s="107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6"/>
    </row>
    <row r="118" ht="15.75" customHeight="1">
      <c r="A118" s="109"/>
      <c r="B118" s="104"/>
      <c r="C118" s="104"/>
      <c r="D118" s="105"/>
      <c r="E118" s="106"/>
      <c r="F118" s="107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6"/>
    </row>
    <row r="119" ht="15.75" customHeight="1">
      <c r="A119" s="109"/>
      <c r="B119" s="104"/>
      <c r="C119" s="104"/>
      <c r="D119" s="105"/>
      <c r="E119" s="106"/>
      <c r="F119" s="107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6"/>
    </row>
    <row r="120" ht="15.75" customHeight="1">
      <c r="A120" s="109"/>
      <c r="B120" s="104"/>
      <c r="C120" s="104"/>
      <c r="D120" s="105"/>
      <c r="E120" s="106"/>
      <c r="F120" s="107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6"/>
    </row>
    <row r="121" ht="15.75" customHeight="1">
      <c r="A121" s="109"/>
      <c r="B121" s="104"/>
      <c r="C121" s="104"/>
      <c r="D121" s="105"/>
      <c r="E121" s="106"/>
      <c r="F121" s="107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6"/>
    </row>
    <row r="122" ht="15.75" customHeight="1">
      <c r="A122" s="109"/>
      <c r="B122" s="104"/>
      <c r="C122" s="104"/>
      <c r="D122" s="105"/>
      <c r="E122" s="106"/>
      <c r="F122" s="107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6"/>
    </row>
    <row r="123" ht="15.75" customHeight="1">
      <c r="A123" s="109"/>
      <c r="B123" s="104"/>
      <c r="C123" s="104"/>
      <c r="D123" s="105"/>
      <c r="E123" s="106"/>
      <c r="F123" s="107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6"/>
    </row>
    <row r="124" ht="15.75" customHeight="1">
      <c r="A124" s="109"/>
      <c r="B124" s="104"/>
      <c r="C124" s="104"/>
      <c r="D124" s="105"/>
      <c r="E124" s="106"/>
      <c r="F124" s="107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6"/>
    </row>
    <row r="125" ht="15.75" customHeight="1">
      <c r="A125" s="109"/>
      <c r="B125" s="104"/>
      <c r="C125" s="104"/>
      <c r="D125" s="105"/>
      <c r="E125" s="106"/>
      <c r="F125" s="107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6"/>
    </row>
    <row r="126" ht="15.75" customHeight="1">
      <c r="A126" s="109"/>
      <c r="B126" s="104"/>
      <c r="C126" s="104"/>
      <c r="D126" s="105"/>
      <c r="E126" s="106"/>
      <c r="F126" s="107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6"/>
    </row>
    <row r="127" ht="15.75" customHeight="1">
      <c r="A127" s="109"/>
      <c r="B127" s="104"/>
      <c r="C127" s="104"/>
      <c r="D127" s="105"/>
      <c r="E127" s="106"/>
      <c r="F127" s="107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6"/>
    </row>
    <row r="128" ht="15.75" customHeight="1">
      <c r="A128" s="109"/>
      <c r="B128" s="104"/>
      <c r="C128" s="104"/>
      <c r="D128" s="105"/>
      <c r="E128" s="106"/>
      <c r="F128" s="107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6"/>
    </row>
    <row r="129" ht="15.75" customHeight="1">
      <c r="A129" s="109"/>
      <c r="B129" s="104"/>
      <c r="C129" s="104"/>
      <c r="D129" s="105"/>
      <c r="E129" s="106"/>
      <c r="F129" s="107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6"/>
    </row>
    <row r="130" ht="15.75" customHeight="1">
      <c r="A130" s="109"/>
      <c r="B130" s="104"/>
      <c r="C130" s="104"/>
      <c r="D130" s="105"/>
      <c r="E130" s="106"/>
      <c r="F130" s="107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6"/>
    </row>
    <row r="131" ht="15.75" customHeight="1">
      <c r="A131" s="109"/>
      <c r="B131" s="104"/>
      <c r="C131" s="104"/>
      <c r="D131" s="105"/>
      <c r="E131" s="106"/>
      <c r="F131" s="107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6"/>
    </row>
    <row r="132" ht="15.75" customHeight="1">
      <c r="A132" s="109"/>
      <c r="B132" s="104"/>
      <c r="C132" s="104"/>
      <c r="D132" s="105"/>
      <c r="E132" s="106"/>
      <c r="F132" s="107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6"/>
    </row>
    <row r="133" ht="15.75" customHeight="1">
      <c r="A133" s="109"/>
      <c r="B133" s="104"/>
      <c r="C133" s="104"/>
      <c r="D133" s="105"/>
      <c r="E133" s="106"/>
      <c r="F133" s="107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6"/>
    </row>
    <row r="134" ht="15.75" customHeight="1">
      <c r="A134" s="109"/>
      <c r="B134" s="104"/>
      <c r="C134" s="104"/>
      <c r="D134" s="105"/>
      <c r="E134" s="106"/>
      <c r="F134" s="107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6"/>
    </row>
    <row r="135" ht="15.75" customHeight="1">
      <c r="A135" s="109"/>
      <c r="B135" s="104"/>
      <c r="C135" s="104"/>
      <c r="D135" s="105"/>
      <c r="E135" s="106"/>
      <c r="F135" s="107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6"/>
    </row>
    <row r="136" ht="15.75" customHeight="1">
      <c r="A136" s="109"/>
      <c r="B136" s="104"/>
      <c r="C136" s="104"/>
      <c r="D136" s="105"/>
      <c r="E136" s="106"/>
      <c r="F136" s="107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6"/>
    </row>
    <row r="137" ht="15.75" customHeight="1">
      <c r="A137" s="109"/>
      <c r="B137" s="104"/>
      <c r="C137" s="104"/>
      <c r="D137" s="105"/>
      <c r="E137" s="106"/>
      <c r="F137" s="107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6"/>
    </row>
    <row r="138" ht="15.75" customHeight="1">
      <c r="A138" s="109"/>
      <c r="B138" s="104"/>
      <c r="C138" s="104"/>
      <c r="D138" s="105"/>
      <c r="E138" s="106"/>
      <c r="F138" s="107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6"/>
    </row>
    <row r="139" ht="15.75" customHeight="1">
      <c r="A139" s="109"/>
      <c r="B139" s="104"/>
      <c r="C139" s="104"/>
      <c r="D139" s="105"/>
      <c r="E139" s="106"/>
      <c r="F139" s="107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6"/>
    </row>
    <row r="140" ht="15.75" customHeight="1">
      <c r="A140" s="109"/>
      <c r="B140" s="104"/>
      <c r="C140" s="104"/>
      <c r="D140" s="105"/>
      <c r="E140" s="106"/>
      <c r="F140" s="107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6"/>
    </row>
    <row r="141" ht="15.75" customHeight="1">
      <c r="A141" s="109"/>
      <c r="B141" s="104"/>
      <c r="C141" s="104"/>
      <c r="D141" s="105"/>
      <c r="E141" s="106"/>
      <c r="F141" s="107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6"/>
    </row>
    <row r="142" ht="15.75" customHeight="1">
      <c r="A142" s="109"/>
      <c r="B142" s="104"/>
      <c r="C142" s="104"/>
      <c r="D142" s="105"/>
      <c r="E142" s="106"/>
      <c r="F142" s="107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6"/>
    </row>
    <row r="143" ht="15.75" customHeight="1">
      <c r="A143" s="109"/>
      <c r="B143" s="104"/>
      <c r="C143" s="104"/>
      <c r="D143" s="105"/>
      <c r="E143" s="106"/>
      <c r="F143" s="107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6"/>
    </row>
    <row r="144" ht="15.75" customHeight="1">
      <c r="A144" s="109"/>
      <c r="B144" s="104"/>
      <c r="C144" s="104"/>
      <c r="D144" s="105"/>
      <c r="E144" s="106"/>
      <c r="F144" s="107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6"/>
    </row>
    <row r="145" ht="15.75" customHeight="1">
      <c r="A145" s="109"/>
      <c r="B145" s="104"/>
      <c r="C145" s="104"/>
      <c r="D145" s="105"/>
      <c r="E145" s="106"/>
      <c r="F145" s="107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6"/>
    </row>
    <row r="146" ht="15.75" customHeight="1">
      <c r="A146" s="109"/>
      <c r="B146" s="104"/>
      <c r="C146" s="104"/>
      <c r="D146" s="105"/>
      <c r="E146" s="106"/>
      <c r="F146" s="107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6"/>
    </row>
    <row r="147" ht="15.75" customHeight="1">
      <c r="A147" s="109"/>
      <c r="B147" s="104"/>
      <c r="C147" s="104"/>
      <c r="D147" s="105"/>
      <c r="E147" s="106"/>
      <c r="F147" s="107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6"/>
    </row>
    <row r="148" ht="15.75" customHeight="1">
      <c r="A148" s="109"/>
      <c r="B148" s="104"/>
      <c r="C148" s="104"/>
      <c r="D148" s="105"/>
      <c r="E148" s="106"/>
      <c r="F148" s="107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6"/>
    </row>
    <row r="149" ht="15.75" customHeight="1">
      <c r="A149" s="109"/>
      <c r="B149" s="104"/>
      <c r="C149" s="104"/>
      <c r="D149" s="105"/>
      <c r="E149" s="106"/>
      <c r="F149" s="107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6"/>
    </row>
    <row r="150" ht="15.75" customHeight="1">
      <c r="A150" s="109"/>
      <c r="B150" s="104"/>
      <c r="C150" s="104"/>
      <c r="D150" s="105"/>
      <c r="E150" s="106"/>
      <c r="F150" s="107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6"/>
    </row>
    <row r="151" ht="15.75" customHeight="1">
      <c r="A151" s="109"/>
      <c r="B151" s="104"/>
      <c r="C151" s="104"/>
      <c r="D151" s="105"/>
      <c r="E151" s="106"/>
      <c r="F151" s="107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6"/>
    </row>
    <row r="152" ht="15.75" customHeight="1">
      <c r="A152" s="109"/>
      <c r="B152" s="104"/>
      <c r="C152" s="104"/>
      <c r="D152" s="105"/>
      <c r="E152" s="106"/>
      <c r="F152" s="107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6"/>
    </row>
    <row r="153" ht="15.75" customHeight="1">
      <c r="A153" s="109"/>
      <c r="B153" s="104"/>
      <c r="C153" s="104"/>
      <c r="D153" s="105"/>
      <c r="E153" s="106"/>
      <c r="F153" s="107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6"/>
    </row>
    <row r="154" ht="15.75" customHeight="1">
      <c r="A154" s="109"/>
      <c r="B154" s="104"/>
      <c r="C154" s="104"/>
      <c r="D154" s="105"/>
      <c r="E154" s="106"/>
      <c r="F154" s="107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6"/>
    </row>
    <row r="155" ht="15.75" customHeight="1">
      <c r="A155" s="109"/>
      <c r="B155" s="104"/>
      <c r="C155" s="104"/>
      <c r="D155" s="105"/>
      <c r="E155" s="106"/>
      <c r="F155" s="107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6"/>
    </row>
    <row r="156" ht="15.75" customHeight="1">
      <c r="A156" s="109"/>
      <c r="B156" s="104"/>
      <c r="C156" s="104"/>
      <c r="D156" s="105"/>
      <c r="E156" s="106"/>
      <c r="F156" s="107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6"/>
    </row>
    <row r="157" ht="15.75" customHeight="1">
      <c r="A157" s="109"/>
      <c r="B157" s="104"/>
      <c r="C157" s="104"/>
      <c r="D157" s="105"/>
      <c r="E157" s="106"/>
      <c r="F157" s="107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6"/>
    </row>
    <row r="158" ht="15.75" customHeight="1">
      <c r="A158" s="109"/>
      <c r="B158" s="104"/>
      <c r="C158" s="104"/>
      <c r="D158" s="105"/>
      <c r="E158" s="106"/>
      <c r="F158" s="107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6"/>
    </row>
    <row r="159" ht="15.75" customHeight="1">
      <c r="A159" s="109"/>
      <c r="B159" s="104"/>
      <c r="C159" s="104"/>
      <c r="D159" s="105"/>
      <c r="E159" s="106"/>
      <c r="F159" s="107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6"/>
    </row>
    <row r="160" ht="15.75" customHeight="1">
      <c r="A160" s="109"/>
      <c r="B160" s="104"/>
      <c r="C160" s="104"/>
      <c r="D160" s="105"/>
      <c r="E160" s="106"/>
      <c r="F160" s="107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6"/>
    </row>
    <row r="161" ht="15.75" customHeight="1">
      <c r="A161" s="109"/>
      <c r="B161" s="104"/>
      <c r="C161" s="104"/>
      <c r="D161" s="105"/>
      <c r="E161" s="106"/>
      <c r="F161" s="107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6"/>
    </row>
    <row r="162" ht="15.75" customHeight="1">
      <c r="A162" s="109"/>
      <c r="B162" s="104"/>
      <c r="C162" s="104"/>
      <c r="D162" s="105"/>
      <c r="E162" s="106"/>
      <c r="F162" s="107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6"/>
    </row>
    <row r="163" ht="15.75" customHeight="1">
      <c r="A163" s="109"/>
      <c r="B163" s="104"/>
      <c r="C163" s="104"/>
      <c r="D163" s="105"/>
      <c r="E163" s="106"/>
      <c r="F163" s="107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6"/>
    </row>
    <row r="164" ht="15.75" customHeight="1">
      <c r="A164" s="109"/>
      <c r="B164" s="104"/>
      <c r="C164" s="104"/>
      <c r="D164" s="105"/>
      <c r="E164" s="106"/>
      <c r="F164" s="107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6"/>
    </row>
    <row r="165" ht="15.75" customHeight="1">
      <c r="A165" s="109"/>
      <c r="B165" s="104"/>
      <c r="C165" s="104"/>
      <c r="D165" s="105"/>
      <c r="E165" s="106"/>
      <c r="F165" s="107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6"/>
    </row>
    <row r="166" ht="15.75" customHeight="1">
      <c r="A166" s="109"/>
      <c r="B166" s="104"/>
      <c r="C166" s="104"/>
      <c r="D166" s="105"/>
      <c r="E166" s="106"/>
      <c r="F166" s="107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6"/>
    </row>
    <row r="167" ht="15.75" customHeight="1">
      <c r="A167" s="109"/>
      <c r="B167" s="104"/>
      <c r="C167" s="104"/>
      <c r="D167" s="105"/>
      <c r="E167" s="106"/>
      <c r="F167" s="107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6"/>
    </row>
    <row r="168" ht="15.75" customHeight="1">
      <c r="A168" s="109"/>
      <c r="B168" s="104"/>
      <c r="C168" s="104"/>
      <c r="D168" s="105"/>
      <c r="E168" s="106"/>
      <c r="F168" s="107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6"/>
    </row>
    <row r="169" ht="15.75" customHeight="1">
      <c r="A169" s="109"/>
      <c r="B169" s="104"/>
      <c r="C169" s="104"/>
      <c r="D169" s="105"/>
      <c r="E169" s="106"/>
      <c r="F169" s="107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6"/>
    </row>
    <row r="170" ht="15.75" customHeight="1">
      <c r="A170" s="109"/>
      <c r="B170" s="104"/>
      <c r="C170" s="104"/>
      <c r="D170" s="105"/>
      <c r="E170" s="106"/>
      <c r="F170" s="107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6"/>
    </row>
    <row r="171" ht="15.75" customHeight="1">
      <c r="A171" s="109"/>
      <c r="B171" s="104"/>
      <c r="C171" s="104"/>
      <c r="D171" s="105"/>
      <c r="E171" s="106"/>
      <c r="F171" s="107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6"/>
    </row>
    <row r="172" ht="15.75" customHeight="1">
      <c r="A172" s="109"/>
      <c r="B172" s="104"/>
      <c r="C172" s="104"/>
      <c r="D172" s="105"/>
      <c r="E172" s="106"/>
      <c r="F172" s="107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6"/>
    </row>
    <row r="173" ht="15.75" customHeight="1">
      <c r="A173" s="109"/>
      <c r="B173" s="104"/>
      <c r="C173" s="104"/>
      <c r="D173" s="105"/>
      <c r="E173" s="106"/>
      <c r="F173" s="107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6"/>
    </row>
    <row r="174" ht="15.75" customHeight="1">
      <c r="A174" s="109"/>
      <c r="B174" s="104"/>
      <c r="C174" s="104"/>
      <c r="D174" s="105"/>
      <c r="E174" s="106"/>
      <c r="F174" s="107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6"/>
    </row>
    <row r="175" ht="15.75" customHeight="1">
      <c r="A175" s="109"/>
      <c r="B175" s="104"/>
      <c r="C175" s="104"/>
      <c r="D175" s="105"/>
      <c r="E175" s="106"/>
      <c r="F175" s="107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6"/>
    </row>
    <row r="176" ht="15.75" customHeight="1">
      <c r="A176" s="109"/>
      <c r="B176" s="104"/>
      <c r="C176" s="104"/>
      <c r="D176" s="105"/>
      <c r="E176" s="106"/>
      <c r="F176" s="107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6"/>
    </row>
    <row r="177" ht="15.75" customHeight="1">
      <c r="A177" s="109"/>
      <c r="B177" s="104"/>
      <c r="C177" s="104"/>
      <c r="D177" s="105"/>
      <c r="E177" s="106"/>
      <c r="F177" s="107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6"/>
    </row>
    <row r="178" ht="15.75" customHeight="1">
      <c r="A178" s="109"/>
      <c r="B178" s="104"/>
      <c r="C178" s="104"/>
      <c r="D178" s="105"/>
      <c r="E178" s="106"/>
      <c r="F178" s="107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6"/>
    </row>
    <row r="179" ht="15.75" customHeight="1">
      <c r="A179" s="109"/>
      <c r="B179" s="104"/>
      <c r="C179" s="104"/>
      <c r="D179" s="105"/>
      <c r="E179" s="106"/>
      <c r="F179" s="107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6"/>
    </row>
    <row r="180" ht="15.75" customHeight="1">
      <c r="A180" s="109"/>
      <c r="B180" s="104"/>
      <c r="C180" s="104"/>
      <c r="D180" s="105"/>
      <c r="E180" s="106"/>
      <c r="F180" s="107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6"/>
    </row>
    <row r="181" ht="15.75" customHeight="1">
      <c r="A181" s="109"/>
      <c r="B181" s="104"/>
      <c r="C181" s="104"/>
      <c r="D181" s="105"/>
      <c r="E181" s="106"/>
      <c r="F181" s="107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6"/>
    </row>
    <row r="182" ht="15.75" customHeight="1">
      <c r="A182" s="109"/>
      <c r="B182" s="104"/>
      <c r="C182" s="104"/>
      <c r="D182" s="105"/>
      <c r="E182" s="106"/>
      <c r="F182" s="107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6"/>
    </row>
    <row r="183" ht="15.75" customHeight="1">
      <c r="A183" s="109"/>
      <c r="B183" s="104"/>
      <c r="C183" s="104"/>
      <c r="D183" s="105"/>
      <c r="E183" s="106"/>
      <c r="F183" s="107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6"/>
    </row>
    <row r="184" ht="15.75" customHeight="1">
      <c r="A184" s="109"/>
      <c r="B184" s="104"/>
      <c r="C184" s="104"/>
      <c r="D184" s="105"/>
      <c r="E184" s="106"/>
      <c r="F184" s="107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6"/>
    </row>
    <row r="185" ht="15.75" customHeight="1">
      <c r="A185" s="109"/>
      <c r="B185" s="104"/>
      <c r="C185" s="104"/>
      <c r="D185" s="105"/>
      <c r="E185" s="106"/>
      <c r="F185" s="107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6"/>
    </row>
    <row r="186" ht="15.75" customHeight="1">
      <c r="A186" s="109"/>
      <c r="B186" s="104"/>
      <c r="C186" s="104"/>
      <c r="D186" s="105"/>
      <c r="E186" s="106"/>
      <c r="F186" s="107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6"/>
    </row>
    <row r="187" ht="15.75" customHeight="1">
      <c r="A187" s="109"/>
      <c r="B187" s="104"/>
      <c r="C187" s="104"/>
      <c r="D187" s="105"/>
      <c r="E187" s="106"/>
      <c r="F187" s="107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6"/>
    </row>
    <row r="188" ht="15.75" customHeight="1">
      <c r="A188" s="109"/>
      <c r="B188" s="104"/>
      <c r="C188" s="104"/>
      <c r="D188" s="105"/>
      <c r="E188" s="106"/>
      <c r="F188" s="107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6"/>
    </row>
    <row r="189" ht="15.75" customHeight="1">
      <c r="A189" s="109"/>
      <c r="B189" s="104"/>
      <c r="C189" s="104"/>
      <c r="D189" s="105"/>
      <c r="E189" s="106"/>
      <c r="F189" s="107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6"/>
    </row>
    <row r="190" ht="15.75" customHeight="1">
      <c r="A190" s="109"/>
      <c r="B190" s="104"/>
      <c r="C190" s="104"/>
      <c r="D190" s="105"/>
      <c r="E190" s="106"/>
      <c r="F190" s="107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6"/>
    </row>
    <row r="191" ht="15.75" customHeight="1">
      <c r="A191" s="109"/>
      <c r="B191" s="104"/>
      <c r="C191" s="104"/>
      <c r="D191" s="105"/>
      <c r="E191" s="106"/>
      <c r="F191" s="107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6"/>
    </row>
    <row r="192" ht="15.75" customHeight="1">
      <c r="A192" s="109"/>
      <c r="B192" s="104"/>
      <c r="C192" s="104"/>
      <c r="D192" s="105"/>
      <c r="E192" s="106"/>
      <c r="F192" s="107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6"/>
    </row>
    <row r="193" ht="15.75" customHeight="1">
      <c r="A193" s="109"/>
      <c r="B193" s="104"/>
      <c r="C193" s="104"/>
      <c r="D193" s="105"/>
      <c r="E193" s="106"/>
      <c r="F193" s="107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6"/>
    </row>
    <row r="194" ht="15.75" customHeight="1">
      <c r="A194" s="109"/>
      <c r="B194" s="104"/>
      <c r="C194" s="104"/>
      <c r="D194" s="105"/>
      <c r="E194" s="106"/>
      <c r="F194" s="107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6"/>
    </row>
    <row r="195" ht="15.75" customHeight="1">
      <c r="A195" s="109"/>
      <c r="B195" s="104"/>
      <c r="C195" s="104"/>
      <c r="D195" s="105"/>
      <c r="E195" s="106"/>
      <c r="F195" s="107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6"/>
    </row>
    <row r="196" ht="15.75" customHeight="1">
      <c r="A196" s="109"/>
      <c r="B196" s="104"/>
      <c r="C196" s="104"/>
      <c r="D196" s="105"/>
      <c r="E196" s="106"/>
      <c r="F196" s="107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6"/>
    </row>
    <row r="197" ht="15.75" customHeight="1">
      <c r="A197" s="109"/>
      <c r="B197" s="104"/>
      <c r="C197" s="104"/>
      <c r="D197" s="105"/>
      <c r="E197" s="106"/>
      <c r="F197" s="107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6"/>
    </row>
    <row r="198" ht="15.75" customHeight="1">
      <c r="A198" s="109"/>
      <c r="B198" s="104"/>
      <c r="C198" s="104"/>
      <c r="D198" s="105"/>
      <c r="E198" s="106"/>
      <c r="F198" s="107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6"/>
    </row>
    <row r="199" ht="15.75" customHeight="1">
      <c r="A199" s="109"/>
      <c r="B199" s="104"/>
      <c r="C199" s="104"/>
      <c r="D199" s="105"/>
      <c r="E199" s="106"/>
      <c r="F199" s="107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6"/>
    </row>
    <row r="200" ht="15.75" customHeight="1">
      <c r="A200" s="109"/>
      <c r="B200" s="104"/>
      <c r="C200" s="104"/>
      <c r="D200" s="105"/>
      <c r="E200" s="106"/>
      <c r="F200" s="107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6"/>
    </row>
    <row r="201" ht="15.75" customHeight="1">
      <c r="A201" s="109"/>
      <c r="B201" s="104"/>
      <c r="C201" s="104"/>
      <c r="D201" s="105"/>
      <c r="E201" s="106"/>
      <c r="F201" s="107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6"/>
    </row>
    <row r="202" ht="15.75" customHeight="1">
      <c r="A202" s="109"/>
      <c r="B202" s="104"/>
      <c r="C202" s="104"/>
      <c r="D202" s="105"/>
      <c r="E202" s="106"/>
      <c r="F202" s="107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6"/>
    </row>
    <row r="203" ht="15.75" customHeight="1">
      <c r="A203" s="109"/>
      <c r="B203" s="104"/>
      <c r="C203" s="104"/>
      <c r="D203" s="105"/>
      <c r="E203" s="106"/>
      <c r="F203" s="107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6"/>
    </row>
    <row r="204" ht="15.75" customHeight="1">
      <c r="A204" s="109"/>
      <c r="B204" s="104"/>
      <c r="C204" s="104"/>
      <c r="D204" s="105"/>
      <c r="E204" s="106"/>
      <c r="F204" s="107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6"/>
    </row>
    <row r="205" ht="15.75" customHeight="1">
      <c r="A205" s="109"/>
      <c r="B205" s="104"/>
      <c r="C205" s="104"/>
      <c r="D205" s="105"/>
      <c r="E205" s="106"/>
      <c r="F205" s="107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6"/>
    </row>
    <row r="206" ht="15.75" customHeight="1">
      <c r="A206" s="109"/>
      <c r="B206" s="104"/>
      <c r="C206" s="104"/>
      <c r="D206" s="105"/>
      <c r="E206" s="106"/>
      <c r="F206" s="107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6"/>
    </row>
    <row r="207" ht="15.75" customHeight="1">
      <c r="A207" s="109"/>
      <c r="B207" s="104"/>
      <c r="C207" s="104"/>
      <c r="D207" s="105"/>
      <c r="E207" s="106"/>
      <c r="F207" s="107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6"/>
    </row>
    <row r="208" ht="15.75" customHeight="1">
      <c r="A208" s="109"/>
      <c r="B208" s="104"/>
      <c r="C208" s="104"/>
      <c r="D208" s="105"/>
      <c r="E208" s="106"/>
      <c r="F208" s="107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6"/>
    </row>
    <row r="209" ht="15.75" customHeight="1">
      <c r="A209" s="109"/>
      <c r="B209" s="104"/>
      <c r="C209" s="104"/>
      <c r="D209" s="105"/>
      <c r="E209" s="106"/>
      <c r="F209" s="107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6"/>
    </row>
    <row r="210" ht="15.75" customHeight="1">
      <c r="A210" s="109"/>
      <c r="B210" s="104"/>
      <c r="C210" s="104"/>
      <c r="D210" s="105"/>
      <c r="E210" s="106"/>
      <c r="F210" s="107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6"/>
    </row>
    <row r="211" ht="15.75" customHeight="1">
      <c r="A211" s="109"/>
      <c r="B211" s="104"/>
      <c r="C211" s="104"/>
      <c r="D211" s="105"/>
      <c r="E211" s="106"/>
      <c r="F211" s="107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6"/>
    </row>
    <row r="212" ht="15.75" customHeight="1">
      <c r="A212" s="109"/>
      <c r="B212" s="104"/>
      <c r="C212" s="104"/>
      <c r="D212" s="105"/>
      <c r="E212" s="106"/>
      <c r="F212" s="107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6"/>
    </row>
    <row r="213" ht="15.75" customHeight="1">
      <c r="A213" s="109"/>
      <c r="B213" s="104"/>
      <c r="C213" s="104"/>
      <c r="D213" s="105"/>
      <c r="E213" s="106"/>
      <c r="F213" s="107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6"/>
    </row>
    <row r="214" ht="15.75" customHeight="1">
      <c r="A214" s="109"/>
      <c r="B214" s="104"/>
      <c r="C214" s="104"/>
      <c r="D214" s="105"/>
      <c r="E214" s="106"/>
      <c r="F214" s="107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6"/>
    </row>
    <row r="215" ht="15.75" customHeight="1">
      <c r="A215" s="109"/>
      <c r="B215" s="104"/>
      <c r="C215" s="104"/>
      <c r="D215" s="105"/>
      <c r="E215" s="106"/>
      <c r="F215" s="107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6"/>
    </row>
    <row r="216" ht="15.75" customHeight="1">
      <c r="A216" s="109"/>
      <c r="B216" s="104"/>
      <c r="C216" s="104"/>
      <c r="D216" s="105"/>
      <c r="E216" s="106"/>
      <c r="F216" s="107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6"/>
    </row>
    <row r="217" ht="15.75" customHeight="1">
      <c r="A217" s="109"/>
      <c r="B217" s="104"/>
      <c r="C217" s="104"/>
      <c r="D217" s="105"/>
      <c r="E217" s="106"/>
      <c r="F217" s="107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6"/>
    </row>
    <row r="218" ht="15.75" customHeight="1">
      <c r="A218" s="109"/>
      <c r="B218" s="104"/>
      <c r="C218" s="104"/>
      <c r="D218" s="105"/>
      <c r="E218" s="106"/>
      <c r="F218" s="107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6"/>
    </row>
    <row r="219" ht="15.75" customHeight="1">
      <c r="A219" s="109"/>
      <c r="B219" s="104"/>
      <c r="C219" s="104"/>
      <c r="D219" s="105"/>
      <c r="E219" s="106"/>
      <c r="F219" s="107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6"/>
    </row>
    <row r="220" ht="15.75" customHeight="1">
      <c r="A220" s="109"/>
      <c r="B220" s="104"/>
      <c r="C220" s="104"/>
      <c r="D220" s="105"/>
      <c r="E220" s="106"/>
      <c r="F220" s="107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6"/>
    </row>
    <row r="221" ht="15.75" customHeight="1">
      <c r="A221" s="109"/>
      <c r="B221" s="104"/>
      <c r="C221" s="104"/>
      <c r="D221" s="105"/>
      <c r="E221" s="106"/>
      <c r="F221" s="107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6"/>
    </row>
    <row r="222" ht="15.75" customHeight="1">
      <c r="A222" s="109"/>
      <c r="B222" s="104"/>
      <c r="C222" s="104"/>
      <c r="D222" s="105"/>
      <c r="E222" s="106"/>
      <c r="F222" s="107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6"/>
    </row>
    <row r="223" ht="15.75" customHeight="1">
      <c r="A223" s="109"/>
      <c r="B223" s="104"/>
      <c r="C223" s="104"/>
      <c r="D223" s="105"/>
      <c r="E223" s="106"/>
      <c r="F223" s="107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6"/>
    </row>
    <row r="224" ht="15.75" customHeight="1">
      <c r="A224" s="109"/>
      <c r="B224" s="104"/>
      <c r="C224" s="104"/>
      <c r="D224" s="105"/>
      <c r="E224" s="106"/>
      <c r="F224" s="107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6"/>
    </row>
    <row r="225" ht="15.75" customHeight="1">
      <c r="A225" s="109"/>
      <c r="B225" s="104"/>
      <c r="C225" s="104"/>
      <c r="D225" s="105"/>
      <c r="E225" s="106"/>
      <c r="F225" s="107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6"/>
    </row>
    <row r="226" ht="15.75" customHeight="1">
      <c r="A226" s="109"/>
      <c r="B226" s="104"/>
      <c r="C226" s="104"/>
      <c r="D226" s="105"/>
      <c r="E226" s="106"/>
      <c r="F226" s="107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6"/>
    </row>
    <row r="227" ht="15.75" customHeight="1">
      <c r="A227" s="109"/>
      <c r="B227" s="104"/>
      <c r="C227" s="104"/>
      <c r="D227" s="105"/>
      <c r="E227" s="106"/>
      <c r="F227" s="107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6"/>
    </row>
    <row r="228" ht="15.75" customHeight="1">
      <c r="A228" s="109"/>
      <c r="B228" s="104"/>
      <c r="C228" s="104"/>
      <c r="D228" s="105"/>
      <c r="E228" s="106"/>
      <c r="F228" s="107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6"/>
    </row>
    <row r="229" ht="15.75" customHeight="1">
      <c r="A229" s="109"/>
      <c r="B229" s="104"/>
      <c r="C229" s="104"/>
      <c r="D229" s="105"/>
      <c r="E229" s="106"/>
      <c r="F229" s="107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6"/>
    </row>
    <row r="230" ht="15.75" customHeight="1">
      <c r="A230" s="109"/>
      <c r="B230" s="104"/>
      <c r="C230" s="104"/>
      <c r="D230" s="105"/>
      <c r="E230" s="106"/>
      <c r="F230" s="107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6"/>
    </row>
    <row r="231" ht="15.75" customHeight="1">
      <c r="A231" s="109"/>
      <c r="B231" s="104"/>
      <c r="C231" s="104"/>
      <c r="D231" s="105"/>
      <c r="E231" s="106"/>
      <c r="F231" s="107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6"/>
    </row>
    <row r="232" ht="15.75" customHeight="1">
      <c r="A232" s="109"/>
      <c r="B232" s="104"/>
      <c r="C232" s="104"/>
      <c r="D232" s="105"/>
      <c r="E232" s="106"/>
      <c r="F232" s="107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6"/>
    </row>
    <row r="233" ht="15.75" customHeight="1">
      <c r="A233" s="109"/>
      <c r="B233" s="104"/>
      <c r="C233" s="104"/>
      <c r="D233" s="105"/>
      <c r="E233" s="106"/>
      <c r="F233" s="107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6"/>
    </row>
    <row r="234" ht="15.75" customHeight="1">
      <c r="A234" s="109"/>
      <c r="B234" s="104"/>
      <c r="C234" s="104"/>
      <c r="D234" s="105"/>
      <c r="E234" s="106"/>
      <c r="F234" s="107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6"/>
    </row>
    <row r="235" ht="15.75" customHeight="1">
      <c r="A235" s="109"/>
      <c r="B235" s="104"/>
      <c r="C235" s="104"/>
      <c r="D235" s="105"/>
      <c r="E235" s="106"/>
      <c r="F235" s="107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6"/>
    </row>
    <row r="236" ht="15.75" customHeight="1">
      <c r="A236" s="109"/>
      <c r="B236" s="104"/>
      <c r="C236" s="104"/>
      <c r="D236" s="105"/>
      <c r="E236" s="106"/>
      <c r="F236" s="107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6"/>
    </row>
    <row r="237" ht="15.75" customHeight="1">
      <c r="A237" s="109"/>
      <c r="B237" s="104"/>
      <c r="C237" s="104"/>
      <c r="D237" s="105"/>
      <c r="E237" s="106"/>
      <c r="F237" s="107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6"/>
    </row>
    <row r="238" ht="15.75" customHeight="1">
      <c r="A238" s="109"/>
      <c r="B238" s="104"/>
      <c r="C238" s="104"/>
      <c r="D238" s="105"/>
      <c r="E238" s="106"/>
      <c r="F238" s="107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6"/>
    </row>
    <row r="239" ht="15.75" customHeight="1">
      <c r="A239" s="109"/>
      <c r="B239" s="104"/>
      <c r="C239" s="104"/>
      <c r="D239" s="105"/>
      <c r="E239" s="106"/>
      <c r="F239" s="107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6"/>
    </row>
    <row r="240" ht="15.75" customHeight="1">
      <c r="A240" s="109"/>
      <c r="B240" s="104"/>
      <c r="C240" s="104"/>
      <c r="D240" s="105"/>
      <c r="E240" s="106"/>
      <c r="F240" s="107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6"/>
    </row>
    <row r="241" ht="15.75" customHeight="1">
      <c r="A241" s="109"/>
      <c r="B241" s="104"/>
      <c r="C241" s="104"/>
      <c r="D241" s="105"/>
      <c r="E241" s="106"/>
      <c r="F241" s="107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6"/>
    </row>
    <row r="242" ht="15.75" customHeight="1">
      <c r="A242" s="109"/>
      <c r="B242" s="104"/>
      <c r="C242" s="104"/>
      <c r="D242" s="105"/>
      <c r="E242" s="106"/>
      <c r="F242" s="107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6"/>
    </row>
    <row r="243" ht="15.75" customHeight="1">
      <c r="A243" s="109"/>
      <c r="B243" s="104"/>
      <c r="C243" s="104"/>
      <c r="D243" s="105"/>
      <c r="E243" s="106"/>
      <c r="F243" s="107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6"/>
    </row>
    <row r="244" ht="15.75" customHeight="1">
      <c r="A244" s="109"/>
      <c r="B244" s="104"/>
      <c r="C244" s="104"/>
      <c r="D244" s="105"/>
      <c r="E244" s="106"/>
      <c r="F244" s="107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6"/>
    </row>
    <row r="245" ht="15.75" customHeight="1">
      <c r="A245" s="109"/>
      <c r="B245" s="104"/>
      <c r="C245" s="104"/>
      <c r="D245" s="105"/>
      <c r="E245" s="106"/>
      <c r="F245" s="107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6"/>
    </row>
    <row r="246" ht="15.75" customHeight="1">
      <c r="A246" s="109"/>
      <c r="B246" s="104"/>
      <c r="C246" s="104"/>
      <c r="D246" s="105"/>
      <c r="E246" s="106"/>
      <c r="F246" s="107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6"/>
    </row>
    <row r="247" ht="15.75" customHeight="1">
      <c r="A247" s="109"/>
      <c r="B247" s="104"/>
      <c r="C247" s="104"/>
      <c r="D247" s="105"/>
      <c r="E247" s="106"/>
      <c r="F247" s="107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6"/>
    </row>
    <row r="248" ht="15.75" customHeight="1">
      <c r="A248" s="109"/>
      <c r="B248" s="104"/>
      <c r="C248" s="104"/>
      <c r="D248" s="105"/>
      <c r="E248" s="106"/>
      <c r="F248" s="107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6"/>
    </row>
    <row r="249" ht="15.75" customHeight="1">
      <c r="A249" s="109"/>
      <c r="B249" s="104"/>
      <c r="C249" s="104"/>
      <c r="D249" s="105"/>
      <c r="E249" s="106"/>
      <c r="F249" s="107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6"/>
    </row>
    <row r="250" ht="15.75" customHeight="1">
      <c r="A250" s="109"/>
      <c r="B250" s="104"/>
      <c r="C250" s="104"/>
      <c r="D250" s="105"/>
      <c r="E250" s="106"/>
      <c r="F250" s="107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6"/>
    </row>
    <row r="251" ht="15.75" customHeight="1">
      <c r="A251" s="109"/>
      <c r="B251" s="104"/>
      <c r="C251" s="104"/>
      <c r="D251" s="105"/>
      <c r="E251" s="106"/>
      <c r="F251" s="107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6"/>
    </row>
    <row r="252" ht="15.75" customHeight="1">
      <c r="A252" s="109"/>
      <c r="B252" s="104"/>
      <c r="C252" s="104"/>
      <c r="D252" s="105"/>
      <c r="E252" s="106"/>
      <c r="F252" s="107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6"/>
    </row>
    <row r="253" ht="15.75" customHeight="1">
      <c r="A253" s="109"/>
      <c r="B253" s="104"/>
      <c r="C253" s="104"/>
      <c r="D253" s="105"/>
      <c r="E253" s="106"/>
      <c r="F253" s="107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6"/>
    </row>
    <row r="254" ht="15.75" customHeight="1">
      <c r="A254" s="109"/>
      <c r="B254" s="104"/>
      <c r="C254" s="104"/>
      <c r="D254" s="105"/>
      <c r="E254" s="106"/>
      <c r="F254" s="107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6"/>
    </row>
    <row r="255" ht="15.75" customHeight="1">
      <c r="A255" s="109"/>
      <c r="B255" s="104"/>
      <c r="C255" s="104"/>
      <c r="D255" s="105"/>
      <c r="E255" s="106"/>
      <c r="F255" s="107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6"/>
    </row>
    <row r="256" ht="15.75" customHeight="1">
      <c r="A256" s="109"/>
      <c r="B256" s="104"/>
      <c r="C256" s="104"/>
      <c r="D256" s="105"/>
      <c r="E256" s="106"/>
      <c r="F256" s="107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6"/>
    </row>
    <row r="257" ht="15.75" customHeight="1">
      <c r="A257" s="109"/>
      <c r="B257" s="104"/>
      <c r="C257" s="104"/>
      <c r="D257" s="105"/>
      <c r="E257" s="106"/>
      <c r="F257" s="107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6"/>
    </row>
    <row r="258" ht="15.75" customHeight="1">
      <c r="A258" s="109"/>
      <c r="B258" s="104"/>
      <c r="C258" s="104"/>
      <c r="D258" s="105"/>
      <c r="E258" s="106"/>
      <c r="F258" s="107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6"/>
    </row>
    <row r="259" ht="15.75" customHeight="1">
      <c r="A259" s="109"/>
      <c r="B259" s="104"/>
      <c r="C259" s="104"/>
      <c r="D259" s="105"/>
      <c r="E259" s="106"/>
      <c r="F259" s="107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6"/>
    </row>
    <row r="260" ht="15.75" customHeight="1">
      <c r="A260" s="109"/>
      <c r="B260" s="104"/>
      <c r="C260" s="104"/>
      <c r="D260" s="105"/>
      <c r="E260" s="106"/>
      <c r="F260" s="107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6"/>
    </row>
    <row r="261" ht="15.75" customHeight="1">
      <c r="A261" s="109"/>
      <c r="B261" s="104"/>
      <c r="C261" s="104"/>
      <c r="D261" s="105"/>
      <c r="E261" s="106"/>
      <c r="F261" s="107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6"/>
    </row>
    <row r="262" ht="15.75" customHeight="1">
      <c r="A262" s="109"/>
      <c r="B262" s="104"/>
      <c r="C262" s="104"/>
      <c r="D262" s="105"/>
      <c r="E262" s="106"/>
      <c r="F262" s="107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6"/>
    </row>
    <row r="263" ht="15.75" customHeight="1">
      <c r="A263" s="109"/>
      <c r="B263" s="104"/>
      <c r="C263" s="104"/>
      <c r="D263" s="105"/>
      <c r="E263" s="106"/>
      <c r="F263" s="107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6"/>
    </row>
    <row r="264" ht="15.75" customHeight="1">
      <c r="A264" s="109"/>
      <c r="B264" s="104"/>
      <c r="C264" s="104"/>
      <c r="D264" s="105"/>
      <c r="E264" s="106"/>
      <c r="F264" s="107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6"/>
    </row>
    <row r="265" ht="15.75" customHeight="1">
      <c r="A265" s="109"/>
      <c r="B265" s="104"/>
      <c r="C265" s="104"/>
      <c r="D265" s="105"/>
      <c r="E265" s="106"/>
      <c r="F265" s="107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6"/>
    </row>
    <row r="266" ht="15.75" customHeight="1">
      <c r="A266" s="109"/>
      <c r="B266" s="104"/>
      <c r="C266" s="104"/>
      <c r="D266" s="105"/>
      <c r="E266" s="106"/>
      <c r="F266" s="107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6"/>
    </row>
    <row r="267" ht="15.75" customHeight="1">
      <c r="A267" s="109"/>
      <c r="B267" s="104"/>
      <c r="C267" s="104"/>
      <c r="D267" s="105"/>
      <c r="E267" s="106"/>
      <c r="F267" s="107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6"/>
    </row>
    <row r="268" ht="15.75" customHeight="1">
      <c r="A268" s="109"/>
      <c r="B268" s="104"/>
      <c r="C268" s="104"/>
      <c r="D268" s="105"/>
      <c r="E268" s="106"/>
      <c r="F268" s="107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6"/>
    </row>
    <row r="269" ht="15.75" customHeight="1">
      <c r="A269" s="109"/>
      <c r="B269" s="104"/>
      <c r="C269" s="104"/>
      <c r="D269" s="105"/>
      <c r="E269" s="106"/>
      <c r="F269" s="107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6"/>
    </row>
    <row r="270" ht="15.75" customHeight="1">
      <c r="A270" s="109"/>
      <c r="B270" s="104"/>
      <c r="C270" s="104"/>
      <c r="D270" s="105"/>
      <c r="E270" s="106"/>
      <c r="F270" s="107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6"/>
    </row>
    <row r="271" ht="15.75" customHeight="1">
      <c r="A271" s="109"/>
      <c r="B271" s="104"/>
      <c r="C271" s="104"/>
      <c r="D271" s="105"/>
      <c r="E271" s="106"/>
      <c r="F271" s="107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6"/>
    </row>
    <row r="272" ht="15.75" customHeight="1">
      <c r="A272" s="109"/>
      <c r="B272" s="104"/>
      <c r="C272" s="104"/>
      <c r="D272" s="105"/>
      <c r="E272" s="106"/>
      <c r="F272" s="107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6"/>
    </row>
    <row r="273" ht="15.75" customHeight="1">
      <c r="A273" s="109"/>
      <c r="B273" s="104"/>
      <c r="C273" s="104"/>
      <c r="D273" s="105"/>
      <c r="E273" s="106"/>
      <c r="F273" s="107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6"/>
    </row>
    <row r="274" ht="15.75" customHeight="1">
      <c r="A274" s="109"/>
      <c r="B274" s="104"/>
      <c r="C274" s="104"/>
      <c r="D274" s="105"/>
      <c r="E274" s="106"/>
      <c r="F274" s="107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6"/>
    </row>
    <row r="275" ht="15.75" customHeight="1">
      <c r="A275" s="109"/>
      <c r="B275" s="104"/>
      <c r="C275" s="104"/>
      <c r="D275" s="105"/>
      <c r="E275" s="106"/>
      <c r="F275" s="107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6"/>
    </row>
    <row r="276" ht="15.75" customHeight="1">
      <c r="A276" s="109"/>
      <c r="B276" s="104"/>
      <c r="C276" s="104"/>
      <c r="D276" s="105"/>
      <c r="E276" s="106"/>
      <c r="F276" s="107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6"/>
    </row>
    <row r="277" ht="15.75" customHeight="1">
      <c r="A277" s="109"/>
      <c r="B277" s="104"/>
      <c r="C277" s="104"/>
      <c r="D277" s="105"/>
      <c r="E277" s="106"/>
      <c r="F277" s="107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6"/>
    </row>
    <row r="278" ht="15.75" customHeight="1">
      <c r="A278" s="109"/>
      <c r="B278" s="104"/>
      <c r="C278" s="104"/>
      <c r="D278" s="105"/>
      <c r="E278" s="106"/>
      <c r="F278" s="107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6"/>
    </row>
    <row r="279" ht="15.75" customHeight="1">
      <c r="A279" s="109"/>
      <c r="B279" s="104"/>
      <c r="C279" s="104"/>
      <c r="D279" s="105"/>
      <c r="E279" s="106"/>
      <c r="F279" s="107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6"/>
    </row>
    <row r="280" ht="15.75" customHeight="1">
      <c r="A280" s="109"/>
      <c r="B280" s="104"/>
      <c r="C280" s="104"/>
      <c r="D280" s="105"/>
      <c r="E280" s="106"/>
      <c r="F280" s="107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6"/>
    </row>
    <row r="281" ht="15.75" customHeight="1">
      <c r="A281" s="109"/>
      <c r="B281" s="104"/>
      <c r="C281" s="104"/>
      <c r="D281" s="105"/>
      <c r="E281" s="106"/>
      <c r="F281" s="107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6"/>
    </row>
    <row r="282" ht="15.75" customHeight="1">
      <c r="A282" s="109"/>
      <c r="B282" s="104"/>
      <c r="C282" s="104"/>
      <c r="D282" s="105"/>
      <c r="E282" s="106"/>
      <c r="F282" s="107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6"/>
    </row>
    <row r="283" ht="15.75" customHeight="1">
      <c r="A283" s="109"/>
      <c r="B283" s="104"/>
      <c r="C283" s="104"/>
      <c r="D283" s="105"/>
      <c r="E283" s="106"/>
      <c r="F283" s="107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6"/>
    </row>
    <row r="284" ht="15.75" customHeight="1">
      <c r="A284" s="109"/>
      <c r="B284" s="104"/>
      <c r="C284" s="104"/>
      <c r="D284" s="105"/>
      <c r="E284" s="106"/>
      <c r="F284" s="107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6"/>
    </row>
    <row r="285" ht="15.75" customHeight="1">
      <c r="A285" s="109"/>
      <c r="B285" s="104"/>
      <c r="C285" s="104"/>
      <c r="D285" s="105"/>
      <c r="E285" s="106"/>
      <c r="F285" s="107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6"/>
    </row>
    <row r="286" ht="15.75" customHeight="1">
      <c r="A286" s="109"/>
      <c r="B286" s="104"/>
      <c r="C286" s="104"/>
      <c r="D286" s="105"/>
      <c r="E286" s="106"/>
      <c r="F286" s="107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6"/>
    </row>
    <row r="287" ht="15.75" customHeight="1">
      <c r="A287" s="109"/>
      <c r="B287" s="104"/>
      <c r="C287" s="104"/>
      <c r="D287" s="105"/>
      <c r="E287" s="106"/>
      <c r="F287" s="107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6"/>
    </row>
    <row r="288" ht="15.75" customHeight="1">
      <c r="A288" s="109"/>
      <c r="B288" s="104"/>
      <c r="C288" s="104"/>
      <c r="D288" s="105"/>
      <c r="E288" s="106"/>
      <c r="F288" s="107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6"/>
    </row>
    <row r="289" ht="15.75" customHeight="1">
      <c r="A289" s="109"/>
      <c r="B289" s="104"/>
      <c r="C289" s="104"/>
      <c r="D289" s="105"/>
      <c r="E289" s="106"/>
      <c r="F289" s="107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6"/>
    </row>
    <row r="290" ht="15.75" customHeight="1">
      <c r="A290" s="109"/>
      <c r="B290" s="104"/>
      <c r="C290" s="104"/>
      <c r="D290" s="105"/>
      <c r="E290" s="106"/>
      <c r="F290" s="107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6"/>
    </row>
    <row r="291" ht="15.75" customHeight="1">
      <c r="A291" s="109"/>
      <c r="B291" s="104"/>
      <c r="C291" s="104"/>
      <c r="D291" s="105"/>
      <c r="E291" s="106"/>
      <c r="F291" s="107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6"/>
    </row>
    <row r="292" ht="15.75" customHeight="1">
      <c r="A292" s="109"/>
      <c r="B292" s="104"/>
      <c r="C292" s="104"/>
      <c r="D292" s="105"/>
      <c r="E292" s="106"/>
      <c r="F292" s="107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6"/>
    </row>
    <row r="293" ht="15.75" customHeight="1">
      <c r="A293" s="109"/>
      <c r="B293" s="104"/>
      <c r="C293" s="104"/>
      <c r="D293" s="105"/>
      <c r="E293" s="106"/>
      <c r="F293" s="107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6"/>
    </row>
    <row r="294" ht="15.75" customHeight="1">
      <c r="A294" s="109"/>
      <c r="B294" s="104"/>
      <c r="C294" s="104"/>
      <c r="D294" s="105"/>
      <c r="E294" s="106"/>
      <c r="F294" s="107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6"/>
    </row>
    <row r="295" ht="15.75" customHeight="1">
      <c r="A295" s="109"/>
      <c r="B295" s="104"/>
      <c r="C295" s="104"/>
      <c r="D295" s="105"/>
      <c r="E295" s="106"/>
      <c r="F295" s="107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6"/>
    </row>
    <row r="296" ht="15.75" customHeight="1">
      <c r="A296" s="109"/>
      <c r="B296" s="104"/>
      <c r="C296" s="104"/>
      <c r="D296" s="105"/>
      <c r="E296" s="106"/>
      <c r="F296" s="107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6"/>
    </row>
    <row r="297" ht="15.75" customHeight="1">
      <c r="A297" s="109"/>
      <c r="B297" s="104"/>
      <c r="C297" s="104"/>
      <c r="D297" s="105"/>
      <c r="E297" s="106"/>
      <c r="F297" s="107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6"/>
    </row>
    <row r="298" ht="15.75" customHeight="1">
      <c r="A298" s="109"/>
      <c r="B298" s="104"/>
      <c r="C298" s="104"/>
      <c r="D298" s="105"/>
      <c r="E298" s="106"/>
      <c r="F298" s="107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6"/>
    </row>
    <row r="299" ht="15.75" customHeight="1">
      <c r="A299" s="109"/>
      <c r="B299" s="104"/>
      <c r="C299" s="104"/>
      <c r="D299" s="105"/>
      <c r="E299" s="106"/>
      <c r="F299" s="107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6"/>
    </row>
    <row r="300" ht="15.75" customHeight="1">
      <c r="A300" s="109"/>
      <c r="B300" s="104"/>
      <c r="C300" s="104"/>
      <c r="D300" s="105"/>
      <c r="E300" s="106"/>
      <c r="F300" s="107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6"/>
    </row>
    <row r="301" ht="15.75" customHeight="1">
      <c r="A301" s="109"/>
      <c r="B301" s="104"/>
      <c r="C301" s="104"/>
      <c r="D301" s="105"/>
      <c r="E301" s="106"/>
      <c r="F301" s="107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6"/>
    </row>
    <row r="302" ht="15.75" customHeight="1">
      <c r="A302" s="109"/>
      <c r="B302" s="104"/>
      <c r="C302" s="104"/>
      <c r="D302" s="105"/>
      <c r="E302" s="106"/>
      <c r="F302" s="107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6"/>
    </row>
    <row r="303" ht="15.75" customHeight="1">
      <c r="A303" s="109"/>
      <c r="B303" s="104"/>
      <c r="C303" s="104"/>
      <c r="D303" s="105"/>
      <c r="E303" s="106"/>
      <c r="F303" s="107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6"/>
    </row>
    <row r="304" ht="15.75" customHeight="1">
      <c r="A304" s="109"/>
      <c r="B304" s="104"/>
      <c r="C304" s="104"/>
      <c r="D304" s="105"/>
      <c r="E304" s="106"/>
      <c r="F304" s="107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6"/>
    </row>
    <row r="305" ht="15.75" customHeight="1">
      <c r="A305" s="109"/>
      <c r="B305" s="104"/>
      <c r="C305" s="104"/>
      <c r="D305" s="105"/>
      <c r="E305" s="106"/>
      <c r="F305" s="107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6"/>
    </row>
    <row r="306" ht="15.75" customHeight="1">
      <c r="A306" s="109"/>
      <c r="B306" s="104"/>
      <c r="C306" s="104"/>
      <c r="D306" s="105"/>
      <c r="E306" s="106"/>
      <c r="F306" s="107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6"/>
    </row>
    <row r="307" ht="15.75" customHeight="1">
      <c r="A307" s="109"/>
      <c r="B307" s="104"/>
      <c r="C307" s="104"/>
      <c r="D307" s="105"/>
      <c r="E307" s="106"/>
      <c r="F307" s="107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6"/>
    </row>
    <row r="308" ht="15.75" customHeight="1">
      <c r="A308" s="109"/>
      <c r="B308" s="104"/>
      <c r="C308" s="104"/>
      <c r="D308" s="105"/>
      <c r="E308" s="106"/>
      <c r="F308" s="107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6"/>
    </row>
    <row r="309" ht="15.75" customHeight="1">
      <c r="A309" s="109"/>
      <c r="B309" s="104"/>
      <c r="C309" s="104"/>
      <c r="D309" s="105"/>
      <c r="E309" s="106"/>
      <c r="F309" s="107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6"/>
    </row>
    <row r="310" ht="15.75" customHeight="1">
      <c r="A310" s="109"/>
      <c r="B310" s="104"/>
      <c r="C310" s="104"/>
      <c r="D310" s="105"/>
      <c r="E310" s="106"/>
      <c r="F310" s="107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6"/>
    </row>
    <row r="311" ht="15.75" customHeight="1">
      <c r="A311" s="109"/>
      <c r="B311" s="104"/>
      <c r="C311" s="104"/>
      <c r="D311" s="105"/>
      <c r="E311" s="106"/>
      <c r="F311" s="107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6"/>
    </row>
    <row r="312" ht="15.75" customHeight="1">
      <c r="A312" s="109"/>
      <c r="B312" s="104"/>
      <c r="C312" s="104"/>
      <c r="D312" s="105"/>
      <c r="E312" s="106"/>
      <c r="F312" s="107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6"/>
    </row>
    <row r="313" ht="15.75" customHeight="1">
      <c r="A313" s="109"/>
      <c r="B313" s="104"/>
      <c r="C313" s="104"/>
      <c r="D313" s="105"/>
      <c r="E313" s="106"/>
      <c r="F313" s="107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6"/>
    </row>
    <row r="314" ht="15.75" customHeight="1">
      <c r="A314" s="109"/>
      <c r="B314" s="104"/>
      <c r="C314" s="104"/>
      <c r="D314" s="105"/>
      <c r="E314" s="106"/>
      <c r="F314" s="107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6"/>
    </row>
    <row r="315" ht="15.75" customHeight="1">
      <c r="A315" s="109"/>
      <c r="B315" s="104"/>
      <c r="C315" s="104"/>
      <c r="D315" s="105"/>
      <c r="E315" s="106"/>
      <c r="F315" s="107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6"/>
    </row>
    <row r="316" ht="15.75" customHeight="1">
      <c r="A316" s="109"/>
      <c r="B316" s="104"/>
      <c r="C316" s="104"/>
      <c r="D316" s="105"/>
      <c r="E316" s="106"/>
      <c r="F316" s="107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6"/>
    </row>
    <row r="317" ht="15.75" customHeight="1">
      <c r="A317" s="109"/>
      <c r="B317" s="104"/>
      <c r="C317" s="104"/>
      <c r="D317" s="105"/>
      <c r="E317" s="106"/>
      <c r="F317" s="107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6"/>
    </row>
    <row r="318" ht="15.75" customHeight="1">
      <c r="A318" s="109"/>
      <c r="B318" s="104"/>
      <c r="C318" s="104"/>
      <c r="D318" s="105"/>
      <c r="E318" s="106"/>
      <c r="F318" s="107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6"/>
    </row>
    <row r="319" ht="15.75" customHeight="1">
      <c r="A319" s="109"/>
      <c r="B319" s="104"/>
      <c r="C319" s="104"/>
      <c r="D319" s="105"/>
      <c r="E319" s="106"/>
      <c r="F319" s="107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6"/>
    </row>
    <row r="320" ht="15.75" customHeight="1">
      <c r="A320" s="109"/>
      <c r="B320" s="104"/>
      <c r="C320" s="104"/>
      <c r="D320" s="105"/>
      <c r="E320" s="106"/>
      <c r="F320" s="107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6"/>
    </row>
    <row r="321" ht="15.75" customHeight="1">
      <c r="A321" s="109"/>
      <c r="B321" s="104"/>
      <c r="C321" s="104"/>
      <c r="D321" s="105"/>
      <c r="E321" s="106"/>
      <c r="F321" s="107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6"/>
    </row>
    <row r="322" ht="15.75" customHeight="1">
      <c r="A322" s="109"/>
      <c r="B322" s="104"/>
      <c r="C322" s="104"/>
      <c r="D322" s="105"/>
      <c r="E322" s="106"/>
      <c r="F322" s="107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6"/>
    </row>
    <row r="323" ht="15.75" customHeight="1">
      <c r="A323" s="109"/>
      <c r="B323" s="104"/>
      <c r="C323" s="104"/>
      <c r="D323" s="105"/>
      <c r="E323" s="106"/>
      <c r="F323" s="107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6"/>
    </row>
    <row r="324" ht="15.75" customHeight="1">
      <c r="A324" s="109"/>
      <c r="B324" s="104"/>
      <c r="C324" s="104"/>
      <c r="D324" s="105"/>
      <c r="E324" s="106"/>
      <c r="F324" s="107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6"/>
    </row>
    <row r="325" ht="15.75" customHeight="1">
      <c r="A325" s="109"/>
      <c r="B325" s="104"/>
      <c r="C325" s="104"/>
      <c r="D325" s="105"/>
      <c r="E325" s="106"/>
      <c r="F325" s="107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6"/>
    </row>
    <row r="326" ht="15.75" customHeight="1">
      <c r="A326" s="109"/>
      <c r="B326" s="104"/>
      <c r="C326" s="104"/>
      <c r="D326" s="105"/>
      <c r="E326" s="106"/>
      <c r="F326" s="107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6"/>
    </row>
    <row r="327" ht="15.75" customHeight="1">
      <c r="A327" s="109"/>
      <c r="B327" s="104"/>
      <c r="C327" s="104"/>
      <c r="D327" s="105"/>
      <c r="E327" s="106"/>
      <c r="F327" s="107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6"/>
    </row>
    <row r="328" ht="15.75" customHeight="1">
      <c r="A328" s="109"/>
      <c r="B328" s="104"/>
      <c r="C328" s="104"/>
      <c r="D328" s="105"/>
      <c r="E328" s="106"/>
      <c r="F328" s="107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6"/>
    </row>
    <row r="329" ht="15.75" customHeight="1">
      <c r="A329" s="109"/>
      <c r="B329" s="104"/>
      <c r="C329" s="104"/>
      <c r="D329" s="105"/>
      <c r="E329" s="106"/>
      <c r="F329" s="107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6"/>
    </row>
    <row r="330" ht="15.75" customHeight="1">
      <c r="A330" s="109"/>
      <c r="B330" s="104"/>
      <c r="C330" s="104"/>
      <c r="D330" s="105"/>
      <c r="E330" s="106"/>
      <c r="F330" s="107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6"/>
    </row>
    <row r="331" ht="15.75" customHeight="1">
      <c r="A331" s="109"/>
      <c r="B331" s="104"/>
      <c r="C331" s="104"/>
      <c r="D331" s="105"/>
      <c r="E331" s="106"/>
      <c r="F331" s="107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6"/>
    </row>
    <row r="332" ht="15.75" customHeight="1">
      <c r="A332" s="109"/>
      <c r="B332" s="104"/>
      <c r="C332" s="104"/>
      <c r="D332" s="105"/>
      <c r="E332" s="106"/>
      <c r="F332" s="107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6"/>
    </row>
    <row r="333" ht="15.75" customHeight="1">
      <c r="A333" s="109"/>
      <c r="B333" s="104"/>
      <c r="C333" s="104"/>
      <c r="D333" s="105"/>
      <c r="E333" s="106"/>
      <c r="F333" s="107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6"/>
    </row>
    <row r="334" ht="15.75" customHeight="1">
      <c r="A334" s="109"/>
      <c r="B334" s="104"/>
      <c r="C334" s="104"/>
      <c r="D334" s="105"/>
      <c r="E334" s="106"/>
      <c r="F334" s="107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6"/>
    </row>
    <row r="335" ht="15.75" customHeight="1">
      <c r="A335" s="109"/>
      <c r="B335" s="104"/>
      <c r="C335" s="104"/>
      <c r="D335" s="105"/>
      <c r="E335" s="106"/>
      <c r="F335" s="107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6"/>
    </row>
    <row r="336" ht="15.75" customHeight="1">
      <c r="A336" s="109"/>
      <c r="B336" s="104"/>
      <c r="C336" s="104"/>
      <c r="D336" s="105"/>
      <c r="E336" s="106"/>
      <c r="F336" s="107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6"/>
    </row>
    <row r="337" ht="15.75" customHeight="1">
      <c r="A337" s="109"/>
      <c r="B337" s="104"/>
      <c r="C337" s="104"/>
      <c r="D337" s="105"/>
      <c r="E337" s="106"/>
      <c r="F337" s="107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6"/>
    </row>
    <row r="338" ht="15.75" customHeight="1">
      <c r="A338" s="109"/>
      <c r="B338" s="104"/>
      <c r="C338" s="104"/>
      <c r="D338" s="105"/>
      <c r="E338" s="106"/>
      <c r="F338" s="107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6"/>
    </row>
    <row r="339" ht="15.75" customHeight="1">
      <c r="A339" s="109"/>
      <c r="B339" s="104"/>
      <c r="C339" s="104"/>
      <c r="D339" s="105"/>
      <c r="E339" s="106"/>
      <c r="F339" s="107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6"/>
    </row>
    <row r="340" ht="15.75" customHeight="1">
      <c r="A340" s="109"/>
      <c r="B340" s="104"/>
      <c r="C340" s="104"/>
      <c r="D340" s="105"/>
      <c r="E340" s="106"/>
      <c r="F340" s="107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6"/>
    </row>
    <row r="341" ht="15.75" customHeight="1">
      <c r="A341" s="109"/>
      <c r="B341" s="104"/>
      <c r="C341" s="104"/>
      <c r="D341" s="105"/>
      <c r="E341" s="106"/>
      <c r="F341" s="107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6"/>
    </row>
    <row r="342" ht="15.75" customHeight="1">
      <c r="A342" s="109"/>
      <c r="B342" s="104"/>
      <c r="C342" s="104"/>
      <c r="D342" s="105"/>
      <c r="E342" s="106"/>
      <c r="F342" s="107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6"/>
    </row>
    <row r="343" ht="15.75" customHeight="1">
      <c r="A343" s="109"/>
      <c r="B343" s="104"/>
      <c r="C343" s="104"/>
      <c r="D343" s="105"/>
      <c r="E343" s="106"/>
      <c r="F343" s="107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6"/>
    </row>
    <row r="344" ht="15.75" customHeight="1">
      <c r="A344" s="109"/>
      <c r="B344" s="104"/>
      <c r="C344" s="104"/>
      <c r="D344" s="105"/>
      <c r="E344" s="106"/>
      <c r="F344" s="107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6"/>
    </row>
    <row r="345" ht="15.75" customHeight="1">
      <c r="A345" s="109"/>
      <c r="B345" s="104"/>
      <c r="C345" s="104"/>
      <c r="D345" s="105"/>
      <c r="E345" s="106"/>
      <c r="F345" s="107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6"/>
    </row>
    <row r="346" ht="15.75" customHeight="1">
      <c r="A346" s="109"/>
      <c r="B346" s="104"/>
      <c r="C346" s="104"/>
      <c r="D346" s="105"/>
      <c r="E346" s="106"/>
      <c r="F346" s="107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6"/>
    </row>
    <row r="347" ht="15.75" customHeight="1">
      <c r="A347" s="109"/>
      <c r="B347" s="104"/>
      <c r="C347" s="104"/>
      <c r="D347" s="105"/>
      <c r="E347" s="106"/>
      <c r="F347" s="107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6"/>
    </row>
    <row r="348" ht="15.75" customHeight="1">
      <c r="A348" s="109"/>
      <c r="B348" s="104"/>
      <c r="C348" s="104"/>
      <c r="D348" s="105"/>
      <c r="E348" s="106"/>
      <c r="F348" s="107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6"/>
    </row>
    <row r="349" ht="15.75" customHeight="1">
      <c r="A349" s="109"/>
      <c r="B349" s="104"/>
      <c r="C349" s="104"/>
      <c r="D349" s="105"/>
      <c r="E349" s="106"/>
      <c r="F349" s="107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6"/>
    </row>
    <row r="350" ht="15.75" customHeight="1">
      <c r="A350" s="109"/>
      <c r="B350" s="104"/>
      <c r="C350" s="104"/>
      <c r="D350" s="105"/>
      <c r="E350" s="106"/>
      <c r="F350" s="107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6"/>
    </row>
    <row r="351" ht="15.75" customHeight="1">
      <c r="A351" s="109"/>
      <c r="B351" s="104"/>
      <c r="C351" s="104"/>
      <c r="D351" s="105"/>
      <c r="E351" s="106"/>
      <c r="F351" s="107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6"/>
    </row>
    <row r="352" ht="15.75" customHeight="1">
      <c r="A352" s="109"/>
      <c r="B352" s="104"/>
      <c r="C352" s="104"/>
      <c r="D352" s="105"/>
      <c r="E352" s="106"/>
      <c r="F352" s="107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6"/>
    </row>
    <row r="353" ht="15.75" customHeight="1">
      <c r="A353" s="109"/>
      <c r="B353" s="104"/>
      <c r="C353" s="104"/>
      <c r="D353" s="105"/>
      <c r="E353" s="106"/>
      <c r="F353" s="107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6"/>
    </row>
    <row r="354" ht="15.75" customHeight="1">
      <c r="A354" s="109"/>
      <c r="B354" s="104"/>
      <c r="C354" s="104"/>
      <c r="D354" s="105"/>
      <c r="E354" s="106"/>
      <c r="F354" s="107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6"/>
    </row>
    <row r="355" ht="15.75" customHeight="1">
      <c r="A355" s="109"/>
      <c r="B355" s="104"/>
      <c r="C355" s="104"/>
      <c r="D355" s="105"/>
      <c r="E355" s="106"/>
      <c r="F355" s="107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6"/>
    </row>
    <row r="356" ht="15.75" customHeight="1">
      <c r="A356" s="109"/>
      <c r="B356" s="104"/>
      <c r="C356" s="104"/>
      <c r="D356" s="105"/>
      <c r="E356" s="106"/>
      <c r="F356" s="107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6"/>
    </row>
    <row r="357" ht="15.75" customHeight="1">
      <c r="A357" s="109"/>
      <c r="B357" s="104"/>
      <c r="C357" s="104"/>
      <c r="D357" s="105"/>
      <c r="E357" s="106"/>
      <c r="F357" s="107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6"/>
    </row>
    <row r="358" ht="15.75" customHeight="1">
      <c r="A358" s="109"/>
      <c r="B358" s="104"/>
      <c r="C358" s="104"/>
      <c r="D358" s="105"/>
      <c r="E358" s="106"/>
      <c r="F358" s="107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6"/>
    </row>
    <row r="359" ht="15.75" customHeight="1">
      <c r="A359" s="109"/>
      <c r="B359" s="104"/>
      <c r="C359" s="104"/>
      <c r="D359" s="105"/>
      <c r="E359" s="106"/>
      <c r="F359" s="107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6"/>
    </row>
    <row r="360" ht="15.75" customHeight="1">
      <c r="A360" s="109"/>
      <c r="B360" s="104"/>
      <c r="C360" s="104"/>
      <c r="D360" s="105"/>
      <c r="E360" s="106"/>
      <c r="F360" s="107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6"/>
    </row>
    <row r="361" ht="15.75" customHeight="1">
      <c r="A361" s="109"/>
      <c r="B361" s="104"/>
      <c r="C361" s="104"/>
      <c r="D361" s="105"/>
      <c r="E361" s="106"/>
      <c r="F361" s="107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6"/>
    </row>
    <row r="362" ht="15.75" customHeight="1">
      <c r="A362" s="109"/>
      <c r="B362" s="104"/>
      <c r="C362" s="104"/>
      <c r="D362" s="105"/>
      <c r="E362" s="106"/>
      <c r="F362" s="107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6"/>
    </row>
    <row r="363" ht="15.75" customHeight="1">
      <c r="A363" s="109"/>
      <c r="B363" s="104"/>
      <c r="C363" s="104"/>
      <c r="D363" s="105"/>
      <c r="E363" s="106"/>
      <c r="F363" s="107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6"/>
    </row>
    <row r="364" ht="15.75" customHeight="1">
      <c r="A364" s="109"/>
      <c r="B364" s="104"/>
      <c r="C364" s="104"/>
      <c r="D364" s="105"/>
      <c r="E364" s="106"/>
      <c r="F364" s="107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6"/>
    </row>
    <row r="365" ht="15.75" customHeight="1">
      <c r="A365" s="109"/>
      <c r="B365" s="104"/>
      <c r="C365" s="104"/>
      <c r="D365" s="105"/>
      <c r="E365" s="106"/>
      <c r="F365" s="107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6"/>
    </row>
    <row r="366" ht="15.75" customHeight="1">
      <c r="A366" s="109"/>
      <c r="B366" s="104"/>
      <c r="C366" s="104"/>
      <c r="D366" s="105"/>
      <c r="E366" s="106"/>
      <c r="F366" s="107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6"/>
    </row>
    <row r="367" ht="15.75" customHeight="1">
      <c r="A367" s="109"/>
      <c r="B367" s="104"/>
      <c r="C367" s="104"/>
      <c r="D367" s="105"/>
      <c r="E367" s="106"/>
      <c r="F367" s="107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6"/>
    </row>
    <row r="368" ht="15.75" customHeight="1">
      <c r="A368" s="109"/>
      <c r="B368" s="104"/>
      <c r="C368" s="104"/>
      <c r="D368" s="105"/>
      <c r="E368" s="106"/>
      <c r="F368" s="107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6"/>
    </row>
    <row r="369" ht="15.75" customHeight="1">
      <c r="A369" s="109"/>
      <c r="B369" s="104"/>
      <c r="C369" s="104"/>
      <c r="D369" s="105"/>
      <c r="E369" s="106"/>
      <c r="F369" s="107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6"/>
    </row>
    <row r="370" ht="15.75" customHeight="1">
      <c r="A370" s="109"/>
      <c r="B370" s="104"/>
      <c r="C370" s="104"/>
      <c r="D370" s="105"/>
      <c r="E370" s="106"/>
      <c r="F370" s="107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6"/>
    </row>
    <row r="371" ht="15.75" customHeight="1">
      <c r="A371" s="109"/>
      <c r="B371" s="104"/>
      <c r="C371" s="104"/>
      <c r="D371" s="105"/>
      <c r="E371" s="106"/>
      <c r="F371" s="107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6"/>
    </row>
    <row r="372" ht="15.75" customHeight="1">
      <c r="A372" s="109"/>
      <c r="B372" s="104"/>
      <c r="C372" s="104"/>
      <c r="D372" s="105"/>
      <c r="E372" s="106"/>
      <c r="F372" s="107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6"/>
    </row>
    <row r="373" ht="15.75" customHeight="1">
      <c r="A373" s="109"/>
      <c r="B373" s="104"/>
      <c r="C373" s="104"/>
      <c r="D373" s="105"/>
      <c r="E373" s="106"/>
      <c r="F373" s="107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6"/>
    </row>
    <row r="374" ht="15.75" customHeight="1">
      <c r="A374" s="109"/>
      <c r="B374" s="104"/>
      <c r="C374" s="104"/>
      <c r="D374" s="105"/>
      <c r="E374" s="106"/>
      <c r="F374" s="107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6"/>
    </row>
    <row r="375" ht="15.75" customHeight="1">
      <c r="A375" s="109"/>
      <c r="B375" s="104"/>
      <c r="C375" s="104"/>
      <c r="D375" s="105"/>
      <c r="E375" s="106"/>
      <c r="F375" s="107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6"/>
    </row>
    <row r="376" ht="15.75" customHeight="1">
      <c r="A376" s="109"/>
      <c r="B376" s="104"/>
      <c r="C376" s="104"/>
      <c r="D376" s="105"/>
      <c r="E376" s="106"/>
      <c r="F376" s="107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6"/>
    </row>
    <row r="377" ht="15.75" customHeight="1">
      <c r="A377" s="109"/>
      <c r="B377" s="104"/>
      <c r="C377" s="104"/>
      <c r="D377" s="105"/>
      <c r="E377" s="106"/>
      <c r="F377" s="107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6"/>
    </row>
    <row r="378" ht="15.75" customHeight="1">
      <c r="A378" s="109"/>
      <c r="B378" s="104"/>
      <c r="C378" s="104"/>
      <c r="D378" s="105"/>
      <c r="E378" s="106"/>
      <c r="F378" s="107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6"/>
    </row>
    <row r="379" ht="15.75" customHeight="1">
      <c r="A379" s="109"/>
      <c r="B379" s="104"/>
      <c r="C379" s="104"/>
      <c r="D379" s="105"/>
      <c r="E379" s="106"/>
      <c r="F379" s="107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6"/>
    </row>
    <row r="380" ht="15.75" customHeight="1">
      <c r="A380" s="109"/>
      <c r="B380" s="104"/>
      <c r="C380" s="104"/>
      <c r="D380" s="105"/>
      <c r="E380" s="106"/>
      <c r="F380" s="107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6"/>
    </row>
    <row r="381" ht="15.75" customHeight="1">
      <c r="A381" s="109"/>
      <c r="B381" s="104"/>
      <c r="C381" s="104"/>
      <c r="D381" s="105"/>
      <c r="E381" s="106"/>
      <c r="F381" s="107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6"/>
    </row>
    <row r="382" ht="15.75" customHeight="1">
      <c r="A382" s="109"/>
      <c r="B382" s="104"/>
      <c r="C382" s="104"/>
      <c r="D382" s="105"/>
      <c r="E382" s="106"/>
      <c r="F382" s="107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6"/>
    </row>
    <row r="383" ht="15.75" customHeight="1">
      <c r="A383" s="109"/>
      <c r="B383" s="104"/>
      <c r="C383" s="104"/>
      <c r="D383" s="105"/>
      <c r="E383" s="106"/>
      <c r="F383" s="107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6"/>
    </row>
    <row r="384" ht="15.75" customHeight="1">
      <c r="A384" s="109"/>
      <c r="B384" s="104"/>
      <c r="C384" s="104"/>
      <c r="D384" s="105"/>
      <c r="E384" s="106"/>
      <c r="F384" s="107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6"/>
    </row>
    <row r="385" ht="15.75" customHeight="1">
      <c r="A385" s="109"/>
      <c r="B385" s="104"/>
      <c r="C385" s="104"/>
      <c r="D385" s="105"/>
      <c r="E385" s="106"/>
      <c r="F385" s="107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6"/>
    </row>
    <row r="386" ht="15.75" customHeight="1">
      <c r="A386" s="109"/>
      <c r="B386" s="104"/>
      <c r="C386" s="104"/>
      <c r="D386" s="105"/>
      <c r="E386" s="106"/>
      <c r="F386" s="107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6"/>
    </row>
    <row r="387" ht="15.75" customHeight="1">
      <c r="A387" s="109"/>
      <c r="B387" s="104"/>
      <c r="C387" s="104"/>
      <c r="D387" s="105"/>
      <c r="E387" s="106"/>
      <c r="F387" s="107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6"/>
    </row>
    <row r="388" ht="15.75" customHeight="1">
      <c r="A388" s="109"/>
      <c r="B388" s="104"/>
      <c r="C388" s="104"/>
      <c r="D388" s="105"/>
      <c r="E388" s="106"/>
      <c r="F388" s="107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6"/>
    </row>
    <row r="389" ht="15.75" customHeight="1">
      <c r="A389" s="109"/>
      <c r="B389" s="104"/>
      <c r="C389" s="104"/>
      <c r="D389" s="105"/>
      <c r="E389" s="106"/>
      <c r="F389" s="107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6"/>
    </row>
    <row r="390" ht="15.75" customHeight="1">
      <c r="A390" s="109"/>
      <c r="B390" s="104"/>
      <c r="C390" s="104"/>
      <c r="D390" s="105"/>
      <c r="E390" s="106"/>
      <c r="F390" s="107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6"/>
    </row>
    <row r="391" ht="15.75" customHeight="1">
      <c r="A391" s="109"/>
      <c r="B391" s="104"/>
      <c r="C391" s="104"/>
      <c r="D391" s="105"/>
      <c r="E391" s="106"/>
      <c r="F391" s="107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6"/>
    </row>
    <row r="392" ht="15.75" customHeight="1">
      <c r="A392" s="109"/>
      <c r="B392" s="104"/>
      <c r="C392" s="104"/>
      <c r="D392" s="105"/>
      <c r="E392" s="106"/>
      <c r="F392" s="107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6"/>
    </row>
    <row r="393" ht="15.75" customHeight="1">
      <c r="A393" s="109"/>
      <c r="B393" s="104"/>
      <c r="C393" s="104"/>
      <c r="D393" s="105"/>
      <c r="E393" s="106"/>
      <c r="F393" s="107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6"/>
    </row>
    <row r="394" ht="15.75" customHeight="1">
      <c r="A394" s="109"/>
      <c r="B394" s="104"/>
      <c r="C394" s="104"/>
      <c r="D394" s="105"/>
      <c r="E394" s="106"/>
      <c r="F394" s="107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6"/>
    </row>
    <row r="395" ht="15.75" customHeight="1">
      <c r="A395" s="109"/>
      <c r="B395" s="104"/>
      <c r="C395" s="104"/>
      <c r="D395" s="105"/>
      <c r="E395" s="106"/>
      <c r="F395" s="107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6"/>
    </row>
    <row r="396" ht="15.75" customHeight="1">
      <c r="A396" s="109"/>
      <c r="B396" s="104"/>
      <c r="C396" s="104"/>
      <c r="D396" s="105"/>
      <c r="E396" s="106"/>
      <c r="F396" s="107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6"/>
    </row>
    <row r="397" ht="15.75" customHeight="1">
      <c r="A397" s="109"/>
      <c r="B397" s="104"/>
      <c r="C397" s="104"/>
      <c r="D397" s="105"/>
      <c r="E397" s="106"/>
      <c r="F397" s="107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6"/>
    </row>
    <row r="398" ht="15.75" customHeight="1">
      <c r="A398" s="109"/>
      <c r="B398" s="104"/>
      <c r="C398" s="104"/>
      <c r="D398" s="105"/>
      <c r="E398" s="106"/>
      <c r="F398" s="107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6"/>
    </row>
    <row r="399" ht="15.75" customHeight="1">
      <c r="A399" s="109"/>
      <c r="B399" s="104"/>
      <c r="C399" s="104"/>
      <c r="D399" s="105"/>
      <c r="E399" s="106"/>
      <c r="F399" s="107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6"/>
    </row>
    <row r="400" ht="15.75" customHeight="1">
      <c r="A400" s="109"/>
      <c r="B400" s="104"/>
      <c r="C400" s="104"/>
      <c r="D400" s="105"/>
      <c r="E400" s="106"/>
      <c r="F400" s="107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6"/>
    </row>
    <row r="401" ht="15.75" customHeight="1">
      <c r="A401" s="109"/>
      <c r="B401" s="104"/>
      <c r="C401" s="104"/>
      <c r="D401" s="105"/>
      <c r="E401" s="106"/>
      <c r="F401" s="107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6"/>
    </row>
    <row r="402" ht="15.75" customHeight="1">
      <c r="A402" s="109"/>
      <c r="B402" s="104"/>
      <c r="C402" s="104"/>
      <c r="D402" s="105"/>
      <c r="E402" s="106"/>
      <c r="F402" s="107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6"/>
    </row>
    <row r="403" ht="15.75" customHeight="1">
      <c r="A403" s="109"/>
      <c r="B403" s="104"/>
      <c r="C403" s="104"/>
      <c r="D403" s="105"/>
      <c r="E403" s="106"/>
      <c r="F403" s="107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6"/>
    </row>
    <row r="404" ht="15.75" customHeight="1">
      <c r="A404" s="109"/>
      <c r="B404" s="104"/>
      <c r="C404" s="104"/>
      <c r="D404" s="105"/>
      <c r="E404" s="106"/>
      <c r="F404" s="107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6"/>
    </row>
    <row r="405" ht="15.75" customHeight="1">
      <c r="A405" s="109"/>
      <c r="B405" s="104"/>
      <c r="C405" s="104"/>
      <c r="D405" s="105"/>
      <c r="E405" s="106"/>
      <c r="F405" s="107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6"/>
    </row>
    <row r="406" ht="15.75" customHeight="1">
      <c r="A406" s="109"/>
      <c r="B406" s="104"/>
      <c r="C406" s="104"/>
      <c r="D406" s="105"/>
      <c r="E406" s="106"/>
      <c r="F406" s="107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6"/>
    </row>
    <row r="407" ht="15.75" customHeight="1">
      <c r="A407" s="109"/>
      <c r="B407" s="104"/>
      <c r="C407" s="104"/>
      <c r="D407" s="105"/>
      <c r="E407" s="106"/>
      <c r="F407" s="107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6"/>
    </row>
    <row r="408" ht="15.75" customHeight="1">
      <c r="A408" s="109"/>
      <c r="B408" s="104"/>
      <c r="C408" s="104"/>
      <c r="D408" s="105"/>
      <c r="E408" s="106"/>
      <c r="F408" s="107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6"/>
    </row>
    <row r="409" ht="15.75" customHeight="1">
      <c r="A409" s="109"/>
      <c r="B409" s="104"/>
      <c r="C409" s="104"/>
      <c r="D409" s="105"/>
      <c r="E409" s="106"/>
      <c r="F409" s="107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6"/>
    </row>
    <row r="410" ht="15.75" customHeight="1">
      <c r="A410" s="109"/>
      <c r="B410" s="104"/>
      <c r="C410" s="104"/>
      <c r="D410" s="105"/>
      <c r="E410" s="106"/>
      <c r="F410" s="107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6"/>
    </row>
    <row r="411" ht="15.75" customHeight="1">
      <c r="A411" s="109"/>
      <c r="B411" s="104"/>
      <c r="C411" s="104"/>
      <c r="D411" s="105"/>
      <c r="E411" s="106"/>
      <c r="F411" s="107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6"/>
    </row>
    <row r="412" ht="15.75" customHeight="1">
      <c r="A412" s="109"/>
      <c r="B412" s="104"/>
      <c r="C412" s="104"/>
      <c r="D412" s="105"/>
      <c r="E412" s="106"/>
      <c r="F412" s="107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6"/>
    </row>
    <row r="413" ht="15.75" customHeight="1">
      <c r="A413" s="109"/>
      <c r="B413" s="104"/>
      <c r="C413" s="104"/>
      <c r="D413" s="105"/>
      <c r="E413" s="106"/>
      <c r="F413" s="107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6"/>
    </row>
    <row r="414" ht="15.75" customHeight="1">
      <c r="A414" s="109"/>
      <c r="B414" s="104"/>
      <c r="C414" s="104"/>
      <c r="D414" s="105"/>
      <c r="E414" s="106"/>
      <c r="F414" s="107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6"/>
    </row>
    <row r="415" ht="15.75" customHeight="1">
      <c r="A415" s="109"/>
      <c r="B415" s="104"/>
      <c r="C415" s="104"/>
      <c r="D415" s="105"/>
      <c r="E415" s="106"/>
      <c r="F415" s="107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6"/>
    </row>
    <row r="416" ht="15.75" customHeight="1">
      <c r="A416" s="109"/>
      <c r="B416" s="104"/>
      <c r="C416" s="104"/>
      <c r="D416" s="105"/>
      <c r="E416" s="106"/>
      <c r="F416" s="107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6"/>
    </row>
    <row r="417" ht="15.75" customHeight="1">
      <c r="A417" s="109"/>
      <c r="B417" s="104"/>
      <c r="C417" s="104"/>
      <c r="D417" s="105"/>
      <c r="E417" s="106"/>
      <c r="F417" s="107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6"/>
    </row>
    <row r="418" ht="15.75" customHeight="1">
      <c r="A418" s="109"/>
      <c r="B418" s="104"/>
      <c r="C418" s="104"/>
      <c r="D418" s="105"/>
      <c r="E418" s="106"/>
      <c r="F418" s="107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6"/>
    </row>
    <row r="419" ht="15.75" customHeight="1">
      <c r="A419" s="109"/>
      <c r="B419" s="104"/>
      <c r="C419" s="104"/>
      <c r="D419" s="105"/>
      <c r="E419" s="106"/>
      <c r="F419" s="107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6"/>
    </row>
    <row r="420" ht="15.75" customHeight="1">
      <c r="A420" s="109"/>
      <c r="B420" s="104"/>
      <c r="C420" s="104"/>
      <c r="D420" s="105"/>
      <c r="E420" s="106"/>
      <c r="F420" s="107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6"/>
    </row>
    <row r="421" ht="15.75" customHeight="1">
      <c r="A421" s="109"/>
      <c r="B421" s="104"/>
      <c r="C421" s="104"/>
      <c r="D421" s="105"/>
      <c r="E421" s="106"/>
      <c r="F421" s="107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6"/>
    </row>
    <row r="422" ht="15.75" customHeight="1">
      <c r="A422" s="109"/>
      <c r="B422" s="104"/>
      <c r="C422" s="104"/>
      <c r="D422" s="105"/>
      <c r="E422" s="106"/>
      <c r="F422" s="107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6"/>
    </row>
    <row r="423" ht="15.75" customHeight="1">
      <c r="A423" s="109"/>
      <c r="B423" s="104"/>
      <c r="C423" s="104"/>
      <c r="D423" s="105"/>
      <c r="E423" s="106"/>
      <c r="F423" s="107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6"/>
    </row>
    <row r="424" ht="15.75" customHeight="1">
      <c r="A424" s="109"/>
      <c r="B424" s="104"/>
      <c r="C424" s="104"/>
      <c r="D424" s="105"/>
      <c r="E424" s="106"/>
      <c r="F424" s="107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6"/>
    </row>
    <row r="425" ht="15.75" customHeight="1">
      <c r="A425" s="109"/>
      <c r="B425" s="104"/>
      <c r="C425" s="104"/>
      <c r="D425" s="105"/>
      <c r="E425" s="106"/>
      <c r="F425" s="107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6"/>
    </row>
    <row r="426" ht="15.75" customHeight="1">
      <c r="A426" s="109"/>
      <c r="B426" s="104"/>
      <c r="C426" s="104"/>
      <c r="D426" s="105"/>
      <c r="E426" s="106"/>
      <c r="F426" s="107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6"/>
    </row>
    <row r="427" ht="15.75" customHeight="1">
      <c r="A427" s="109"/>
      <c r="B427" s="104"/>
      <c r="C427" s="104"/>
      <c r="D427" s="105"/>
      <c r="E427" s="106"/>
      <c r="F427" s="107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6"/>
    </row>
    <row r="428" ht="15.75" customHeight="1">
      <c r="A428" s="109"/>
      <c r="B428" s="104"/>
      <c r="C428" s="104"/>
      <c r="D428" s="105"/>
      <c r="E428" s="106"/>
      <c r="F428" s="107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6"/>
    </row>
    <row r="429" ht="15.75" customHeight="1">
      <c r="A429" s="109"/>
      <c r="B429" s="104"/>
      <c r="C429" s="104"/>
      <c r="D429" s="105"/>
      <c r="E429" s="106"/>
      <c r="F429" s="107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6"/>
    </row>
    <row r="430" ht="15.75" customHeight="1">
      <c r="A430" s="109"/>
      <c r="B430" s="104"/>
      <c r="C430" s="104"/>
      <c r="D430" s="105"/>
      <c r="E430" s="106"/>
      <c r="F430" s="107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6"/>
    </row>
    <row r="431" ht="15.75" customHeight="1">
      <c r="A431" s="109"/>
      <c r="B431" s="104"/>
      <c r="C431" s="104"/>
      <c r="D431" s="105"/>
      <c r="E431" s="106"/>
      <c r="F431" s="107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6"/>
    </row>
    <row r="432" ht="15.75" customHeight="1">
      <c r="A432" s="109"/>
      <c r="B432" s="104"/>
      <c r="C432" s="104"/>
      <c r="D432" s="105"/>
      <c r="E432" s="106"/>
      <c r="F432" s="107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6"/>
    </row>
    <row r="433" ht="15.75" customHeight="1">
      <c r="A433" s="109"/>
      <c r="B433" s="104"/>
      <c r="C433" s="104"/>
      <c r="D433" s="105"/>
      <c r="E433" s="106"/>
      <c r="F433" s="107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6"/>
    </row>
    <row r="434" ht="15.75" customHeight="1">
      <c r="A434" s="109"/>
      <c r="B434" s="104"/>
      <c r="C434" s="104"/>
      <c r="D434" s="105"/>
      <c r="E434" s="106"/>
      <c r="F434" s="107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6"/>
    </row>
    <row r="435" ht="15.75" customHeight="1">
      <c r="A435" s="109"/>
      <c r="B435" s="104"/>
      <c r="C435" s="104"/>
      <c r="D435" s="105"/>
      <c r="E435" s="106"/>
      <c r="F435" s="107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6"/>
    </row>
    <row r="436" ht="15.75" customHeight="1">
      <c r="A436" s="109"/>
      <c r="B436" s="104"/>
      <c r="C436" s="104"/>
      <c r="D436" s="105"/>
      <c r="E436" s="106"/>
      <c r="F436" s="107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6"/>
    </row>
    <row r="437" ht="15.75" customHeight="1">
      <c r="A437" s="109"/>
      <c r="B437" s="104"/>
      <c r="C437" s="104"/>
      <c r="D437" s="105"/>
      <c r="E437" s="106"/>
      <c r="F437" s="107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6"/>
    </row>
    <row r="438" ht="15.75" customHeight="1">
      <c r="A438" s="109"/>
      <c r="B438" s="104"/>
      <c r="C438" s="104"/>
      <c r="D438" s="105"/>
      <c r="E438" s="106"/>
      <c r="F438" s="107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6"/>
    </row>
    <row r="439" ht="15.75" customHeight="1">
      <c r="A439" s="109"/>
      <c r="B439" s="104"/>
      <c r="C439" s="104"/>
      <c r="D439" s="105"/>
      <c r="E439" s="106"/>
      <c r="F439" s="107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6"/>
    </row>
    <row r="440" ht="15.75" customHeight="1">
      <c r="A440" s="109"/>
      <c r="B440" s="104"/>
      <c r="C440" s="104"/>
      <c r="D440" s="105"/>
      <c r="E440" s="106"/>
      <c r="F440" s="107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6"/>
    </row>
    <row r="441" ht="15.75" customHeight="1">
      <c r="A441" s="109"/>
      <c r="B441" s="104"/>
      <c r="C441" s="104"/>
      <c r="D441" s="105"/>
      <c r="E441" s="106"/>
      <c r="F441" s="107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6"/>
    </row>
    <row r="442" ht="15.75" customHeight="1">
      <c r="A442" s="109"/>
      <c r="B442" s="104"/>
      <c r="C442" s="104"/>
      <c r="D442" s="105"/>
      <c r="E442" s="106"/>
      <c r="F442" s="107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6"/>
    </row>
    <row r="443" ht="15.75" customHeight="1">
      <c r="A443" s="109"/>
      <c r="B443" s="104"/>
      <c r="C443" s="104"/>
      <c r="D443" s="105"/>
      <c r="E443" s="106"/>
      <c r="F443" s="107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6"/>
    </row>
    <row r="444" ht="15.75" customHeight="1">
      <c r="A444" s="109"/>
      <c r="B444" s="104"/>
      <c r="C444" s="104"/>
      <c r="D444" s="105"/>
      <c r="E444" s="106"/>
      <c r="F444" s="107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6"/>
    </row>
    <row r="445" ht="15.75" customHeight="1">
      <c r="A445" s="109"/>
      <c r="B445" s="104"/>
      <c r="C445" s="104"/>
      <c r="D445" s="105"/>
      <c r="E445" s="106"/>
      <c r="F445" s="107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6"/>
    </row>
    <row r="446" ht="15.75" customHeight="1">
      <c r="A446" s="109"/>
      <c r="B446" s="104"/>
      <c r="C446" s="104"/>
      <c r="D446" s="105"/>
      <c r="E446" s="106"/>
      <c r="F446" s="107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6"/>
    </row>
    <row r="447" ht="15.75" customHeight="1">
      <c r="A447" s="109"/>
      <c r="B447" s="104"/>
      <c r="C447" s="104"/>
      <c r="D447" s="105"/>
      <c r="E447" s="106"/>
      <c r="F447" s="107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6"/>
    </row>
    <row r="448" ht="15.75" customHeight="1">
      <c r="A448" s="109"/>
      <c r="B448" s="104"/>
      <c r="C448" s="104"/>
      <c r="D448" s="105"/>
      <c r="E448" s="106"/>
      <c r="F448" s="107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6"/>
    </row>
    <row r="449" ht="15.75" customHeight="1">
      <c r="A449" s="109"/>
      <c r="B449" s="104"/>
      <c r="C449" s="104"/>
      <c r="D449" s="105"/>
      <c r="E449" s="106"/>
      <c r="F449" s="107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6"/>
    </row>
    <row r="450" ht="15.75" customHeight="1">
      <c r="A450" s="109"/>
      <c r="B450" s="104"/>
      <c r="C450" s="104"/>
      <c r="D450" s="105"/>
      <c r="E450" s="106"/>
      <c r="F450" s="107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6"/>
    </row>
    <row r="451" ht="15.75" customHeight="1">
      <c r="A451" s="109"/>
      <c r="B451" s="104"/>
      <c r="C451" s="104"/>
      <c r="D451" s="105"/>
      <c r="E451" s="106"/>
      <c r="F451" s="107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6"/>
    </row>
    <row r="452" ht="15.75" customHeight="1">
      <c r="A452" s="109"/>
      <c r="B452" s="104"/>
      <c r="C452" s="104"/>
      <c r="D452" s="105"/>
      <c r="E452" s="106"/>
      <c r="F452" s="107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6"/>
    </row>
    <row r="453" ht="15.75" customHeight="1">
      <c r="A453" s="109"/>
      <c r="B453" s="104"/>
      <c r="C453" s="104"/>
      <c r="D453" s="105"/>
      <c r="E453" s="106"/>
      <c r="F453" s="107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6"/>
    </row>
    <row r="454" ht="15.75" customHeight="1">
      <c r="A454" s="109"/>
      <c r="B454" s="104"/>
      <c r="C454" s="104"/>
      <c r="D454" s="105"/>
      <c r="E454" s="106"/>
      <c r="F454" s="107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6"/>
    </row>
    <row r="455" ht="15.75" customHeight="1">
      <c r="A455" s="109"/>
      <c r="B455" s="104"/>
      <c r="C455" s="104"/>
      <c r="D455" s="105"/>
      <c r="E455" s="106"/>
      <c r="F455" s="107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6"/>
    </row>
    <row r="456" ht="15.75" customHeight="1">
      <c r="A456" s="109"/>
      <c r="B456" s="104"/>
      <c r="C456" s="104"/>
      <c r="D456" s="105"/>
      <c r="E456" s="106"/>
      <c r="F456" s="107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6"/>
    </row>
    <row r="457" ht="15.75" customHeight="1">
      <c r="A457" s="109"/>
      <c r="B457" s="104"/>
      <c r="C457" s="104"/>
      <c r="D457" s="105"/>
      <c r="E457" s="106"/>
      <c r="F457" s="107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6"/>
    </row>
    <row r="458" ht="15.75" customHeight="1">
      <c r="A458" s="109"/>
      <c r="B458" s="104"/>
      <c r="C458" s="104"/>
      <c r="D458" s="105"/>
      <c r="E458" s="106"/>
      <c r="F458" s="107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6"/>
    </row>
    <row r="459" ht="15.75" customHeight="1">
      <c r="A459" s="109"/>
      <c r="B459" s="104"/>
      <c r="C459" s="104"/>
      <c r="D459" s="105"/>
      <c r="E459" s="106"/>
      <c r="F459" s="107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6"/>
    </row>
    <row r="460" ht="15.75" customHeight="1">
      <c r="A460" s="109"/>
      <c r="B460" s="104"/>
      <c r="C460" s="104"/>
      <c r="D460" s="105"/>
      <c r="E460" s="106"/>
      <c r="F460" s="107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6"/>
    </row>
    <row r="461" ht="15.75" customHeight="1">
      <c r="A461" s="109"/>
      <c r="B461" s="104"/>
      <c r="C461" s="104"/>
      <c r="D461" s="105"/>
      <c r="E461" s="106"/>
      <c r="F461" s="107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6"/>
    </row>
    <row r="462" ht="15.75" customHeight="1">
      <c r="A462" s="109"/>
      <c r="B462" s="104"/>
      <c r="C462" s="104"/>
      <c r="D462" s="105"/>
      <c r="E462" s="106"/>
      <c r="F462" s="107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6"/>
    </row>
    <row r="463" ht="15.75" customHeight="1">
      <c r="A463" s="109"/>
      <c r="B463" s="104"/>
      <c r="C463" s="104"/>
      <c r="D463" s="105"/>
      <c r="E463" s="106"/>
      <c r="F463" s="107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6"/>
    </row>
    <row r="464" ht="15.75" customHeight="1">
      <c r="A464" s="109"/>
      <c r="B464" s="104"/>
      <c r="C464" s="104"/>
      <c r="D464" s="105"/>
      <c r="E464" s="106"/>
      <c r="F464" s="107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6"/>
    </row>
    <row r="465" ht="15.75" customHeight="1">
      <c r="A465" s="109"/>
      <c r="B465" s="104"/>
      <c r="C465" s="104"/>
      <c r="D465" s="105"/>
      <c r="E465" s="106"/>
      <c r="F465" s="107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6"/>
    </row>
    <row r="466" ht="15.75" customHeight="1">
      <c r="A466" s="109"/>
      <c r="B466" s="104"/>
      <c r="C466" s="104"/>
      <c r="D466" s="105"/>
      <c r="E466" s="106"/>
      <c r="F466" s="107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6"/>
    </row>
    <row r="467" ht="15.75" customHeight="1">
      <c r="A467" s="109"/>
      <c r="B467" s="104"/>
      <c r="C467" s="104"/>
      <c r="D467" s="105"/>
      <c r="E467" s="106"/>
      <c r="F467" s="107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6"/>
    </row>
    <row r="468" ht="15.75" customHeight="1">
      <c r="A468" s="109"/>
      <c r="B468" s="104"/>
      <c r="C468" s="104"/>
      <c r="D468" s="105"/>
      <c r="E468" s="106"/>
      <c r="F468" s="107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6"/>
    </row>
    <row r="469" ht="15.75" customHeight="1">
      <c r="A469" s="109"/>
      <c r="B469" s="104"/>
      <c r="C469" s="104"/>
      <c r="D469" s="105"/>
      <c r="E469" s="106"/>
      <c r="F469" s="107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6"/>
    </row>
    <row r="470" ht="15.75" customHeight="1">
      <c r="A470" s="109"/>
      <c r="B470" s="104"/>
      <c r="C470" s="104"/>
      <c r="D470" s="105"/>
      <c r="E470" s="106"/>
      <c r="F470" s="107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6"/>
    </row>
    <row r="471" ht="15.75" customHeight="1">
      <c r="A471" s="109"/>
      <c r="B471" s="104"/>
      <c r="C471" s="104"/>
      <c r="D471" s="105"/>
      <c r="E471" s="106"/>
      <c r="F471" s="107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6"/>
    </row>
    <row r="472" ht="15.75" customHeight="1">
      <c r="A472" s="109"/>
      <c r="B472" s="104"/>
      <c r="C472" s="104"/>
      <c r="D472" s="105"/>
      <c r="E472" s="106"/>
      <c r="F472" s="107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6"/>
    </row>
    <row r="473" ht="15.75" customHeight="1">
      <c r="A473" s="109"/>
      <c r="B473" s="104"/>
      <c r="C473" s="104"/>
      <c r="D473" s="105"/>
      <c r="E473" s="106"/>
      <c r="F473" s="107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6"/>
    </row>
    <row r="474" ht="15.75" customHeight="1">
      <c r="A474" s="109"/>
      <c r="B474" s="104"/>
      <c r="C474" s="104"/>
      <c r="D474" s="105"/>
      <c r="E474" s="106"/>
      <c r="F474" s="107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6"/>
    </row>
    <row r="475" ht="15.75" customHeight="1">
      <c r="A475" s="109"/>
      <c r="B475" s="104"/>
      <c r="C475" s="104"/>
      <c r="D475" s="105"/>
      <c r="E475" s="106"/>
      <c r="F475" s="107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6"/>
    </row>
    <row r="476" ht="15.75" customHeight="1">
      <c r="A476" s="109"/>
      <c r="B476" s="104"/>
      <c r="C476" s="104"/>
      <c r="D476" s="105"/>
      <c r="E476" s="106"/>
      <c r="F476" s="107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6"/>
    </row>
    <row r="477" ht="15.75" customHeight="1">
      <c r="A477" s="109"/>
      <c r="B477" s="104"/>
      <c r="C477" s="104"/>
      <c r="D477" s="105"/>
      <c r="E477" s="106"/>
      <c r="F477" s="107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6"/>
    </row>
    <row r="478" ht="15.75" customHeight="1">
      <c r="A478" s="109"/>
      <c r="B478" s="104"/>
      <c r="C478" s="104"/>
      <c r="D478" s="105"/>
      <c r="E478" s="106"/>
      <c r="F478" s="107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6"/>
    </row>
    <row r="479" ht="15.75" customHeight="1">
      <c r="A479" s="109"/>
      <c r="B479" s="104"/>
      <c r="C479" s="104"/>
      <c r="D479" s="105"/>
      <c r="E479" s="106"/>
      <c r="F479" s="107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6"/>
    </row>
    <row r="480" ht="15.75" customHeight="1">
      <c r="A480" s="109"/>
      <c r="B480" s="104"/>
      <c r="C480" s="104"/>
      <c r="D480" s="105"/>
      <c r="E480" s="106"/>
      <c r="F480" s="107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6"/>
    </row>
    <row r="481" ht="15.75" customHeight="1">
      <c r="A481" s="109"/>
      <c r="B481" s="104"/>
      <c r="C481" s="104"/>
      <c r="D481" s="105"/>
      <c r="E481" s="106"/>
      <c r="F481" s="107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6"/>
    </row>
    <row r="482" ht="15.75" customHeight="1">
      <c r="A482" s="109"/>
      <c r="B482" s="104"/>
      <c r="C482" s="104"/>
      <c r="D482" s="105"/>
      <c r="E482" s="106"/>
      <c r="F482" s="107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6"/>
    </row>
    <row r="483" ht="15.75" customHeight="1">
      <c r="A483" s="109"/>
      <c r="B483" s="104"/>
      <c r="C483" s="104"/>
      <c r="D483" s="105"/>
      <c r="E483" s="106"/>
      <c r="F483" s="107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6"/>
    </row>
    <row r="484" ht="15.75" customHeight="1">
      <c r="A484" s="109"/>
      <c r="B484" s="104"/>
      <c r="C484" s="104"/>
      <c r="D484" s="105"/>
      <c r="E484" s="106"/>
      <c r="F484" s="107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6"/>
    </row>
    <row r="485" ht="15.75" customHeight="1">
      <c r="A485" s="109"/>
      <c r="B485" s="104"/>
      <c r="C485" s="104"/>
      <c r="D485" s="105"/>
      <c r="E485" s="106"/>
      <c r="F485" s="107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6"/>
    </row>
    <row r="486" ht="15.75" customHeight="1">
      <c r="A486" s="109"/>
      <c r="B486" s="104"/>
      <c r="C486" s="104"/>
      <c r="D486" s="105"/>
      <c r="E486" s="106"/>
      <c r="F486" s="107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6"/>
    </row>
    <row r="487" ht="15.75" customHeight="1">
      <c r="A487" s="109"/>
      <c r="B487" s="104"/>
      <c r="C487" s="104"/>
      <c r="D487" s="105"/>
      <c r="E487" s="106"/>
      <c r="F487" s="107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6"/>
    </row>
    <row r="488" ht="15.75" customHeight="1">
      <c r="A488" s="109"/>
      <c r="B488" s="104"/>
      <c r="C488" s="104"/>
      <c r="D488" s="105"/>
      <c r="E488" s="106"/>
      <c r="F488" s="107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6"/>
    </row>
    <row r="489" ht="15.75" customHeight="1">
      <c r="A489" s="109"/>
      <c r="B489" s="104"/>
      <c r="C489" s="104"/>
      <c r="D489" s="105"/>
      <c r="E489" s="106"/>
      <c r="F489" s="107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6"/>
    </row>
    <row r="490" ht="15.75" customHeight="1">
      <c r="A490" s="109"/>
      <c r="B490" s="104"/>
      <c r="C490" s="104"/>
      <c r="D490" s="105"/>
      <c r="E490" s="106"/>
      <c r="F490" s="107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6"/>
    </row>
    <row r="491" ht="15.75" customHeight="1">
      <c r="A491" s="109"/>
      <c r="B491" s="104"/>
      <c r="C491" s="104"/>
      <c r="D491" s="105"/>
      <c r="E491" s="106"/>
      <c r="F491" s="107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6"/>
    </row>
    <row r="492" ht="15.75" customHeight="1">
      <c r="A492" s="109"/>
      <c r="B492" s="104"/>
      <c r="C492" s="104"/>
      <c r="D492" s="105"/>
      <c r="E492" s="106"/>
      <c r="F492" s="107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6"/>
    </row>
    <row r="493" ht="15.75" customHeight="1">
      <c r="A493" s="109"/>
      <c r="B493" s="104"/>
      <c r="C493" s="104"/>
      <c r="D493" s="105"/>
      <c r="E493" s="106"/>
      <c r="F493" s="107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6"/>
    </row>
    <row r="494" ht="15.75" customHeight="1">
      <c r="A494" s="109"/>
      <c r="B494" s="104"/>
      <c r="C494" s="104"/>
      <c r="D494" s="105"/>
      <c r="E494" s="106"/>
      <c r="F494" s="107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6"/>
    </row>
    <row r="495" ht="15.75" customHeight="1">
      <c r="A495" s="109"/>
      <c r="B495" s="104"/>
      <c r="C495" s="104"/>
      <c r="D495" s="105"/>
      <c r="E495" s="106"/>
      <c r="F495" s="107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6"/>
    </row>
    <row r="496" ht="15.75" customHeight="1">
      <c r="A496" s="109"/>
      <c r="B496" s="104"/>
      <c r="C496" s="104"/>
      <c r="D496" s="105"/>
      <c r="E496" s="106"/>
      <c r="F496" s="107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6"/>
    </row>
    <row r="497" ht="15.75" customHeight="1">
      <c r="A497" s="109"/>
      <c r="B497" s="104"/>
      <c r="C497" s="104"/>
      <c r="D497" s="105"/>
      <c r="E497" s="106"/>
      <c r="F497" s="107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6"/>
    </row>
    <row r="498" ht="15.75" customHeight="1">
      <c r="A498" s="109"/>
      <c r="B498" s="104"/>
      <c r="C498" s="104"/>
      <c r="D498" s="105"/>
      <c r="E498" s="106"/>
      <c r="F498" s="107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6"/>
    </row>
    <row r="499" ht="15.75" customHeight="1">
      <c r="A499" s="109"/>
      <c r="B499" s="104"/>
      <c r="C499" s="104"/>
      <c r="D499" s="105"/>
      <c r="E499" s="106"/>
      <c r="F499" s="107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6"/>
    </row>
    <row r="500" ht="15.75" customHeight="1">
      <c r="A500" s="109"/>
      <c r="B500" s="104"/>
      <c r="C500" s="104"/>
      <c r="D500" s="105"/>
      <c r="E500" s="106"/>
      <c r="F500" s="107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6"/>
    </row>
    <row r="501" ht="15.75" customHeight="1">
      <c r="A501" s="109"/>
      <c r="B501" s="104"/>
      <c r="C501" s="104"/>
      <c r="D501" s="105"/>
      <c r="E501" s="106"/>
      <c r="F501" s="107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6"/>
    </row>
    <row r="502" ht="15.75" customHeight="1">
      <c r="A502" s="109"/>
      <c r="B502" s="104"/>
      <c r="C502" s="104"/>
      <c r="D502" s="105"/>
      <c r="E502" s="106"/>
      <c r="F502" s="107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6"/>
    </row>
    <row r="503" ht="15.75" customHeight="1">
      <c r="A503" s="109"/>
      <c r="B503" s="104"/>
      <c r="C503" s="104"/>
      <c r="D503" s="105"/>
      <c r="E503" s="106"/>
      <c r="F503" s="107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6"/>
    </row>
    <row r="504" ht="15.75" customHeight="1">
      <c r="A504" s="109"/>
      <c r="B504" s="104"/>
      <c r="C504" s="104"/>
      <c r="D504" s="105"/>
      <c r="E504" s="106"/>
      <c r="F504" s="107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6"/>
    </row>
    <row r="505" ht="15.75" customHeight="1">
      <c r="A505" s="109"/>
      <c r="B505" s="104"/>
      <c r="C505" s="104"/>
      <c r="D505" s="105"/>
      <c r="E505" s="106"/>
      <c r="F505" s="107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6"/>
    </row>
    <row r="506" ht="15.75" customHeight="1">
      <c r="A506" s="109"/>
      <c r="B506" s="104"/>
      <c r="C506" s="104"/>
      <c r="D506" s="105"/>
      <c r="E506" s="106"/>
      <c r="F506" s="107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6"/>
    </row>
    <row r="507" ht="15.75" customHeight="1">
      <c r="A507" s="109"/>
      <c r="B507" s="104"/>
      <c r="C507" s="104"/>
      <c r="D507" s="105"/>
      <c r="E507" s="106"/>
      <c r="F507" s="107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6"/>
    </row>
    <row r="508" ht="15.75" customHeight="1">
      <c r="A508" s="109"/>
      <c r="B508" s="104"/>
      <c r="C508" s="104"/>
      <c r="D508" s="105"/>
      <c r="E508" s="106"/>
      <c r="F508" s="107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6"/>
    </row>
    <row r="509" ht="15.75" customHeight="1">
      <c r="A509" s="109"/>
      <c r="B509" s="104"/>
      <c r="C509" s="104"/>
      <c r="D509" s="105"/>
      <c r="E509" s="106"/>
      <c r="F509" s="107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6"/>
    </row>
    <row r="510" ht="15.75" customHeight="1">
      <c r="A510" s="109"/>
      <c r="B510" s="104"/>
      <c r="C510" s="104"/>
      <c r="D510" s="105"/>
      <c r="E510" s="106"/>
      <c r="F510" s="107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6"/>
    </row>
    <row r="511" ht="15.75" customHeight="1">
      <c r="A511" s="109"/>
      <c r="B511" s="104"/>
      <c r="C511" s="104"/>
      <c r="D511" s="105"/>
      <c r="E511" s="106"/>
      <c r="F511" s="107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6"/>
    </row>
    <row r="512" ht="15.75" customHeight="1">
      <c r="A512" s="109"/>
      <c r="B512" s="104"/>
      <c r="C512" s="104"/>
      <c r="D512" s="105"/>
      <c r="E512" s="106"/>
      <c r="F512" s="107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6"/>
    </row>
    <row r="513" ht="15.75" customHeight="1">
      <c r="A513" s="109"/>
      <c r="B513" s="104"/>
      <c r="C513" s="104"/>
      <c r="D513" s="105"/>
      <c r="E513" s="106"/>
      <c r="F513" s="107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6"/>
    </row>
    <row r="514" ht="15.75" customHeight="1">
      <c r="A514" s="109"/>
      <c r="B514" s="104"/>
      <c r="C514" s="104"/>
      <c r="D514" s="105"/>
      <c r="E514" s="106"/>
      <c r="F514" s="107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6"/>
    </row>
    <row r="515" ht="15.75" customHeight="1">
      <c r="A515" s="109"/>
      <c r="B515" s="104"/>
      <c r="C515" s="104"/>
      <c r="D515" s="105"/>
      <c r="E515" s="106"/>
      <c r="F515" s="107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6"/>
    </row>
    <row r="516" ht="15.75" customHeight="1">
      <c r="A516" s="109"/>
      <c r="B516" s="104"/>
      <c r="C516" s="104"/>
      <c r="D516" s="105"/>
      <c r="E516" s="106"/>
      <c r="F516" s="107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6"/>
    </row>
    <row r="517" ht="15.75" customHeight="1">
      <c r="A517" s="109"/>
      <c r="B517" s="104"/>
      <c r="C517" s="104"/>
      <c r="D517" s="105"/>
      <c r="E517" s="106"/>
      <c r="F517" s="107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6"/>
    </row>
    <row r="518" ht="15.75" customHeight="1">
      <c r="A518" s="109"/>
      <c r="B518" s="104"/>
      <c r="C518" s="104"/>
      <c r="D518" s="105"/>
      <c r="E518" s="106"/>
      <c r="F518" s="107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6"/>
    </row>
    <row r="519" ht="15.75" customHeight="1">
      <c r="A519" s="109"/>
      <c r="B519" s="104"/>
      <c r="C519" s="104"/>
      <c r="D519" s="105"/>
      <c r="E519" s="106"/>
      <c r="F519" s="107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6"/>
    </row>
    <row r="520" ht="15.75" customHeight="1">
      <c r="A520" s="109"/>
      <c r="B520" s="104"/>
      <c r="C520" s="104"/>
      <c r="D520" s="105"/>
      <c r="E520" s="106"/>
      <c r="F520" s="107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6"/>
    </row>
    <row r="521" ht="15.75" customHeight="1">
      <c r="A521" s="109"/>
      <c r="B521" s="104"/>
      <c r="C521" s="104"/>
      <c r="D521" s="105"/>
      <c r="E521" s="106"/>
      <c r="F521" s="107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6"/>
    </row>
    <row r="522" ht="15.75" customHeight="1">
      <c r="A522" s="109"/>
      <c r="B522" s="104"/>
      <c r="C522" s="104"/>
      <c r="D522" s="105"/>
      <c r="E522" s="106"/>
      <c r="F522" s="107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6"/>
    </row>
    <row r="523" ht="15.75" customHeight="1">
      <c r="A523" s="109"/>
      <c r="B523" s="104"/>
      <c r="C523" s="104"/>
      <c r="D523" s="105"/>
      <c r="E523" s="106"/>
      <c r="F523" s="107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6"/>
    </row>
    <row r="524" ht="15.75" customHeight="1">
      <c r="A524" s="109"/>
      <c r="B524" s="104"/>
      <c r="C524" s="104"/>
      <c r="D524" s="105"/>
      <c r="E524" s="106"/>
      <c r="F524" s="107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6"/>
    </row>
    <row r="525" ht="15.75" customHeight="1">
      <c r="A525" s="109"/>
      <c r="B525" s="104"/>
      <c r="C525" s="104"/>
      <c r="D525" s="105"/>
      <c r="E525" s="106"/>
      <c r="F525" s="107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6"/>
    </row>
    <row r="526" ht="15.75" customHeight="1">
      <c r="A526" s="109"/>
      <c r="B526" s="104"/>
      <c r="C526" s="104"/>
      <c r="D526" s="105"/>
      <c r="E526" s="106"/>
      <c r="F526" s="107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6"/>
    </row>
    <row r="527" ht="15.75" customHeight="1">
      <c r="A527" s="109"/>
      <c r="B527" s="104"/>
      <c r="C527" s="104"/>
      <c r="D527" s="105"/>
      <c r="E527" s="106"/>
      <c r="F527" s="107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6"/>
    </row>
    <row r="528" ht="15.75" customHeight="1">
      <c r="A528" s="109"/>
      <c r="B528" s="104"/>
      <c r="C528" s="104"/>
      <c r="D528" s="105"/>
      <c r="E528" s="106"/>
      <c r="F528" s="107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6"/>
    </row>
    <row r="529" ht="15.75" customHeight="1">
      <c r="A529" s="109"/>
      <c r="B529" s="104"/>
      <c r="C529" s="104"/>
      <c r="D529" s="105"/>
      <c r="E529" s="106"/>
      <c r="F529" s="107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6"/>
    </row>
    <row r="530" ht="15.75" customHeight="1">
      <c r="A530" s="109"/>
      <c r="B530" s="104"/>
      <c r="C530" s="104"/>
      <c r="D530" s="105"/>
      <c r="E530" s="106"/>
      <c r="F530" s="107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6"/>
    </row>
    <row r="531" ht="15.75" customHeight="1">
      <c r="A531" s="109"/>
      <c r="B531" s="104"/>
      <c r="C531" s="104"/>
      <c r="D531" s="105"/>
      <c r="E531" s="106"/>
      <c r="F531" s="107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6"/>
    </row>
    <row r="532" ht="15.75" customHeight="1">
      <c r="A532" s="109"/>
      <c r="B532" s="104"/>
      <c r="C532" s="104"/>
      <c r="D532" s="105"/>
      <c r="E532" s="106"/>
      <c r="F532" s="107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6"/>
    </row>
    <row r="533" ht="15.75" customHeight="1">
      <c r="A533" s="109"/>
      <c r="B533" s="104"/>
      <c r="C533" s="104"/>
      <c r="D533" s="105"/>
      <c r="E533" s="106"/>
      <c r="F533" s="107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6"/>
    </row>
    <row r="534" ht="15.75" customHeight="1">
      <c r="A534" s="109"/>
      <c r="B534" s="104"/>
      <c r="C534" s="104"/>
      <c r="D534" s="105"/>
      <c r="E534" s="106"/>
      <c r="F534" s="107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6"/>
    </row>
    <row r="535" ht="15.75" customHeight="1">
      <c r="A535" s="109"/>
      <c r="B535" s="104"/>
      <c r="C535" s="104"/>
      <c r="D535" s="105"/>
      <c r="E535" s="106"/>
      <c r="F535" s="107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6"/>
    </row>
    <row r="536" ht="15.75" customHeight="1">
      <c r="A536" s="109"/>
      <c r="B536" s="104"/>
      <c r="C536" s="104"/>
      <c r="D536" s="105"/>
      <c r="E536" s="106"/>
      <c r="F536" s="107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6"/>
    </row>
    <row r="537" ht="15.75" customHeight="1">
      <c r="A537" s="109"/>
      <c r="B537" s="104"/>
      <c r="C537" s="104"/>
      <c r="D537" s="105"/>
      <c r="E537" s="106"/>
      <c r="F537" s="107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6"/>
    </row>
    <row r="538" ht="15.75" customHeight="1">
      <c r="A538" s="109"/>
      <c r="B538" s="104"/>
      <c r="C538" s="104"/>
      <c r="D538" s="105"/>
      <c r="E538" s="106"/>
      <c r="F538" s="107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6"/>
    </row>
    <row r="539" ht="15.75" customHeight="1">
      <c r="A539" s="109"/>
      <c r="B539" s="104"/>
      <c r="C539" s="104"/>
      <c r="D539" s="105"/>
      <c r="E539" s="106"/>
      <c r="F539" s="107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6"/>
    </row>
    <row r="540" ht="15.75" customHeight="1">
      <c r="A540" s="109"/>
      <c r="B540" s="104"/>
      <c r="C540" s="104"/>
      <c r="D540" s="105"/>
      <c r="E540" s="106"/>
      <c r="F540" s="107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6"/>
    </row>
    <row r="541" ht="15.75" customHeight="1">
      <c r="A541" s="109"/>
      <c r="B541" s="104"/>
      <c r="C541" s="104"/>
      <c r="D541" s="105"/>
      <c r="E541" s="106"/>
      <c r="F541" s="107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6"/>
    </row>
    <row r="542" ht="15.75" customHeight="1">
      <c r="A542" s="109"/>
      <c r="B542" s="104"/>
      <c r="C542" s="104"/>
      <c r="D542" s="105"/>
      <c r="E542" s="106"/>
      <c r="F542" s="107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6"/>
    </row>
    <row r="543" ht="15.75" customHeight="1">
      <c r="A543" s="109"/>
      <c r="B543" s="104"/>
      <c r="C543" s="104"/>
      <c r="D543" s="105"/>
      <c r="E543" s="106"/>
      <c r="F543" s="107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6"/>
    </row>
    <row r="544" ht="15.75" customHeight="1">
      <c r="A544" s="109"/>
      <c r="B544" s="104"/>
      <c r="C544" s="104"/>
      <c r="D544" s="105"/>
      <c r="E544" s="106"/>
      <c r="F544" s="107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6"/>
    </row>
    <row r="545" ht="15.75" customHeight="1">
      <c r="A545" s="109"/>
      <c r="B545" s="104"/>
      <c r="C545" s="104"/>
      <c r="D545" s="105"/>
      <c r="E545" s="106"/>
      <c r="F545" s="107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6"/>
    </row>
    <row r="546" ht="15.75" customHeight="1">
      <c r="A546" s="109"/>
      <c r="B546" s="104"/>
      <c r="C546" s="104"/>
      <c r="D546" s="105"/>
      <c r="E546" s="106"/>
      <c r="F546" s="107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6"/>
    </row>
    <row r="547" ht="15.75" customHeight="1">
      <c r="A547" s="109"/>
      <c r="B547" s="104"/>
      <c r="C547" s="104"/>
      <c r="D547" s="105"/>
      <c r="E547" s="106"/>
      <c r="F547" s="107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6"/>
    </row>
    <row r="548" ht="15.75" customHeight="1">
      <c r="A548" s="109"/>
      <c r="B548" s="104"/>
      <c r="C548" s="104"/>
      <c r="D548" s="105"/>
      <c r="E548" s="106"/>
      <c r="F548" s="107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6"/>
    </row>
    <row r="549" ht="15.75" customHeight="1">
      <c r="A549" s="109"/>
      <c r="B549" s="104"/>
      <c r="C549" s="104"/>
      <c r="D549" s="105"/>
      <c r="E549" s="106"/>
      <c r="F549" s="107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6"/>
    </row>
    <row r="550" ht="15.75" customHeight="1">
      <c r="A550" s="109"/>
      <c r="B550" s="104"/>
      <c r="C550" s="104"/>
      <c r="D550" s="105"/>
      <c r="E550" s="106"/>
      <c r="F550" s="107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6"/>
    </row>
    <row r="551" ht="15.75" customHeight="1">
      <c r="A551" s="109"/>
      <c r="B551" s="104"/>
      <c r="C551" s="104"/>
      <c r="D551" s="105"/>
      <c r="E551" s="106"/>
      <c r="F551" s="107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6"/>
    </row>
    <row r="552" ht="15.75" customHeight="1">
      <c r="A552" s="109"/>
      <c r="B552" s="104"/>
      <c r="C552" s="104"/>
      <c r="D552" s="105"/>
      <c r="E552" s="106"/>
      <c r="F552" s="107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6"/>
    </row>
    <row r="553" ht="15.75" customHeight="1">
      <c r="A553" s="109"/>
      <c r="B553" s="104"/>
      <c r="C553" s="104"/>
      <c r="D553" s="105"/>
      <c r="E553" s="106"/>
      <c r="F553" s="107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6"/>
    </row>
    <row r="554" ht="15.75" customHeight="1">
      <c r="A554" s="109"/>
      <c r="B554" s="104"/>
      <c r="C554" s="104"/>
      <c r="D554" s="105"/>
      <c r="E554" s="106"/>
      <c r="F554" s="107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6"/>
    </row>
    <row r="555" ht="15.75" customHeight="1">
      <c r="A555" s="109"/>
      <c r="B555" s="104"/>
      <c r="C555" s="104"/>
      <c r="D555" s="105"/>
      <c r="E555" s="106"/>
      <c r="F555" s="107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6"/>
    </row>
    <row r="556" ht="15.75" customHeight="1">
      <c r="A556" s="109"/>
      <c r="B556" s="104"/>
      <c r="C556" s="104"/>
      <c r="D556" s="105"/>
      <c r="E556" s="106"/>
      <c r="F556" s="107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6"/>
    </row>
    <row r="557" ht="15.75" customHeight="1">
      <c r="A557" s="109"/>
      <c r="B557" s="104"/>
      <c r="C557" s="104"/>
      <c r="D557" s="105"/>
      <c r="E557" s="106"/>
      <c r="F557" s="107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6"/>
    </row>
    <row r="558" ht="15.75" customHeight="1">
      <c r="A558" s="109"/>
      <c r="B558" s="104"/>
      <c r="C558" s="104"/>
      <c r="D558" s="105"/>
      <c r="E558" s="106"/>
      <c r="F558" s="107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6"/>
    </row>
    <row r="559" ht="15.75" customHeight="1">
      <c r="A559" s="109"/>
      <c r="B559" s="104"/>
      <c r="C559" s="104"/>
      <c r="D559" s="105"/>
      <c r="E559" s="106"/>
      <c r="F559" s="107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6"/>
    </row>
    <row r="560" ht="15.75" customHeight="1">
      <c r="A560" s="109"/>
      <c r="B560" s="104"/>
      <c r="C560" s="104"/>
      <c r="D560" s="105"/>
      <c r="E560" s="106"/>
      <c r="F560" s="107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6"/>
    </row>
    <row r="561" ht="15.75" customHeight="1">
      <c r="A561" s="109"/>
      <c r="B561" s="104"/>
      <c r="C561" s="104"/>
      <c r="D561" s="105"/>
      <c r="E561" s="106"/>
      <c r="F561" s="107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6"/>
    </row>
    <row r="562" ht="15.75" customHeight="1">
      <c r="A562" s="109"/>
      <c r="B562" s="104"/>
      <c r="C562" s="104"/>
      <c r="D562" s="105"/>
      <c r="E562" s="106"/>
      <c r="F562" s="107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6"/>
    </row>
    <row r="563" ht="15.75" customHeight="1">
      <c r="A563" s="109"/>
      <c r="B563" s="104"/>
      <c r="C563" s="104"/>
      <c r="D563" s="105"/>
      <c r="E563" s="106"/>
      <c r="F563" s="107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6"/>
    </row>
    <row r="564" ht="15.75" customHeight="1">
      <c r="A564" s="109"/>
      <c r="B564" s="104"/>
      <c r="C564" s="104"/>
      <c r="D564" s="105"/>
      <c r="E564" s="106"/>
      <c r="F564" s="107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6"/>
    </row>
    <row r="565" ht="15.75" customHeight="1">
      <c r="A565" s="109"/>
      <c r="B565" s="104"/>
      <c r="C565" s="104"/>
      <c r="D565" s="105"/>
      <c r="E565" s="106"/>
      <c r="F565" s="107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6"/>
    </row>
    <row r="566" ht="15.75" customHeight="1">
      <c r="A566" s="109"/>
      <c r="B566" s="104"/>
      <c r="C566" s="104"/>
      <c r="D566" s="105"/>
      <c r="E566" s="106"/>
      <c r="F566" s="107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6"/>
    </row>
    <row r="567" ht="15.75" customHeight="1">
      <c r="A567" s="109"/>
      <c r="B567" s="104"/>
      <c r="C567" s="104"/>
      <c r="D567" s="105"/>
      <c r="E567" s="106"/>
      <c r="F567" s="107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6"/>
    </row>
    <row r="568" ht="15.75" customHeight="1">
      <c r="A568" s="109"/>
      <c r="B568" s="104"/>
      <c r="C568" s="104"/>
      <c r="D568" s="105"/>
      <c r="E568" s="106"/>
      <c r="F568" s="107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6"/>
    </row>
    <row r="569" ht="15.75" customHeight="1">
      <c r="A569" s="109"/>
      <c r="B569" s="104"/>
      <c r="C569" s="104"/>
      <c r="D569" s="105"/>
      <c r="E569" s="106"/>
      <c r="F569" s="107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6"/>
    </row>
    <row r="570" ht="15.75" customHeight="1">
      <c r="A570" s="109"/>
      <c r="B570" s="104"/>
      <c r="C570" s="104"/>
      <c r="D570" s="105"/>
      <c r="E570" s="106"/>
      <c r="F570" s="107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6"/>
    </row>
    <row r="571" ht="15.75" customHeight="1">
      <c r="A571" s="109"/>
      <c r="B571" s="104"/>
      <c r="C571" s="104"/>
      <c r="D571" s="105"/>
      <c r="E571" s="106"/>
      <c r="F571" s="107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6"/>
    </row>
    <row r="572" ht="15.75" customHeight="1">
      <c r="A572" s="109"/>
      <c r="B572" s="104"/>
      <c r="C572" s="104"/>
      <c r="D572" s="105"/>
      <c r="E572" s="106"/>
      <c r="F572" s="107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6"/>
    </row>
    <row r="573" ht="15.75" customHeight="1">
      <c r="A573" s="109"/>
      <c r="B573" s="104"/>
      <c r="C573" s="104"/>
      <c r="D573" s="105"/>
      <c r="E573" s="106"/>
      <c r="F573" s="107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6"/>
    </row>
    <row r="574" ht="15.75" customHeight="1">
      <c r="A574" s="109"/>
      <c r="B574" s="104"/>
      <c r="C574" s="104"/>
      <c r="D574" s="105"/>
      <c r="E574" s="106"/>
      <c r="F574" s="107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6"/>
    </row>
    <row r="575" ht="15.75" customHeight="1">
      <c r="A575" s="109"/>
      <c r="B575" s="104"/>
      <c r="C575" s="104"/>
      <c r="D575" s="105"/>
      <c r="E575" s="106"/>
      <c r="F575" s="107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6"/>
    </row>
    <row r="576" ht="15.75" customHeight="1">
      <c r="A576" s="109"/>
      <c r="B576" s="104"/>
      <c r="C576" s="104"/>
      <c r="D576" s="105"/>
      <c r="E576" s="106"/>
      <c r="F576" s="107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6"/>
    </row>
    <row r="577" ht="15.75" customHeight="1">
      <c r="A577" s="109"/>
      <c r="B577" s="104"/>
      <c r="C577" s="104"/>
      <c r="D577" s="105"/>
      <c r="E577" s="106"/>
      <c r="F577" s="107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6"/>
    </row>
    <row r="578" ht="15.75" customHeight="1">
      <c r="A578" s="109"/>
      <c r="B578" s="104"/>
      <c r="C578" s="104"/>
      <c r="D578" s="105"/>
      <c r="E578" s="106"/>
      <c r="F578" s="107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6"/>
    </row>
    <row r="579" ht="15.75" customHeight="1">
      <c r="A579" s="109"/>
      <c r="B579" s="104"/>
      <c r="C579" s="104"/>
      <c r="D579" s="105"/>
      <c r="E579" s="106"/>
      <c r="F579" s="107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6"/>
    </row>
    <row r="580" ht="15.75" customHeight="1">
      <c r="A580" s="109"/>
      <c r="B580" s="104"/>
      <c r="C580" s="104"/>
      <c r="D580" s="105"/>
      <c r="E580" s="106"/>
      <c r="F580" s="107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6"/>
    </row>
    <row r="581" ht="15.75" customHeight="1">
      <c r="A581" s="109"/>
      <c r="B581" s="104"/>
      <c r="C581" s="104"/>
      <c r="D581" s="105"/>
      <c r="E581" s="106"/>
      <c r="F581" s="107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6"/>
    </row>
    <row r="582" ht="15.75" customHeight="1">
      <c r="A582" s="109"/>
      <c r="B582" s="104"/>
      <c r="C582" s="104"/>
      <c r="D582" s="105"/>
      <c r="E582" s="106"/>
      <c r="F582" s="107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6"/>
    </row>
    <row r="583" ht="15.75" customHeight="1">
      <c r="A583" s="109"/>
      <c r="B583" s="104"/>
      <c r="C583" s="104"/>
      <c r="D583" s="105"/>
      <c r="E583" s="106"/>
      <c r="F583" s="107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6"/>
    </row>
    <row r="584" ht="15.75" customHeight="1">
      <c r="A584" s="109"/>
      <c r="B584" s="104"/>
      <c r="C584" s="104"/>
      <c r="D584" s="105"/>
      <c r="E584" s="106"/>
      <c r="F584" s="107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6"/>
    </row>
    <row r="585" ht="15.75" customHeight="1">
      <c r="A585" s="109"/>
      <c r="B585" s="104"/>
      <c r="C585" s="104"/>
      <c r="D585" s="105"/>
      <c r="E585" s="106"/>
      <c r="F585" s="107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6"/>
    </row>
    <row r="586" ht="15.75" customHeight="1">
      <c r="A586" s="109"/>
      <c r="B586" s="104"/>
      <c r="C586" s="104"/>
      <c r="D586" s="105"/>
      <c r="E586" s="106"/>
      <c r="F586" s="107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6"/>
    </row>
    <row r="587" ht="15.75" customHeight="1">
      <c r="A587" s="109"/>
      <c r="B587" s="104"/>
      <c r="C587" s="104"/>
      <c r="D587" s="105"/>
      <c r="E587" s="106"/>
      <c r="F587" s="107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6"/>
    </row>
    <row r="588" ht="15.75" customHeight="1">
      <c r="A588" s="109"/>
      <c r="B588" s="104"/>
      <c r="C588" s="104"/>
      <c r="D588" s="105"/>
      <c r="E588" s="106"/>
      <c r="F588" s="107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6"/>
    </row>
    <row r="589" ht="15.75" customHeight="1">
      <c r="A589" s="109"/>
      <c r="B589" s="104"/>
      <c r="C589" s="104"/>
      <c r="D589" s="105"/>
      <c r="E589" s="106"/>
      <c r="F589" s="107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6"/>
    </row>
    <row r="590" ht="15.75" customHeight="1">
      <c r="A590" s="109"/>
      <c r="B590" s="104"/>
      <c r="C590" s="104"/>
      <c r="D590" s="105"/>
      <c r="E590" s="106"/>
      <c r="F590" s="107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6"/>
    </row>
    <row r="591" ht="15.75" customHeight="1">
      <c r="A591" s="109"/>
      <c r="B591" s="104"/>
      <c r="C591" s="104"/>
      <c r="D591" s="105"/>
      <c r="E591" s="106"/>
      <c r="F591" s="107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6"/>
    </row>
    <row r="592" ht="15.75" customHeight="1">
      <c r="A592" s="109"/>
      <c r="B592" s="104"/>
      <c r="C592" s="104"/>
      <c r="D592" s="105"/>
      <c r="E592" s="106"/>
      <c r="F592" s="107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6"/>
    </row>
    <row r="593" ht="15.75" customHeight="1">
      <c r="A593" s="109"/>
      <c r="B593" s="104"/>
      <c r="C593" s="104"/>
      <c r="D593" s="105"/>
      <c r="E593" s="106"/>
      <c r="F593" s="107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6"/>
    </row>
    <row r="594" ht="15.75" customHeight="1">
      <c r="A594" s="109"/>
      <c r="B594" s="104"/>
      <c r="C594" s="104"/>
      <c r="D594" s="105"/>
      <c r="E594" s="106"/>
      <c r="F594" s="107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6"/>
    </row>
    <row r="595" ht="15.75" customHeight="1">
      <c r="A595" s="109"/>
      <c r="B595" s="104"/>
      <c r="C595" s="104"/>
      <c r="D595" s="105"/>
      <c r="E595" s="106"/>
      <c r="F595" s="107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6"/>
    </row>
    <row r="596" ht="15.75" customHeight="1">
      <c r="A596" s="109"/>
      <c r="B596" s="104"/>
      <c r="C596" s="104"/>
      <c r="D596" s="105"/>
      <c r="E596" s="106"/>
      <c r="F596" s="107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6"/>
    </row>
    <row r="597" ht="15.75" customHeight="1">
      <c r="A597" s="109"/>
      <c r="B597" s="104"/>
      <c r="C597" s="104"/>
      <c r="D597" s="105"/>
      <c r="E597" s="106"/>
      <c r="F597" s="107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6"/>
    </row>
    <row r="598" ht="15.75" customHeight="1">
      <c r="A598" s="109"/>
      <c r="B598" s="104"/>
      <c r="C598" s="104"/>
      <c r="D598" s="105"/>
      <c r="E598" s="106"/>
      <c r="F598" s="107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6"/>
    </row>
    <row r="599" ht="15.75" customHeight="1">
      <c r="A599" s="109"/>
      <c r="B599" s="104"/>
      <c r="C599" s="104"/>
      <c r="D599" s="105"/>
      <c r="E599" s="106"/>
      <c r="F599" s="107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6"/>
    </row>
    <row r="600" ht="15.75" customHeight="1">
      <c r="A600" s="109"/>
      <c r="B600" s="104"/>
      <c r="C600" s="104"/>
      <c r="D600" s="105"/>
      <c r="E600" s="106"/>
      <c r="F600" s="107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6"/>
    </row>
    <row r="601" ht="15.75" customHeight="1">
      <c r="A601" s="109"/>
      <c r="B601" s="104"/>
      <c r="C601" s="104"/>
      <c r="D601" s="105"/>
      <c r="E601" s="106"/>
      <c r="F601" s="107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6"/>
    </row>
    <row r="602" ht="15.75" customHeight="1">
      <c r="A602" s="109"/>
      <c r="B602" s="104"/>
      <c r="C602" s="104"/>
      <c r="D602" s="105"/>
      <c r="E602" s="106"/>
      <c r="F602" s="107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6"/>
    </row>
    <row r="603" ht="15.75" customHeight="1">
      <c r="A603" s="109"/>
      <c r="B603" s="104"/>
      <c r="C603" s="104"/>
      <c r="D603" s="105"/>
      <c r="E603" s="106"/>
      <c r="F603" s="107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6"/>
    </row>
    <row r="604" ht="15.75" customHeight="1">
      <c r="A604" s="109"/>
      <c r="B604" s="104"/>
      <c r="C604" s="104"/>
      <c r="D604" s="105"/>
      <c r="E604" s="106"/>
      <c r="F604" s="107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6"/>
    </row>
    <row r="605" ht="15.75" customHeight="1">
      <c r="A605" s="109"/>
      <c r="B605" s="104"/>
      <c r="C605" s="104"/>
      <c r="D605" s="105"/>
      <c r="E605" s="106"/>
      <c r="F605" s="107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6"/>
    </row>
    <row r="606" ht="15.75" customHeight="1">
      <c r="A606" s="109"/>
      <c r="B606" s="104"/>
      <c r="C606" s="104"/>
      <c r="D606" s="105"/>
      <c r="E606" s="106"/>
      <c r="F606" s="107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6"/>
    </row>
    <row r="607" ht="15.75" customHeight="1">
      <c r="A607" s="109"/>
      <c r="B607" s="104"/>
      <c r="C607" s="104"/>
      <c r="D607" s="105"/>
      <c r="E607" s="106"/>
      <c r="F607" s="107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6"/>
    </row>
    <row r="608" ht="15.75" customHeight="1">
      <c r="A608" s="109"/>
      <c r="B608" s="104"/>
      <c r="C608" s="104"/>
      <c r="D608" s="105"/>
      <c r="E608" s="106"/>
      <c r="F608" s="107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6"/>
    </row>
    <row r="609" ht="15.75" customHeight="1">
      <c r="A609" s="109"/>
      <c r="B609" s="104"/>
      <c r="C609" s="104"/>
      <c r="D609" s="105"/>
      <c r="E609" s="106"/>
      <c r="F609" s="107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6"/>
    </row>
    <row r="610" ht="15.75" customHeight="1">
      <c r="A610" s="109"/>
      <c r="B610" s="104"/>
      <c r="C610" s="104"/>
      <c r="D610" s="105"/>
      <c r="E610" s="106"/>
      <c r="F610" s="107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6"/>
    </row>
    <row r="611" ht="15.75" customHeight="1">
      <c r="A611" s="109"/>
      <c r="B611" s="104"/>
      <c r="C611" s="104"/>
      <c r="D611" s="105"/>
      <c r="E611" s="106"/>
      <c r="F611" s="107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6"/>
    </row>
    <row r="612" ht="15.75" customHeight="1">
      <c r="A612" s="109"/>
      <c r="B612" s="104"/>
      <c r="C612" s="104"/>
      <c r="D612" s="105"/>
      <c r="E612" s="106"/>
      <c r="F612" s="107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6"/>
    </row>
    <row r="613" ht="15.75" customHeight="1">
      <c r="A613" s="109"/>
      <c r="B613" s="104"/>
      <c r="C613" s="104"/>
      <c r="D613" s="105"/>
      <c r="E613" s="106"/>
      <c r="F613" s="107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6"/>
    </row>
    <row r="614" ht="15.75" customHeight="1">
      <c r="A614" s="109"/>
      <c r="B614" s="104"/>
      <c r="C614" s="104"/>
      <c r="D614" s="105"/>
      <c r="E614" s="106"/>
      <c r="F614" s="107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6"/>
    </row>
    <row r="615" ht="15.75" customHeight="1">
      <c r="A615" s="109"/>
      <c r="B615" s="104"/>
      <c r="C615" s="104"/>
      <c r="D615" s="105"/>
      <c r="E615" s="106"/>
      <c r="F615" s="107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6"/>
    </row>
    <row r="616" ht="15.75" customHeight="1">
      <c r="A616" s="109"/>
      <c r="B616" s="104"/>
      <c r="C616" s="104"/>
      <c r="D616" s="105"/>
      <c r="E616" s="106"/>
      <c r="F616" s="107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6"/>
    </row>
    <row r="617" ht="15.75" customHeight="1">
      <c r="A617" s="109"/>
      <c r="B617" s="104"/>
      <c r="C617" s="104"/>
      <c r="D617" s="105"/>
      <c r="E617" s="106"/>
      <c r="F617" s="107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6"/>
    </row>
    <row r="618" ht="15.75" customHeight="1">
      <c r="A618" s="109"/>
      <c r="B618" s="104"/>
      <c r="C618" s="104"/>
      <c r="D618" s="105"/>
      <c r="E618" s="106"/>
      <c r="F618" s="107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6"/>
    </row>
    <row r="619" ht="15.75" customHeight="1">
      <c r="A619" s="109"/>
      <c r="B619" s="104"/>
      <c r="C619" s="104"/>
      <c r="D619" s="105"/>
      <c r="E619" s="106"/>
      <c r="F619" s="107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6"/>
    </row>
    <row r="620" ht="15.75" customHeight="1">
      <c r="A620" s="109"/>
      <c r="B620" s="104"/>
      <c r="C620" s="104"/>
      <c r="D620" s="105"/>
      <c r="E620" s="106"/>
      <c r="F620" s="107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6"/>
    </row>
    <row r="621" ht="15.75" customHeight="1">
      <c r="A621" s="109"/>
      <c r="B621" s="104"/>
      <c r="C621" s="104"/>
      <c r="D621" s="105"/>
      <c r="E621" s="106"/>
      <c r="F621" s="107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6"/>
    </row>
    <row r="622" ht="15.75" customHeight="1">
      <c r="A622" s="109"/>
      <c r="B622" s="104"/>
      <c r="C622" s="104"/>
      <c r="D622" s="105"/>
      <c r="E622" s="106"/>
      <c r="F622" s="107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6"/>
    </row>
    <row r="623" ht="15.75" customHeight="1">
      <c r="A623" s="109"/>
      <c r="B623" s="104"/>
      <c r="C623" s="104"/>
      <c r="D623" s="105"/>
      <c r="E623" s="106"/>
      <c r="F623" s="107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6"/>
    </row>
    <row r="624" ht="15.75" customHeight="1">
      <c r="A624" s="109"/>
      <c r="B624" s="104"/>
      <c r="C624" s="104"/>
      <c r="D624" s="105"/>
      <c r="E624" s="106"/>
      <c r="F624" s="107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6"/>
    </row>
    <row r="625" ht="15.75" customHeight="1">
      <c r="A625" s="109"/>
      <c r="B625" s="104"/>
      <c r="C625" s="104"/>
      <c r="D625" s="105"/>
      <c r="E625" s="106"/>
      <c r="F625" s="107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6"/>
    </row>
    <row r="626" ht="15.75" customHeight="1">
      <c r="A626" s="109"/>
      <c r="B626" s="104"/>
      <c r="C626" s="104"/>
      <c r="D626" s="105"/>
      <c r="E626" s="106"/>
      <c r="F626" s="107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6"/>
    </row>
    <row r="627" ht="15.75" customHeight="1">
      <c r="A627" s="109"/>
      <c r="B627" s="104"/>
      <c r="C627" s="104"/>
      <c r="D627" s="105"/>
      <c r="E627" s="106"/>
      <c r="F627" s="107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6"/>
    </row>
    <row r="628" ht="15.75" customHeight="1">
      <c r="A628" s="109"/>
      <c r="B628" s="104"/>
      <c r="C628" s="104"/>
      <c r="D628" s="105"/>
      <c r="E628" s="106"/>
      <c r="F628" s="107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6"/>
    </row>
    <row r="629" ht="15.75" customHeight="1">
      <c r="A629" s="109"/>
      <c r="B629" s="104"/>
      <c r="C629" s="104"/>
      <c r="D629" s="105"/>
      <c r="E629" s="106"/>
      <c r="F629" s="107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6"/>
    </row>
    <row r="630" ht="15.75" customHeight="1">
      <c r="A630" s="109"/>
      <c r="B630" s="104"/>
      <c r="C630" s="104"/>
      <c r="D630" s="105"/>
      <c r="E630" s="106"/>
      <c r="F630" s="107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6"/>
    </row>
    <row r="631" ht="15.75" customHeight="1">
      <c r="A631" s="109"/>
      <c r="B631" s="104"/>
      <c r="C631" s="104"/>
      <c r="D631" s="105"/>
      <c r="E631" s="106"/>
      <c r="F631" s="107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6"/>
    </row>
    <row r="632" ht="15.75" customHeight="1">
      <c r="A632" s="109"/>
      <c r="B632" s="104"/>
      <c r="C632" s="104"/>
      <c r="D632" s="105"/>
      <c r="E632" s="106"/>
      <c r="F632" s="107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6"/>
    </row>
    <row r="633" ht="15.75" customHeight="1">
      <c r="A633" s="109"/>
      <c r="B633" s="104"/>
      <c r="C633" s="104"/>
      <c r="D633" s="105"/>
      <c r="E633" s="106"/>
      <c r="F633" s="107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6"/>
    </row>
    <row r="634" ht="15.75" customHeight="1">
      <c r="A634" s="109"/>
      <c r="B634" s="104"/>
      <c r="C634" s="104"/>
      <c r="D634" s="105"/>
      <c r="E634" s="106"/>
      <c r="F634" s="107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6"/>
    </row>
    <row r="635" ht="15.75" customHeight="1">
      <c r="A635" s="109"/>
      <c r="B635" s="104"/>
      <c r="C635" s="104"/>
      <c r="D635" s="105"/>
      <c r="E635" s="106"/>
      <c r="F635" s="107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6"/>
    </row>
    <row r="636" ht="15.75" customHeight="1">
      <c r="A636" s="109"/>
      <c r="B636" s="104"/>
      <c r="C636" s="104"/>
      <c r="D636" s="105"/>
      <c r="E636" s="106"/>
      <c r="F636" s="107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6"/>
    </row>
    <row r="637" ht="15.75" customHeight="1">
      <c r="A637" s="109"/>
      <c r="B637" s="104"/>
      <c r="C637" s="104"/>
      <c r="D637" s="105"/>
      <c r="E637" s="106"/>
      <c r="F637" s="107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6"/>
    </row>
    <row r="638" ht="15.75" customHeight="1">
      <c r="A638" s="109"/>
      <c r="B638" s="104"/>
      <c r="C638" s="104"/>
      <c r="D638" s="105"/>
      <c r="E638" s="106"/>
      <c r="F638" s="107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6"/>
    </row>
    <row r="639" ht="15.75" customHeight="1">
      <c r="A639" s="109"/>
      <c r="B639" s="104"/>
      <c r="C639" s="104"/>
      <c r="D639" s="105"/>
      <c r="E639" s="106"/>
      <c r="F639" s="107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6"/>
    </row>
    <row r="640" ht="15.75" customHeight="1">
      <c r="A640" s="109"/>
      <c r="B640" s="104"/>
      <c r="C640" s="104"/>
      <c r="D640" s="105"/>
      <c r="E640" s="106"/>
      <c r="F640" s="107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6"/>
    </row>
    <row r="641" ht="15.75" customHeight="1">
      <c r="A641" s="109"/>
      <c r="B641" s="104"/>
      <c r="C641" s="104"/>
      <c r="D641" s="105"/>
      <c r="E641" s="106"/>
      <c r="F641" s="107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6"/>
    </row>
    <row r="642" ht="15.75" customHeight="1">
      <c r="A642" s="109"/>
      <c r="B642" s="104"/>
      <c r="C642" s="104"/>
      <c r="D642" s="105"/>
      <c r="E642" s="106"/>
      <c r="F642" s="107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6"/>
    </row>
    <row r="643" ht="15.75" customHeight="1">
      <c r="A643" s="109"/>
      <c r="B643" s="104"/>
      <c r="C643" s="104"/>
      <c r="D643" s="105"/>
      <c r="E643" s="106"/>
      <c r="F643" s="107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6"/>
    </row>
    <row r="644" ht="15.75" customHeight="1">
      <c r="A644" s="109"/>
      <c r="B644" s="104"/>
      <c r="C644" s="104"/>
      <c r="D644" s="105"/>
      <c r="E644" s="106"/>
      <c r="F644" s="107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6"/>
    </row>
    <row r="645" ht="15.75" customHeight="1">
      <c r="A645" s="109"/>
      <c r="B645" s="104"/>
      <c r="C645" s="104"/>
      <c r="D645" s="105"/>
      <c r="E645" s="106"/>
      <c r="F645" s="107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6"/>
    </row>
    <row r="646" ht="15.75" customHeight="1">
      <c r="A646" s="109"/>
      <c r="B646" s="104"/>
      <c r="C646" s="104"/>
      <c r="D646" s="105"/>
      <c r="E646" s="106"/>
      <c r="F646" s="107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6"/>
    </row>
    <row r="647" ht="15.75" customHeight="1">
      <c r="A647" s="109"/>
      <c r="B647" s="104"/>
      <c r="C647" s="104"/>
      <c r="D647" s="105"/>
      <c r="E647" s="106"/>
      <c r="F647" s="107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6"/>
    </row>
    <row r="648" ht="15.75" customHeight="1">
      <c r="A648" s="109"/>
      <c r="B648" s="104"/>
      <c r="C648" s="104"/>
      <c r="D648" s="105"/>
      <c r="E648" s="106"/>
      <c r="F648" s="107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6"/>
    </row>
    <row r="649" ht="15.75" customHeight="1">
      <c r="A649" s="109"/>
      <c r="B649" s="104"/>
      <c r="C649" s="104"/>
      <c r="D649" s="105"/>
      <c r="E649" s="106"/>
      <c r="F649" s="107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6"/>
    </row>
    <row r="650" ht="15.75" customHeight="1">
      <c r="A650" s="109"/>
      <c r="B650" s="104"/>
      <c r="C650" s="104"/>
      <c r="D650" s="105"/>
      <c r="E650" s="106"/>
      <c r="F650" s="107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6"/>
    </row>
    <row r="651" ht="15.75" customHeight="1">
      <c r="A651" s="109"/>
      <c r="B651" s="104"/>
      <c r="C651" s="104"/>
      <c r="D651" s="105"/>
      <c r="E651" s="106"/>
      <c r="F651" s="107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6"/>
    </row>
    <row r="652" ht="15.75" customHeight="1">
      <c r="A652" s="109"/>
      <c r="B652" s="104"/>
      <c r="C652" s="104"/>
      <c r="D652" s="105"/>
      <c r="E652" s="106"/>
      <c r="F652" s="107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6"/>
    </row>
    <row r="653" ht="15.75" customHeight="1">
      <c r="A653" s="109"/>
      <c r="B653" s="104"/>
      <c r="C653" s="104"/>
      <c r="D653" s="105"/>
      <c r="E653" s="106"/>
      <c r="F653" s="107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6"/>
    </row>
    <row r="654" ht="15.75" customHeight="1">
      <c r="A654" s="109"/>
      <c r="B654" s="104"/>
      <c r="C654" s="104"/>
      <c r="D654" s="105"/>
      <c r="E654" s="106"/>
      <c r="F654" s="107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6"/>
    </row>
    <row r="655" ht="15.75" customHeight="1">
      <c r="A655" s="109"/>
      <c r="B655" s="104"/>
      <c r="C655" s="104"/>
      <c r="D655" s="105"/>
      <c r="E655" s="106"/>
      <c r="F655" s="107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6"/>
    </row>
    <row r="656" ht="15.75" customHeight="1">
      <c r="A656" s="109"/>
      <c r="B656" s="104"/>
      <c r="C656" s="104"/>
      <c r="D656" s="105"/>
      <c r="E656" s="106"/>
      <c r="F656" s="107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6"/>
    </row>
    <row r="657" ht="15.75" customHeight="1">
      <c r="A657" s="109"/>
      <c r="B657" s="104"/>
      <c r="C657" s="104"/>
      <c r="D657" s="105"/>
      <c r="E657" s="106"/>
      <c r="F657" s="107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6"/>
    </row>
    <row r="658" ht="15.75" customHeight="1">
      <c r="A658" s="109"/>
      <c r="B658" s="104"/>
      <c r="C658" s="104"/>
      <c r="D658" s="105"/>
      <c r="E658" s="106"/>
      <c r="F658" s="107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6"/>
    </row>
    <row r="659" ht="15.75" customHeight="1">
      <c r="A659" s="109"/>
      <c r="B659" s="104"/>
      <c r="C659" s="104"/>
      <c r="D659" s="105"/>
      <c r="E659" s="106"/>
      <c r="F659" s="107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6"/>
    </row>
    <row r="660" ht="15.75" customHeight="1">
      <c r="A660" s="109"/>
      <c r="B660" s="104"/>
      <c r="C660" s="104"/>
      <c r="D660" s="105"/>
      <c r="E660" s="106"/>
      <c r="F660" s="107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6"/>
    </row>
    <row r="661" ht="15.75" customHeight="1">
      <c r="A661" s="109"/>
      <c r="B661" s="104"/>
      <c r="C661" s="104"/>
      <c r="D661" s="105"/>
      <c r="E661" s="106"/>
      <c r="F661" s="107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6"/>
    </row>
    <row r="662" ht="15.75" customHeight="1">
      <c r="A662" s="109"/>
      <c r="B662" s="104"/>
      <c r="C662" s="104"/>
      <c r="D662" s="105"/>
      <c r="E662" s="106"/>
      <c r="F662" s="107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6"/>
    </row>
    <row r="663" ht="15.75" customHeight="1">
      <c r="A663" s="109"/>
      <c r="B663" s="104"/>
      <c r="C663" s="104"/>
      <c r="D663" s="105"/>
      <c r="E663" s="106"/>
      <c r="F663" s="107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6"/>
    </row>
    <row r="664" ht="15.75" customHeight="1">
      <c r="A664" s="109"/>
      <c r="B664" s="104"/>
      <c r="C664" s="104"/>
      <c r="D664" s="105"/>
      <c r="E664" s="106"/>
      <c r="F664" s="107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6"/>
    </row>
    <row r="665" ht="15.75" customHeight="1">
      <c r="A665" s="109"/>
      <c r="B665" s="104"/>
      <c r="C665" s="104"/>
      <c r="D665" s="105"/>
      <c r="E665" s="106"/>
      <c r="F665" s="107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6"/>
    </row>
    <row r="666" ht="15.75" customHeight="1">
      <c r="A666" s="109"/>
      <c r="B666" s="104"/>
      <c r="C666" s="104"/>
      <c r="D666" s="105"/>
      <c r="E666" s="106"/>
      <c r="F666" s="107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6"/>
    </row>
    <row r="667" ht="15.75" customHeight="1">
      <c r="A667" s="109"/>
      <c r="B667" s="104"/>
      <c r="C667" s="104"/>
      <c r="D667" s="105"/>
      <c r="E667" s="106"/>
      <c r="F667" s="107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6"/>
    </row>
    <row r="668" ht="15.75" customHeight="1">
      <c r="A668" s="109"/>
      <c r="B668" s="104"/>
      <c r="C668" s="104"/>
      <c r="D668" s="105"/>
      <c r="E668" s="106"/>
      <c r="F668" s="107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6"/>
    </row>
    <row r="669" ht="15.75" customHeight="1">
      <c r="A669" s="109"/>
      <c r="B669" s="104"/>
      <c r="C669" s="104"/>
      <c r="D669" s="105"/>
      <c r="E669" s="106"/>
      <c r="F669" s="107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6"/>
    </row>
    <row r="670" ht="15.75" customHeight="1">
      <c r="A670" s="109"/>
      <c r="B670" s="104"/>
      <c r="C670" s="104"/>
      <c r="D670" s="105"/>
      <c r="E670" s="106"/>
      <c r="F670" s="107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6"/>
    </row>
    <row r="671" ht="15.75" customHeight="1">
      <c r="A671" s="109"/>
      <c r="B671" s="104"/>
      <c r="C671" s="104"/>
      <c r="D671" s="105"/>
      <c r="E671" s="106"/>
      <c r="F671" s="107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6"/>
    </row>
    <row r="672" ht="15.75" customHeight="1">
      <c r="A672" s="109"/>
      <c r="B672" s="104"/>
      <c r="C672" s="104"/>
      <c r="D672" s="105"/>
      <c r="E672" s="106"/>
      <c r="F672" s="107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6"/>
    </row>
    <row r="673" ht="15.75" customHeight="1">
      <c r="A673" s="109"/>
      <c r="B673" s="104"/>
      <c r="C673" s="104"/>
      <c r="D673" s="105"/>
      <c r="E673" s="106"/>
      <c r="F673" s="107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6"/>
    </row>
    <row r="674" ht="15.75" customHeight="1">
      <c r="A674" s="109"/>
      <c r="B674" s="104"/>
      <c r="C674" s="104"/>
      <c r="D674" s="105"/>
      <c r="E674" s="106"/>
      <c r="F674" s="107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6"/>
    </row>
    <row r="675" ht="15.75" customHeight="1">
      <c r="A675" s="109"/>
      <c r="B675" s="104"/>
      <c r="C675" s="104"/>
      <c r="D675" s="105"/>
      <c r="E675" s="106"/>
      <c r="F675" s="107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6"/>
    </row>
    <row r="676" ht="15.75" customHeight="1">
      <c r="A676" s="109"/>
      <c r="B676" s="104"/>
      <c r="C676" s="104"/>
      <c r="D676" s="105"/>
      <c r="E676" s="106"/>
      <c r="F676" s="107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6"/>
    </row>
    <row r="677" ht="15.75" customHeight="1">
      <c r="A677" s="109"/>
      <c r="B677" s="104"/>
      <c r="C677" s="104"/>
      <c r="D677" s="105"/>
      <c r="E677" s="106"/>
      <c r="F677" s="107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6"/>
    </row>
    <row r="678" ht="15.75" customHeight="1">
      <c r="A678" s="109"/>
      <c r="B678" s="104"/>
      <c r="C678" s="104"/>
      <c r="D678" s="105"/>
      <c r="E678" s="106"/>
      <c r="F678" s="107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6"/>
    </row>
    <row r="679" ht="15.75" customHeight="1">
      <c r="A679" s="109"/>
      <c r="B679" s="104"/>
      <c r="C679" s="104"/>
      <c r="D679" s="105"/>
      <c r="E679" s="106"/>
      <c r="F679" s="107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6"/>
    </row>
    <row r="680" ht="15.75" customHeight="1">
      <c r="A680" s="109"/>
      <c r="B680" s="104"/>
      <c r="C680" s="104"/>
      <c r="D680" s="105"/>
      <c r="E680" s="106"/>
      <c r="F680" s="107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6"/>
    </row>
    <row r="681" ht="15.75" customHeight="1">
      <c r="A681" s="109"/>
      <c r="B681" s="104"/>
      <c r="C681" s="104"/>
      <c r="D681" s="105"/>
      <c r="E681" s="106"/>
      <c r="F681" s="107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6"/>
    </row>
    <row r="682" ht="15.75" customHeight="1">
      <c r="A682" s="109"/>
      <c r="B682" s="104"/>
      <c r="C682" s="104"/>
      <c r="D682" s="105"/>
      <c r="E682" s="106"/>
      <c r="F682" s="107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6"/>
    </row>
    <row r="683" ht="15.75" customHeight="1">
      <c r="A683" s="109"/>
      <c r="B683" s="104"/>
      <c r="C683" s="104"/>
      <c r="D683" s="105"/>
      <c r="E683" s="106"/>
      <c r="F683" s="107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6"/>
    </row>
    <row r="684" ht="15.75" customHeight="1">
      <c r="A684" s="109"/>
      <c r="B684" s="104"/>
      <c r="C684" s="104"/>
      <c r="D684" s="105"/>
      <c r="E684" s="106"/>
      <c r="F684" s="107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6"/>
    </row>
    <row r="685" ht="15.75" customHeight="1">
      <c r="A685" s="109"/>
      <c r="B685" s="104"/>
      <c r="C685" s="104"/>
      <c r="D685" s="105"/>
      <c r="E685" s="106"/>
      <c r="F685" s="107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6"/>
    </row>
    <row r="686" ht="15.75" customHeight="1">
      <c r="A686" s="109"/>
      <c r="B686" s="104"/>
      <c r="C686" s="104"/>
      <c r="D686" s="105"/>
      <c r="E686" s="106"/>
      <c r="F686" s="107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6"/>
    </row>
    <row r="687" ht="15.75" customHeight="1">
      <c r="A687" s="109"/>
      <c r="B687" s="104"/>
      <c r="C687" s="104"/>
      <c r="D687" s="105"/>
      <c r="E687" s="106"/>
      <c r="F687" s="107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6"/>
    </row>
    <row r="688" ht="15.75" customHeight="1">
      <c r="A688" s="109"/>
      <c r="B688" s="104"/>
      <c r="C688" s="104"/>
      <c r="D688" s="105"/>
      <c r="E688" s="106"/>
      <c r="F688" s="107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6"/>
    </row>
    <row r="689" ht="15.75" customHeight="1">
      <c r="A689" s="109"/>
      <c r="B689" s="104"/>
      <c r="C689" s="104"/>
      <c r="D689" s="105"/>
      <c r="E689" s="106"/>
      <c r="F689" s="107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6"/>
    </row>
    <row r="690" ht="15.75" customHeight="1">
      <c r="A690" s="109"/>
      <c r="B690" s="104"/>
      <c r="C690" s="104"/>
      <c r="D690" s="105"/>
      <c r="E690" s="106"/>
      <c r="F690" s="107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6"/>
    </row>
    <row r="691" ht="15.75" customHeight="1">
      <c r="A691" s="109"/>
      <c r="B691" s="104"/>
      <c r="C691" s="104"/>
      <c r="D691" s="105"/>
      <c r="E691" s="106"/>
      <c r="F691" s="107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6"/>
    </row>
    <row r="692" ht="15.75" customHeight="1">
      <c r="A692" s="109"/>
      <c r="B692" s="104"/>
      <c r="C692" s="104"/>
      <c r="D692" s="105"/>
      <c r="E692" s="106"/>
      <c r="F692" s="107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6"/>
    </row>
    <row r="693" ht="15.75" customHeight="1">
      <c r="A693" s="109"/>
      <c r="B693" s="104"/>
      <c r="C693" s="104"/>
      <c r="D693" s="105"/>
      <c r="E693" s="106"/>
      <c r="F693" s="107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6"/>
    </row>
    <row r="694" ht="15.75" customHeight="1">
      <c r="A694" s="109"/>
      <c r="B694" s="104"/>
      <c r="C694" s="104"/>
      <c r="D694" s="105"/>
      <c r="E694" s="106"/>
      <c r="F694" s="107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6"/>
    </row>
    <row r="695" ht="15.75" customHeight="1">
      <c r="A695" s="109"/>
      <c r="B695" s="104"/>
      <c r="C695" s="104"/>
      <c r="D695" s="105"/>
      <c r="E695" s="106"/>
      <c r="F695" s="107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6"/>
    </row>
    <row r="696" ht="15.75" customHeight="1">
      <c r="A696" s="109"/>
      <c r="B696" s="104"/>
      <c r="C696" s="104"/>
      <c r="D696" s="105"/>
      <c r="E696" s="106"/>
      <c r="F696" s="107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6"/>
    </row>
    <row r="697" ht="15.75" customHeight="1">
      <c r="A697" s="109"/>
      <c r="B697" s="104"/>
      <c r="C697" s="104"/>
      <c r="D697" s="105"/>
      <c r="E697" s="106"/>
      <c r="F697" s="107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6"/>
    </row>
    <row r="698" ht="15.75" customHeight="1">
      <c r="A698" s="109"/>
      <c r="B698" s="104"/>
      <c r="C698" s="104"/>
      <c r="D698" s="105"/>
      <c r="E698" s="106"/>
      <c r="F698" s="107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6"/>
    </row>
    <row r="699" ht="15.75" customHeight="1">
      <c r="A699" s="109"/>
      <c r="B699" s="104"/>
      <c r="C699" s="104"/>
      <c r="D699" s="105"/>
      <c r="E699" s="106"/>
      <c r="F699" s="107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6"/>
    </row>
    <row r="700" ht="15.75" customHeight="1">
      <c r="A700" s="109"/>
      <c r="B700" s="104"/>
      <c r="C700" s="104"/>
      <c r="D700" s="105"/>
      <c r="E700" s="106"/>
      <c r="F700" s="107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6"/>
    </row>
    <row r="701" ht="15.75" customHeight="1">
      <c r="A701" s="109"/>
      <c r="B701" s="104"/>
      <c r="C701" s="104"/>
      <c r="D701" s="105"/>
      <c r="E701" s="106"/>
      <c r="F701" s="107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6"/>
    </row>
    <row r="702" ht="15.75" customHeight="1">
      <c r="A702" s="109"/>
      <c r="B702" s="104"/>
      <c r="C702" s="104"/>
      <c r="D702" s="105"/>
      <c r="E702" s="106"/>
      <c r="F702" s="107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6"/>
    </row>
    <row r="703" ht="15.75" customHeight="1">
      <c r="A703" s="109"/>
      <c r="B703" s="104"/>
      <c r="C703" s="104"/>
      <c r="D703" s="105"/>
      <c r="E703" s="106"/>
      <c r="F703" s="107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6"/>
    </row>
    <row r="704" ht="15.75" customHeight="1">
      <c r="A704" s="109"/>
      <c r="B704" s="104"/>
      <c r="C704" s="104"/>
      <c r="D704" s="105"/>
      <c r="E704" s="106"/>
      <c r="F704" s="107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6"/>
    </row>
    <row r="705" ht="15.75" customHeight="1">
      <c r="A705" s="109"/>
      <c r="B705" s="104"/>
      <c r="C705" s="104"/>
      <c r="D705" s="105"/>
      <c r="E705" s="106"/>
      <c r="F705" s="107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6"/>
    </row>
    <row r="706" ht="15.75" customHeight="1">
      <c r="A706" s="109"/>
      <c r="B706" s="104"/>
      <c r="C706" s="104"/>
      <c r="D706" s="105"/>
      <c r="E706" s="106"/>
      <c r="F706" s="107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6"/>
    </row>
    <row r="707" ht="15.75" customHeight="1">
      <c r="A707" s="109"/>
      <c r="B707" s="104"/>
      <c r="C707" s="104"/>
      <c r="D707" s="105"/>
      <c r="E707" s="106"/>
      <c r="F707" s="107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6"/>
    </row>
    <row r="708" ht="15.75" customHeight="1">
      <c r="A708" s="109"/>
      <c r="B708" s="104"/>
      <c r="C708" s="104"/>
      <c r="D708" s="105"/>
      <c r="E708" s="106"/>
      <c r="F708" s="107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6"/>
    </row>
    <row r="709" ht="15.75" customHeight="1">
      <c r="A709" s="109"/>
      <c r="B709" s="104"/>
      <c r="C709" s="104"/>
      <c r="D709" s="105"/>
      <c r="E709" s="106"/>
      <c r="F709" s="107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6"/>
    </row>
    <row r="710" ht="15.75" customHeight="1">
      <c r="A710" s="109"/>
      <c r="B710" s="104"/>
      <c r="C710" s="104"/>
      <c r="D710" s="105"/>
      <c r="E710" s="106"/>
      <c r="F710" s="107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6"/>
    </row>
    <row r="711" ht="15.75" customHeight="1">
      <c r="A711" s="109"/>
      <c r="B711" s="104"/>
      <c r="C711" s="104"/>
      <c r="D711" s="105"/>
      <c r="E711" s="106"/>
      <c r="F711" s="107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6"/>
    </row>
    <row r="712" ht="15.75" customHeight="1">
      <c r="A712" s="109"/>
      <c r="B712" s="104"/>
      <c r="C712" s="104"/>
      <c r="D712" s="105"/>
      <c r="E712" s="106"/>
      <c r="F712" s="107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6"/>
    </row>
    <row r="713" ht="15.75" customHeight="1">
      <c r="A713" s="109"/>
      <c r="B713" s="104"/>
      <c r="C713" s="104"/>
      <c r="D713" s="105"/>
      <c r="E713" s="106"/>
      <c r="F713" s="107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6"/>
    </row>
    <row r="714" ht="15.75" customHeight="1">
      <c r="A714" s="109"/>
      <c r="B714" s="104"/>
      <c r="C714" s="104"/>
      <c r="D714" s="105"/>
      <c r="E714" s="106"/>
      <c r="F714" s="107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6"/>
    </row>
    <row r="715" ht="15.75" customHeight="1">
      <c r="A715" s="109"/>
      <c r="B715" s="104"/>
      <c r="C715" s="104"/>
      <c r="D715" s="105"/>
      <c r="E715" s="106"/>
      <c r="F715" s="107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6"/>
    </row>
    <row r="716" ht="15.75" customHeight="1">
      <c r="A716" s="109"/>
      <c r="B716" s="104"/>
      <c r="C716" s="104"/>
      <c r="D716" s="105"/>
      <c r="E716" s="106"/>
      <c r="F716" s="107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6"/>
    </row>
    <row r="717" ht="15.75" customHeight="1">
      <c r="A717" s="109"/>
      <c r="B717" s="104"/>
      <c r="C717" s="104"/>
      <c r="D717" s="105"/>
      <c r="E717" s="106"/>
      <c r="F717" s="107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6"/>
    </row>
    <row r="718" ht="15.75" customHeight="1">
      <c r="A718" s="109"/>
      <c r="B718" s="104"/>
      <c r="C718" s="104"/>
      <c r="D718" s="105"/>
      <c r="E718" s="106"/>
      <c r="F718" s="107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6"/>
    </row>
    <row r="719" ht="15.75" customHeight="1">
      <c r="A719" s="109"/>
      <c r="B719" s="104"/>
      <c r="C719" s="104"/>
      <c r="D719" s="105"/>
      <c r="E719" s="106"/>
      <c r="F719" s="107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6"/>
    </row>
    <row r="720" ht="15.75" customHeight="1">
      <c r="A720" s="109"/>
      <c r="B720" s="104"/>
      <c r="C720" s="104"/>
      <c r="D720" s="105"/>
      <c r="E720" s="106"/>
      <c r="F720" s="107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6"/>
    </row>
    <row r="721" ht="15.75" customHeight="1">
      <c r="A721" s="109"/>
      <c r="B721" s="104"/>
      <c r="C721" s="104"/>
      <c r="D721" s="105"/>
      <c r="E721" s="106"/>
      <c r="F721" s="107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6"/>
    </row>
    <row r="722" ht="15.75" customHeight="1">
      <c r="A722" s="109"/>
      <c r="B722" s="104"/>
      <c r="C722" s="104"/>
      <c r="D722" s="105"/>
      <c r="E722" s="106"/>
      <c r="F722" s="107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6"/>
    </row>
    <row r="723" ht="15.75" customHeight="1">
      <c r="A723" s="109"/>
      <c r="B723" s="104"/>
      <c r="C723" s="104"/>
      <c r="D723" s="105"/>
      <c r="E723" s="106"/>
      <c r="F723" s="107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6"/>
    </row>
    <row r="724" ht="15.75" customHeight="1">
      <c r="A724" s="109"/>
      <c r="B724" s="104"/>
      <c r="C724" s="104"/>
      <c r="D724" s="105"/>
      <c r="E724" s="106"/>
      <c r="F724" s="107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6"/>
    </row>
    <row r="725" ht="15.75" customHeight="1">
      <c r="A725" s="109"/>
      <c r="B725" s="104"/>
      <c r="C725" s="104"/>
      <c r="D725" s="105"/>
      <c r="E725" s="106"/>
      <c r="F725" s="107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6"/>
    </row>
    <row r="726" ht="15.75" customHeight="1">
      <c r="A726" s="109"/>
      <c r="B726" s="104"/>
      <c r="C726" s="104"/>
      <c r="D726" s="105"/>
      <c r="E726" s="106"/>
      <c r="F726" s="107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6"/>
    </row>
    <row r="727" ht="15.75" customHeight="1">
      <c r="A727" s="109"/>
      <c r="B727" s="104"/>
      <c r="C727" s="104"/>
      <c r="D727" s="105"/>
      <c r="E727" s="106"/>
      <c r="F727" s="107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6"/>
    </row>
    <row r="728" ht="15.75" customHeight="1">
      <c r="A728" s="109"/>
      <c r="B728" s="104"/>
      <c r="C728" s="104"/>
      <c r="D728" s="105"/>
      <c r="E728" s="106"/>
      <c r="F728" s="107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6"/>
    </row>
    <row r="729" ht="15.75" customHeight="1">
      <c r="A729" s="109"/>
      <c r="B729" s="104"/>
      <c r="C729" s="104"/>
      <c r="D729" s="105"/>
      <c r="E729" s="106"/>
      <c r="F729" s="107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6"/>
    </row>
    <row r="730" ht="15.75" customHeight="1">
      <c r="A730" s="109"/>
      <c r="B730" s="104"/>
      <c r="C730" s="104"/>
      <c r="D730" s="105"/>
      <c r="E730" s="106"/>
      <c r="F730" s="107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6"/>
    </row>
    <row r="731" ht="15.75" customHeight="1">
      <c r="A731" s="109"/>
      <c r="B731" s="104"/>
      <c r="C731" s="104"/>
      <c r="D731" s="105"/>
      <c r="E731" s="106"/>
      <c r="F731" s="107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6"/>
    </row>
    <row r="732" ht="15.75" customHeight="1">
      <c r="A732" s="109"/>
      <c r="B732" s="104"/>
      <c r="C732" s="104"/>
      <c r="D732" s="105"/>
      <c r="E732" s="106"/>
      <c r="F732" s="107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6"/>
    </row>
    <row r="733" ht="15.75" customHeight="1">
      <c r="A733" s="109"/>
      <c r="B733" s="104"/>
      <c r="C733" s="104"/>
      <c r="D733" s="105"/>
      <c r="E733" s="106"/>
      <c r="F733" s="107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6"/>
    </row>
    <row r="734" ht="15.75" customHeight="1">
      <c r="A734" s="109"/>
      <c r="B734" s="104"/>
      <c r="C734" s="104"/>
      <c r="D734" s="105"/>
      <c r="E734" s="106"/>
      <c r="F734" s="107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6"/>
    </row>
    <row r="735" ht="15.75" customHeight="1">
      <c r="A735" s="109"/>
      <c r="B735" s="104"/>
      <c r="C735" s="104"/>
      <c r="D735" s="105"/>
      <c r="E735" s="106"/>
      <c r="F735" s="107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6"/>
    </row>
    <row r="736" ht="15.75" customHeight="1">
      <c r="A736" s="109"/>
      <c r="B736" s="104"/>
      <c r="C736" s="104"/>
      <c r="D736" s="105"/>
      <c r="E736" s="106"/>
      <c r="F736" s="107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6"/>
    </row>
    <row r="737" ht="15.75" customHeight="1">
      <c r="A737" s="109"/>
      <c r="B737" s="104"/>
      <c r="C737" s="104"/>
      <c r="D737" s="105"/>
      <c r="E737" s="106"/>
      <c r="F737" s="107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6"/>
    </row>
    <row r="738" ht="15.75" customHeight="1">
      <c r="A738" s="109"/>
      <c r="B738" s="104"/>
      <c r="C738" s="104"/>
      <c r="D738" s="105"/>
      <c r="E738" s="106"/>
      <c r="F738" s="107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6"/>
    </row>
    <row r="739" ht="15.75" customHeight="1">
      <c r="A739" s="109"/>
      <c r="B739" s="104"/>
      <c r="C739" s="104"/>
      <c r="D739" s="105"/>
      <c r="E739" s="106"/>
      <c r="F739" s="107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6"/>
    </row>
    <row r="740" ht="15.75" customHeight="1">
      <c r="A740" s="109"/>
      <c r="B740" s="104"/>
      <c r="C740" s="104"/>
      <c r="D740" s="105"/>
      <c r="E740" s="106"/>
      <c r="F740" s="107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6"/>
    </row>
    <row r="741" ht="15.75" customHeight="1">
      <c r="A741" s="109"/>
      <c r="B741" s="104"/>
      <c r="C741" s="104"/>
      <c r="D741" s="105"/>
      <c r="E741" s="106"/>
      <c r="F741" s="107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6"/>
    </row>
    <row r="742" ht="15.75" customHeight="1">
      <c r="A742" s="109"/>
      <c r="B742" s="104"/>
      <c r="C742" s="104"/>
      <c r="D742" s="105"/>
      <c r="E742" s="106"/>
      <c r="F742" s="107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6"/>
    </row>
    <row r="743" ht="15.75" customHeight="1">
      <c r="A743" s="109"/>
      <c r="B743" s="104"/>
      <c r="C743" s="104"/>
      <c r="D743" s="105"/>
      <c r="E743" s="106"/>
      <c r="F743" s="107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6"/>
    </row>
    <row r="744" ht="15.75" customHeight="1">
      <c r="A744" s="109"/>
      <c r="B744" s="104"/>
      <c r="C744" s="104"/>
      <c r="D744" s="105"/>
      <c r="E744" s="106"/>
      <c r="F744" s="107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6"/>
    </row>
    <row r="745" ht="15.75" customHeight="1">
      <c r="A745" s="109"/>
      <c r="B745" s="104"/>
      <c r="C745" s="104"/>
      <c r="D745" s="105"/>
      <c r="E745" s="106"/>
      <c r="F745" s="107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6"/>
    </row>
    <row r="746" ht="15.75" customHeight="1">
      <c r="A746" s="109"/>
      <c r="B746" s="104"/>
      <c r="C746" s="104"/>
      <c r="D746" s="105"/>
      <c r="E746" s="106"/>
      <c r="F746" s="107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6"/>
    </row>
    <row r="747" ht="15.75" customHeight="1">
      <c r="A747" s="109"/>
      <c r="B747" s="104"/>
      <c r="C747" s="104"/>
      <c r="D747" s="105"/>
      <c r="E747" s="106"/>
      <c r="F747" s="107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6"/>
    </row>
    <row r="748" ht="15.75" customHeight="1">
      <c r="A748" s="109"/>
      <c r="B748" s="104"/>
      <c r="C748" s="104"/>
      <c r="D748" s="105"/>
      <c r="E748" s="106"/>
      <c r="F748" s="107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6"/>
    </row>
    <row r="749" ht="15.75" customHeight="1">
      <c r="A749" s="109"/>
      <c r="B749" s="104"/>
      <c r="C749" s="104"/>
      <c r="D749" s="105"/>
      <c r="E749" s="106"/>
      <c r="F749" s="107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6"/>
    </row>
    <row r="750" ht="15.75" customHeight="1">
      <c r="A750" s="109"/>
      <c r="B750" s="104"/>
      <c r="C750" s="104"/>
      <c r="D750" s="105"/>
      <c r="E750" s="106"/>
      <c r="F750" s="107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6"/>
    </row>
    <row r="751" ht="15.75" customHeight="1">
      <c r="A751" s="109"/>
      <c r="B751" s="104"/>
      <c r="C751" s="104"/>
      <c r="D751" s="105"/>
      <c r="E751" s="106"/>
      <c r="F751" s="107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6"/>
    </row>
    <row r="752" ht="15.75" customHeight="1">
      <c r="A752" s="109"/>
      <c r="B752" s="104"/>
      <c r="C752" s="104"/>
      <c r="D752" s="105"/>
      <c r="E752" s="106"/>
      <c r="F752" s="107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6"/>
    </row>
    <row r="753" ht="15.75" customHeight="1">
      <c r="A753" s="109"/>
      <c r="B753" s="104"/>
      <c r="C753" s="104"/>
      <c r="D753" s="105"/>
      <c r="E753" s="106"/>
      <c r="F753" s="107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6"/>
    </row>
    <row r="754" ht="15.75" customHeight="1">
      <c r="A754" s="109"/>
      <c r="B754" s="104"/>
      <c r="C754" s="104"/>
      <c r="D754" s="105"/>
      <c r="E754" s="106"/>
      <c r="F754" s="107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6"/>
    </row>
    <row r="755" ht="15.75" customHeight="1">
      <c r="A755" s="109"/>
      <c r="B755" s="104"/>
      <c r="C755" s="104"/>
      <c r="D755" s="105"/>
      <c r="E755" s="106"/>
      <c r="F755" s="107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6"/>
    </row>
    <row r="756" ht="15.75" customHeight="1">
      <c r="A756" s="109"/>
      <c r="B756" s="104"/>
      <c r="C756" s="104"/>
      <c r="D756" s="105"/>
      <c r="E756" s="106"/>
      <c r="F756" s="107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6"/>
    </row>
    <row r="757" ht="15.75" customHeight="1">
      <c r="A757" s="109"/>
      <c r="B757" s="104"/>
      <c r="C757" s="104"/>
      <c r="D757" s="105"/>
      <c r="E757" s="106"/>
      <c r="F757" s="107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6"/>
    </row>
    <row r="758" ht="15.75" customHeight="1">
      <c r="A758" s="109"/>
      <c r="B758" s="104"/>
      <c r="C758" s="104"/>
      <c r="D758" s="105"/>
      <c r="E758" s="106"/>
      <c r="F758" s="107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6"/>
    </row>
    <row r="759" ht="15.75" customHeight="1">
      <c r="A759" s="109"/>
      <c r="B759" s="104"/>
      <c r="C759" s="104"/>
      <c r="D759" s="105"/>
      <c r="E759" s="106"/>
      <c r="F759" s="107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6"/>
    </row>
    <row r="760" ht="15.75" customHeight="1">
      <c r="A760" s="109"/>
      <c r="B760" s="104"/>
      <c r="C760" s="104"/>
      <c r="D760" s="105"/>
      <c r="E760" s="106"/>
      <c r="F760" s="107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6"/>
    </row>
    <row r="761" ht="15.75" customHeight="1">
      <c r="A761" s="109"/>
      <c r="B761" s="104"/>
      <c r="C761" s="104"/>
      <c r="D761" s="105"/>
      <c r="E761" s="106"/>
      <c r="F761" s="107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6"/>
    </row>
    <row r="762" ht="15.75" customHeight="1">
      <c r="A762" s="109"/>
      <c r="B762" s="104"/>
      <c r="C762" s="104"/>
      <c r="D762" s="105"/>
      <c r="E762" s="106"/>
      <c r="F762" s="107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6"/>
    </row>
    <row r="763" ht="15.75" customHeight="1">
      <c r="A763" s="109"/>
      <c r="B763" s="104"/>
      <c r="C763" s="104"/>
      <c r="D763" s="105"/>
      <c r="E763" s="106"/>
      <c r="F763" s="107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6"/>
    </row>
    <row r="764" ht="15.75" customHeight="1">
      <c r="A764" s="109"/>
      <c r="B764" s="104"/>
      <c r="C764" s="104"/>
      <c r="D764" s="105"/>
      <c r="E764" s="106"/>
      <c r="F764" s="107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6"/>
    </row>
    <row r="765" ht="15.75" customHeight="1">
      <c r="A765" s="109"/>
      <c r="B765" s="104"/>
      <c r="C765" s="104"/>
      <c r="D765" s="105"/>
      <c r="E765" s="106"/>
      <c r="F765" s="107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6"/>
    </row>
    <row r="766" ht="15.75" customHeight="1">
      <c r="A766" s="109"/>
      <c r="B766" s="104"/>
      <c r="C766" s="104"/>
      <c r="D766" s="105"/>
      <c r="E766" s="106"/>
      <c r="F766" s="107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6"/>
    </row>
    <row r="767" ht="15.75" customHeight="1">
      <c r="A767" s="109"/>
      <c r="B767" s="104"/>
      <c r="C767" s="104"/>
      <c r="D767" s="105"/>
      <c r="E767" s="106"/>
      <c r="F767" s="107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6"/>
    </row>
    <row r="768" ht="15.75" customHeight="1">
      <c r="A768" s="109"/>
      <c r="B768" s="104"/>
      <c r="C768" s="104"/>
      <c r="D768" s="105"/>
      <c r="E768" s="106"/>
      <c r="F768" s="107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6"/>
    </row>
    <row r="769" ht="15.75" customHeight="1">
      <c r="A769" s="109"/>
      <c r="B769" s="104"/>
      <c r="C769" s="104"/>
      <c r="D769" s="105"/>
      <c r="E769" s="106"/>
      <c r="F769" s="107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6"/>
    </row>
    <row r="770" ht="15.75" customHeight="1">
      <c r="A770" s="109"/>
      <c r="B770" s="104"/>
      <c r="C770" s="104"/>
      <c r="D770" s="105"/>
      <c r="E770" s="106"/>
      <c r="F770" s="107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6"/>
    </row>
    <row r="771" ht="15.75" customHeight="1">
      <c r="A771" s="109"/>
      <c r="B771" s="104"/>
      <c r="C771" s="104"/>
      <c r="D771" s="105"/>
      <c r="E771" s="106"/>
      <c r="F771" s="107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6"/>
    </row>
    <row r="772" ht="15.75" customHeight="1">
      <c r="A772" s="109"/>
      <c r="B772" s="104"/>
      <c r="C772" s="104"/>
      <c r="D772" s="105"/>
      <c r="E772" s="106"/>
      <c r="F772" s="107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6"/>
    </row>
    <row r="773" ht="15.75" customHeight="1">
      <c r="A773" s="109"/>
      <c r="B773" s="104"/>
      <c r="C773" s="104"/>
      <c r="D773" s="105"/>
      <c r="E773" s="106"/>
      <c r="F773" s="107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6"/>
    </row>
    <row r="774" ht="15.75" customHeight="1">
      <c r="A774" s="109"/>
      <c r="B774" s="104"/>
      <c r="C774" s="104"/>
      <c r="D774" s="105"/>
      <c r="E774" s="106"/>
      <c r="F774" s="107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6"/>
    </row>
    <row r="775" ht="15.75" customHeight="1">
      <c r="A775" s="109"/>
      <c r="B775" s="104"/>
      <c r="C775" s="104"/>
      <c r="D775" s="105"/>
      <c r="E775" s="106"/>
      <c r="F775" s="107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6"/>
    </row>
    <row r="776" ht="15.75" customHeight="1">
      <c r="A776" s="109"/>
      <c r="B776" s="104"/>
      <c r="C776" s="104"/>
      <c r="D776" s="105"/>
      <c r="E776" s="106"/>
      <c r="F776" s="107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6"/>
    </row>
    <row r="777" ht="15.75" customHeight="1">
      <c r="A777" s="109"/>
      <c r="B777" s="104"/>
      <c r="C777" s="104"/>
      <c r="D777" s="105"/>
      <c r="E777" s="106"/>
      <c r="F777" s="107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6"/>
    </row>
    <row r="778" ht="15.75" customHeight="1">
      <c r="A778" s="109"/>
      <c r="B778" s="104"/>
      <c r="C778" s="104"/>
      <c r="D778" s="105"/>
      <c r="E778" s="106"/>
      <c r="F778" s="107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6"/>
    </row>
    <row r="779" ht="15.75" customHeight="1">
      <c r="A779" s="109"/>
      <c r="B779" s="104"/>
      <c r="C779" s="104"/>
      <c r="D779" s="105"/>
      <c r="E779" s="106"/>
      <c r="F779" s="107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6"/>
    </row>
    <row r="780" ht="15.75" customHeight="1">
      <c r="A780" s="109"/>
      <c r="B780" s="104"/>
      <c r="C780" s="104"/>
      <c r="D780" s="105"/>
      <c r="E780" s="106"/>
      <c r="F780" s="107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6"/>
    </row>
    <row r="781" ht="15.75" customHeight="1">
      <c r="A781" s="109"/>
      <c r="B781" s="104"/>
      <c r="C781" s="104"/>
      <c r="D781" s="105"/>
      <c r="E781" s="106"/>
      <c r="F781" s="107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6"/>
    </row>
    <row r="782" ht="15.75" customHeight="1">
      <c r="A782" s="109"/>
      <c r="B782" s="104"/>
      <c r="C782" s="104"/>
      <c r="D782" s="105"/>
      <c r="E782" s="106"/>
      <c r="F782" s="107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6"/>
    </row>
    <row r="783" ht="15.75" customHeight="1">
      <c r="A783" s="109"/>
      <c r="B783" s="104"/>
      <c r="C783" s="104"/>
      <c r="D783" s="105"/>
      <c r="E783" s="106"/>
      <c r="F783" s="107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6"/>
    </row>
    <row r="784" ht="15.75" customHeight="1">
      <c r="A784" s="109"/>
      <c r="B784" s="104"/>
      <c r="C784" s="104"/>
      <c r="D784" s="105"/>
      <c r="E784" s="106"/>
      <c r="F784" s="107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6"/>
    </row>
    <row r="785" ht="15.75" customHeight="1">
      <c r="A785" s="109"/>
      <c r="B785" s="104"/>
      <c r="C785" s="104"/>
      <c r="D785" s="105"/>
      <c r="E785" s="106"/>
      <c r="F785" s="107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6"/>
    </row>
    <row r="786" ht="15.75" customHeight="1">
      <c r="A786" s="109"/>
      <c r="B786" s="104"/>
      <c r="C786" s="104"/>
      <c r="D786" s="105"/>
      <c r="E786" s="106"/>
      <c r="F786" s="107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6"/>
    </row>
    <row r="787" ht="15.75" customHeight="1">
      <c r="A787" s="109"/>
      <c r="B787" s="104"/>
      <c r="C787" s="104"/>
      <c r="D787" s="105"/>
      <c r="E787" s="106"/>
      <c r="F787" s="107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6"/>
    </row>
    <row r="788" ht="15.75" customHeight="1">
      <c r="A788" s="109"/>
      <c r="B788" s="104"/>
      <c r="C788" s="104"/>
      <c r="D788" s="105"/>
      <c r="E788" s="106"/>
      <c r="F788" s="107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6"/>
    </row>
    <row r="789" ht="15.75" customHeight="1">
      <c r="A789" s="109"/>
      <c r="B789" s="104"/>
      <c r="C789" s="104"/>
      <c r="D789" s="105"/>
      <c r="E789" s="106"/>
      <c r="F789" s="107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6"/>
    </row>
    <row r="790" ht="15.75" customHeight="1">
      <c r="A790" s="109"/>
      <c r="B790" s="104"/>
      <c r="C790" s="104"/>
      <c r="D790" s="105"/>
      <c r="E790" s="106"/>
      <c r="F790" s="107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6"/>
    </row>
    <row r="791" ht="15.75" customHeight="1">
      <c r="A791" s="109"/>
      <c r="B791" s="104"/>
      <c r="C791" s="104"/>
      <c r="D791" s="105"/>
      <c r="E791" s="106"/>
      <c r="F791" s="107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6"/>
    </row>
    <row r="792" ht="15.75" customHeight="1">
      <c r="A792" s="109"/>
      <c r="B792" s="104"/>
      <c r="C792" s="104"/>
      <c r="D792" s="105"/>
      <c r="E792" s="106"/>
      <c r="F792" s="107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6"/>
    </row>
    <row r="793" ht="15.75" customHeight="1">
      <c r="A793" s="109"/>
      <c r="B793" s="104"/>
      <c r="C793" s="104"/>
      <c r="D793" s="105"/>
      <c r="E793" s="106"/>
      <c r="F793" s="107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6"/>
    </row>
    <row r="794" ht="15.75" customHeight="1">
      <c r="A794" s="109"/>
      <c r="B794" s="104"/>
      <c r="C794" s="104"/>
      <c r="D794" s="105"/>
      <c r="E794" s="106"/>
      <c r="F794" s="107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6"/>
    </row>
    <row r="795" ht="15.75" customHeight="1">
      <c r="A795" s="109"/>
      <c r="B795" s="104"/>
      <c r="C795" s="104"/>
      <c r="D795" s="105"/>
      <c r="E795" s="106"/>
      <c r="F795" s="107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6"/>
    </row>
    <row r="796" ht="15.75" customHeight="1">
      <c r="A796" s="109"/>
      <c r="B796" s="104"/>
      <c r="C796" s="104"/>
      <c r="D796" s="105"/>
      <c r="E796" s="106"/>
      <c r="F796" s="107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6"/>
    </row>
    <row r="797" ht="15.75" customHeight="1">
      <c r="A797" s="109"/>
      <c r="B797" s="104"/>
      <c r="C797" s="104"/>
      <c r="D797" s="105"/>
      <c r="E797" s="106"/>
      <c r="F797" s="107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6"/>
    </row>
    <row r="798" ht="15.75" customHeight="1">
      <c r="A798" s="109"/>
      <c r="B798" s="104"/>
      <c r="C798" s="104"/>
      <c r="D798" s="105"/>
      <c r="E798" s="106"/>
      <c r="F798" s="107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6"/>
    </row>
    <row r="799" ht="15.75" customHeight="1">
      <c r="A799" s="109"/>
      <c r="B799" s="104"/>
      <c r="C799" s="104"/>
      <c r="D799" s="105"/>
      <c r="E799" s="106"/>
      <c r="F799" s="107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6"/>
    </row>
    <row r="800" ht="15.75" customHeight="1">
      <c r="A800" s="109"/>
      <c r="B800" s="104"/>
      <c r="C800" s="104"/>
      <c r="D800" s="105"/>
      <c r="E800" s="106"/>
      <c r="F800" s="107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6"/>
    </row>
    <row r="801" ht="15.75" customHeight="1">
      <c r="A801" s="109"/>
      <c r="B801" s="104"/>
      <c r="C801" s="104"/>
      <c r="D801" s="105"/>
      <c r="E801" s="106"/>
      <c r="F801" s="107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6"/>
    </row>
    <row r="802" ht="15.75" customHeight="1">
      <c r="A802" s="109"/>
      <c r="B802" s="104"/>
      <c r="C802" s="104"/>
      <c r="D802" s="105"/>
      <c r="E802" s="106"/>
      <c r="F802" s="107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6"/>
    </row>
    <row r="803" ht="15.75" customHeight="1">
      <c r="A803" s="109"/>
      <c r="B803" s="104"/>
      <c r="C803" s="104"/>
      <c r="D803" s="105"/>
      <c r="E803" s="106"/>
      <c r="F803" s="107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6"/>
    </row>
    <row r="804" ht="15.75" customHeight="1">
      <c r="A804" s="109"/>
      <c r="B804" s="104"/>
      <c r="C804" s="104"/>
      <c r="D804" s="105"/>
      <c r="E804" s="106"/>
      <c r="F804" s="107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6"/>
    </row>
    <row r="805" ht="15.75" customHeight="1">
      <c r="A805" s="109"/>
      <c r="B805" s="104"/>
      <c r="C805" s="104"/>
      <c r="D805" s="105"/>
      <c r="E805" s="106"/>
      <c r="F805" s="107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6"/>
    </row>
    <row r="806" ht="15.75" customHeight="1">
      <c r="A806" s="109"/>
      <c r="B806" s="104"/>
      <c r="C806" s="104"/>
      <c r="D806" s="105"/>
      <c r="E806" s="106"/>
      <c r="F806" s="107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6"/>
    </row>
    <row r="807" ht="15.75" customHeight="1">
      <c r="A807" s="109"/>
      <c r="B807" s="104"/>
      <c r="C807" s="104"/>
      <c r="D807" s="105"/>
      <c r="E807" s="106"/>
      <c r="F807" s="107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6"/>
    </row>
    <row r="808" ht="15.75" customHeight="1">
      <c r="A808" s="109"/>
      <c r="B808" s="104"/>
      <c r="C808" s="104"/>
      <c r="D808" s="105"/>
      <c r="E808" s="106"/>
      <c r="F808" s="107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6"/>
    </row>
    <row r="809" ht="15.75" customHeight="1">
      <c r="A809" s="109"/>
      <c r="B809" s="104"/>
      <c r="C809" s="104"/>
      <c r="D809" s="105"/>
      <c r="E809" s="106"/>
      <c r="F809" s="107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6"/>
    </row>
    <row r="810" ht="15.75" customHeight="1">
      <c r="A810" s="109"/>
      <c r="B810" s="104"/>
      <c r="C810" s="104"/>
      <c r="D810" s="105"/>
      <c r="E810" s="106"/>
      <c r="F810" s="107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6"/>
    </row>
    <row r="811" ht="15.75" customHeight="1">
      <c r="A811" s="109"/>
      <c r="B811" s="104"/>
      <c r="C811" s="104"/>
      <c r="D811" s="105"/>
      <c r="E811" s="106"/>
      <c r="F811" s="107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6"/>
    </row>
    <row r="812" ht="15.75" customHeight="1">
      <c r="A812" s="109"/>
      <c r="B812" s="104"/>
      <c r="C812" s="104"/>
      <c r="D812" s="105"/>
      <c r="E812" s="106"/>
      <c r="F812" s="107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6"/>
    </row>
    <row r="813" ht="15.75" customHeight="1">
      <c r="A813" s="109"/>
      <c r="B813" s="104"/>
      <c r="C813" s="104"/>
      <c r="D813" s="105"/>
      <c r="E813" s="106"/>
      <c r="F813" s="107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6"/>
    </row>
    <row r="814" ht="15.75" customHeight="1">
      <c r="A814" s="109"/>
      <c r="B814" s="104"/>
      <c r="C814" s="104"/>
      <c r="D814" s="105"/>
      <c r="E814" s="106"/>
      <c r="F814" s="107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6"/>
    </row>
    <row r="815" ht="15.75" customHeight="1">
      <c r="A815" s="109"/>
      <c r="B815" s="104"/>
      <c r="C815" s="104"/>
      <c r="D815" s="105"/>
      <c r="E815" s="106"/>
      <c r="F815" s="107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6"/>
    </row>
    <row r="816" ht="15.75" customHeight="1">
      <c r="A816" s="109"/>
      <c r="B816" s="104"/>
      <c r="C816" s="104"/>
      <c r="D816" s="105"/>
      <c r="E816" s="106"/>
      <c r="F816" s="107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6"/>
    </row>
    <row r="817" ht="15.75" customHeight="1">
      <c r="A817" s="109"/>
      <c r="B817" s="104"/>
      <c r="C817" s="104"/>
      <c r="D817" s="105"/>
      <c r="E817" s="106"/>
      <c r="F817" s="107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6"/>
    </row>
    <row r="818" ht="15.75" customHeight="1">
      <c r="A818" s="109"/>
      <c r="B818" s="104"/>
      <c r="C818" s="104"/>
      <c r="D818" s="105"/>
      <c r="E818" s="106"/>
      <c r="F818" s="107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6"/>
    </row>
    <row r="819" ht="15.75" customHeight="1">
      <c r="A819" s="109"/>
      <c r="B819" s="104"/>
      <c r="C819" s="104"/>
      <c r="D819" s="105"/>
      <c r="E819" s="106"/>
      <c r="F819" s="107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6"/>
    </row>
    <row r="820" ht="15.75" customHeight="1">
      <c r="A820" s="109"/>
      <c r="B820" s="104"/>
      <c r="C820" s="104"/>
      <c r="D820" s="105"/>
      <c r="E820" s="106"/>
      <c r="F820" s="107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6"/>
    </row>
    <row r="821" ht="15.75" customHeight="1">
      <c r="A821" s="109"/>
      <c r="B821" s="104"/>
      <c r="C821" s="104"/>
      <c r="D821" s="105"/>
      <c r="E821" s="106"/>
      <c r="F821" s="107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6"/>
    </row>
    <row r="822" ht="15.75" customHeight="1">
      <c r="A822" s="109"/>
      <c r="B822" s="104"/>
      <c r="C822" s="104"/>
      <c r="D822" s="105"/>
      <c r="E822" s="106"/>
      <c r="F822" s="107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6"/>
    </row>
    <row r="823" ht="15.75" customHeight="1">
      <c r="A823" s="109"/>
      <c r="B823" s="104"/>
      <c r="C823" s="104"/>
      <c r="D823" s="105"/>
      <c r="E823" s="106"/>
      <c r="F823" s="107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6"/>
    </row>
    <row r="824" ht="15.75" customHeight="1">
      <c r="A824" s="109"/>
      <c r="B824" s="104"/>
      <c r="C824" s="104"/>
      <c r="D824" s="105"/>
      <c r="E824" s="106"/>
      <c r="F824" s="107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6"/>
    </row>
    <row r="825" ht="15.75" customHeight="1">
      <c r="A825" s="109"/>
      <c r="B825" s="104"/>
      <c r="C825" s="104"/>
      <c r="D825" s="105"/>
      <c r="E825" s="106"/>
      <c r="F825" s="107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6"/>
    </row>
    <row r="826" ht="15.75" customHeight="1">
      <c r="A826" s="109"/>
      <c r="B826" s="104"/>
      <c r="C826" s="104"/>
      <c r="D826" s="105"/>
      <c r="E826" s="106"/>
      <c r="F826" s="107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6"/>
    </row>
    <row r="827" ht="15.75" customHeight="1">
      <c r="A827" s="109"/>
      <c r="B827" s="104"/>
      <c r="C827" s="104"/>
      <c r="D827" s="105"/>
      <c r="E827" s="106"/>
      <c r="F827" s="107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6"/>
    </row>
    <row r="828" ht="15.75" customHeight="1">
      <c r="A828" s="109"/>
      <c r="B828" s="104"/>
      <c r="C828" s="104"/>
      <c r="D828" s="105"/>
      <c r="E828" s="106"/>
      <c r="F828" s="107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6"/>
    </row>
    <row r="829" ht="15.75" customHeight="1">
      <c r="A829" s="109"/>
      <c r="B829" s="104"/>
      <c r="C829" s="104"/>
      <c r="D829" s="105"/>
      <c r="E829" s="106"/>
      <c r="F829" s="107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6"/>
    </row>
    <row r="830" ht="15.75" customHeight="1">
      <c r="A830" s="109"/>
      <c r="B830" s="104"/>
      <c r="C830" s="104"/>
      <c r="D830" s="105"/>
      <c r="E830" s="106"/>
      <c r="F830" s="107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6"/>
    </row>
    <row r="831" ht="15.75" customHeight="1">
      <c r="A831" s="109"/>
      <c r="B831" s="104"/>
      <c r="C831" s="104"/>
      <c r="D831" s="105"/>
      <c r="E831" s="106"/>
      <c r="F831" s="107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6"/>
    </row>
    <row r="832" ht="15.75" customHeight="1">
      <c r="A832" s="109"/>
      <c r="B832" s="104"/>
      <c r="C832" s="104"/>
      <c r="D832" s="105"/>
      <c r="E832" s="106"/>
      <c r="F832" s="107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6"/>
    </row>
    <row r="833" ht="15.75" customHeight="1">
      <c r="A833" s="109"/>
      <c r="B833" s="104"/>
      <c r="C833" s="104"/>
      <c r="D833" s="105"/>
      <c r="E833" s="106"/>
      <c r="F833" s="107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6"/>
    </row>
    <row r="834" ht="15.75" customHeight="1">
      <c r="A834" s="109"/>
      <c r="B834" s="104"/>
      <c r="C834" s="104"/>
      <c r="D834" s="105"/>
      <c r="E834" s="106"/>
      <c r="F834" s="107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6"/>
    </row>
    <row r="835" ht="15.75" customHeight="1">
      <c r="A835" s="109"/>
      <c r="B835" s="104"/>
      <c r="C835" s="104"/>
      <c r="D835" s="105"/>
      <c r="E835" s="106"/>
      <c r="F835" s="107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6"/>
    </row>
    <row r="836" ht="15.75" customHeight="1">
      <c r="A836" s="109"/>
      <c r="B836" s="104"/>
      <c r="C836" s="104"/>
      <c r="D836" s="105"/>
      <c r="E836" s="106"/>
      <c r="F836" s="107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6"/>
    </row>
    <row r="837" ht="15.75" customHeight="1">
      <c r="A837" s="109"/>
      <c r="B837" s="104"/>
      <c r="C837" s="104"/>
      <c r="D837" s="105"/>
      <c r="E837" s="106"/>
      <c r="F837" s="107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6"/>
    </row>
    <row r="838" ht="15.75" customHeight="1">
      <c r="A838" s="109"/>
      <c r="B838" s="104"/>
      <c r="C838" s="104"/>
      <c r="D838" s="105"/>
      <c r="E838" s="106"/>
      <c r="F838" s="107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6"/>
    </row>
    <row r="839" ht="15.75" customHeight="1">
      <c r="A839" s="109"/>
      <c r="B839" s="104"/>
      <c r="C839" s="104"/>
      <c r="D839" s="105"/>
      <c r="E839" s="106"/>
      <c r="F839" s="107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6"/>
    </row>
    <row r="840" ht="15.75" customHeight="1">
      <c r="A840" s="109"/>
      <c r="B840" s="104"/>
      <c r="C840" s="104"/>
      <c r="D840" s="105"/>
      <c r="E840" s="106"/>
      <c r="F840" s="107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6"/>
    </row>
    <row r="841" ht="15.75" customHeight="1">
      <c r="A841" s="109"/>
      <c r="B841" s="104"/>
      <c r="C841" s="104"/>
      <c r="D841" s="105"/>
      <c r="E841" s="106"/>
      <c r="F841" s="107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6"/>
    </row>
    <row r="842" ht="15.75" customHeight="1">
      <c r="A842" s="109"/>
      <c r="B842" s="104"/>
      <c r="C842" s="104"/>
      <c r="D842" s="105"/>
      <c r="E842" s="106"/>
      <c r="F842" s="107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6"/>
    </row>
    <row r="843" ht="15.75" customHeight="1">
      <c r="A843" s="109"/>
      <c r="B843" s="104"/>
      <c r="C843" s="104"/>
      <c r="D843" s="105"/>
      <c r="E843" s="106"/>
      <c r="F843" s="107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6"/>
    </row>
    <row r="844" ht="15.75" customHeight="1">
      <c r="A844" s="109"/>
      <c r="B844" s="104"/>
      <c r="C844" s="104"/>
      <c r="D844" s="105"/>
      <c r="E844" s="106"/>
      <c r="F844" s="107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6"/>
    </row>
    <row r="845" ht="15.75" customHeight="1">
      <c r="A845" s="109"/>
      <c r="B845" s="104"/>
      <c r="C845" s="104"/>
      <c r="D845" s="105"/>
      <c r="E845" s="106"/>
      <c r="F845" s="107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6"/>
    </row>
    <row r="846" ht="15.75" customHeight="1">
      <c r="A846" s="109"/>
      <c r="B846" s="104"/>
      <c r="C846" s="104"/>
      <c r="D846" s="105"/>
      <c r="E846" s="106"/>
      <c r="F846" s="107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6"/>
    </row>
    <row r="847" ht="15.75" customHeight="1">
      <c r="A847" s="109"/>
      <c r="B847" s="104"/>
      <c r="C847" s="104"/>
      <c r="D847" s="105"/>
      <c r="E847" s="106"/>
      <c r="F847" s="107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6"/>
    </row>
    <row r="848" ht="15.75" customHeight="1">
      <c r="A848" s="109"/>
      <c r="B848" s="104"/>
      <c r="C848" s="104"/>
      <c r="D848" s="105"/>
      <c r="E848" s="106"/>
      <c r="F848" s="107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6"/>
    </row>
    <row r="849" ht="15.75" customHeight="1">
      <c r="A849" s="109"/>
      <c r="B849" s="104"/>
      <c r="C849" s="104"/>
      <c r="D849" s="105"/>
      <c r="E849" s="106"/>
      <c r="F849" s="107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6"/>
    </row>
    <row r="850" ht="15.75" customHeight="1">
      <c r="A850" s="109"/>
      <c r="B850" s="104"/>
      <c r="C850" s="104"/>
      <c r="D850" s="105"/>
      <c r="E850" s="106"/>
      <c r="F850" s="107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6"/>
    </row>
    <row r="851" ht="15.75" customHeight="1">
      <c r="A851" s="109"/>
      <c r="B851" s="104"/>
      <c r="C851" s="104"/>
      <c r="D851" s="105"/>
      <c r="E851" s="106"/>
      <c r="F851" s="107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6"/>
    </row>
    <row r="852" ht="15.75" customHeight="1">
      <c r="A852" s="109"/>
      <c r="B852" s="104"/>
      <c r="C852" s="104"/>
      <c r="D852" s="105"/>
      <c r="E852" s="106"/>
      <c r="F852" s="107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6"/>
    </row>
    <row r="853" ht="15.75" customHeight="1">
      <c r="A853" s="109"/>
      <c r="B853" s="104"/>
      <c r="C853" s="104"/>
      <c r="D853" s="105"/>
      <c r="E853" s="106"/>
      <c r="F853" s="107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6"/>
    </row>
    <row r="854" ht="15.75" customHeight="1">
      <c r="A854" s="109"/>
      <c r="B854" s="104"/>
      <c r="C854" s="104"/>
      <c r="D854" s="105"/>
      <c r="E854" s="106"/>
      <c r="F854" s="107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6"/>
    </row>
    <row r="855" ht="15.75" customHeight="1">
      <c r="A855" s="109"/>
      <c r="B855" s="104"/>
      <c r="C855" s="104"/>
      <c r="D855" s="105"/>
      <c r="E855" s="106"/>
      <c r="F855" s="107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6"/>
    </row>
    <row r="856" ht="15.75" customHeight="1">
      <c r="A856" s="109"/>
      <c r="B856" s="104"/>
      <c r="C856" s="104"/>
      <c r="D856" s="105"/>
      <c r="E856" s="106"/>
      <c r="F856" s="107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6"/>
    </row>
    <row r="857" ht="15.75" customHeight="1">
      <c r="A857" s="109"/>
      <c r="B857" s="104"/>
      <c r="C857" s="104"/>
      <c r="D857" s="105"/>
      <c r="E857" s="106"/>
      <c r="F857" s="107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6"/>
    </row>
    <row r="858" ht="15.75" customHeight="1">
      <c r="A858" s="109"/>
      <c r="B858" s="104"/>
      <c r="C858" s="104"/>
      <c r="D858" s="105"/>
      <c r="E858" s="106"/>
      <c r="F858" s="107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6"/>
    </row>
    <row r="859" ht="15.75" customHeight="1">
      <c r="A859" s="109"/>
      <c r="B859" s="104"/>
      <c r="C859" s="104"/>
      <c r="D859" s="105"/>
      <c r="E859" s="106"/>
      <c r="F859" s="107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6"/>
    </row>
    <row r="860" ht="15.75" customHeight="1">
      <c r="A860" s="109"/>
      <c r="B860" s="104"/>
      <c r="C860" s="104"/>
      <c r="D860" s="105"/>
      <c r="E860" s="106"/>
      <c r="F860" s="107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6"/>
    </row>
    <row r="861" ht="15.75" customHeight="1">
      <c r="A861" s="109"/>
      <c r="B861" s="104"/>
      <c r="C861" s="104"/>
      <c r="D861" s="105"/>
      <c r="E861" s="106"/>
      <c r="F861" s="107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6"/>
    </row>
    <row r="862" ht="15.75" customHeight="1">
      <c r="A862" s="109"/>
      <c r="B862" s="104"/>
      <c r="C862" s="104"/>
      <c r="D862" s="105"/>
      <c r="E862" s="106"/>
      <c r="F862" s="107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6"/>
    </row>
    <row r="863" ht="15.75" customHeight="1">
      <c r="A863" s="109"/>
      <c r="B863" s="104"/>
      <c r="C863" s="104"/>
      <c r="D863" s="105"/>
      <c r="E863" s="106"/>
      <c r="F863" s="107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6"/>
    </row>
    <row r="864" ht="15.75" customHeight="1">
      <c r="A864" s="109"/>
      <c r="B864" s="104"/>
      <c r="C864" s="104"/>
      <c r="D864" s="105"/>
      <c r="E864" s="106"/>
      <c r="F864" s="107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6"/>
    </row>
    <row r="865" ht="15.75" customHeight="1">
      <c r="A865" s="109"/>
      <c r="B865" s="104"/>
      <c r="C865" s="104"/>
      <c r="D865" s="105"/>
      <c r="E865" s="106"/>
      <c r="F865" s="107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6"/>
    </row>
    <row r="866" ht="15.75" customHeight="1">
      <c r="A866" s="109"/>
      <c r="B866" s="104"/>
      <c r="C866" s="104"/>
      <c r="D866" s="105"/>
      <c r="E866" s="106"/>
      <c r="F866" s="107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6"/>
    </row>
    <row r="867" ht="15.75" customHeight="1">
      <c r="A867" s="109"/>
      <c r="B867" s="104"/>
      <c r="C867" s="104"/>
      <c r="D867" s="105"/>
      <c r="E867" s="106"/>
      <c r="F867" s="107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6"/>
    </row>
    <row r="868" ht="15.75" customHeight="1">
      <c r="A868" s="109"/>
      <c r="B868" s="104"/>
      <c r="C868" s="104"/>
      <c r="D868" s="105"/>
      <c r="E868" s="106"/>
      <c r="F868" s="107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6"/>
    </row>
    <row r="869" ht="15.75" customHeight="1">
      <c r="A869" s="109"/>
      <c r="B869" s="104"/>
      <c r="C869" s="104"/>
      <c r="D869" s="105"/>
      <c r="E869" s="106"/>
      <c r="F869" s="107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6"/>
    </row>
    <row r="870" ht="15.75" customHeight="1">
      <c r="A870" s="109"/>
      <c r="B870" s="104"/>
      <c r="C870" s="104"/>
      <c r="D870" s="105"/>
      <c r="E870" s="106"/>
      <c r="F870" s="107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6"/>
    </row>
    <row r="871" ht="15.75" customHeight="1">
      <c r="A871" s="109"/>
      <c r="B871" s="104"/>
      <c r="C871" s="104"/>
      <c r="D871" s="105"/>
      <c r="E871" s="106"/>
      <c r="F871" s="107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6"/>
    </row>
    <row r="872" ht="15.75" customHeight="1">
      <c r="A872" s="109"/>
      <c r="B872" s="104"/>
      <c r="C872" s="104"/>
      <c r="D872" s="105"/>
      <c r="E872" s="106"/>
      <c r="F872" s="107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6"/>
    </row>
    <row r="873" ht="15.75" customHeight="1">
      <c r="A873" s="109"/>
      <c r="B873" s="104"/>
      <c r="C873" s="104"/>
      <c r="D873" s="105"/>
      <c r="E873" s="106"/>
      <c r="F873" s="107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6"/>
    </row>
    <row r="874" ht="15.75" customHeight="1">
      <c r="A874" s="109"/>
      <c r="B874" s="104"/>
      <c r="C874" s="104"/>
      <c r="D874" s="105"/>
      <c r="E874" s="106"/>
      <c r="F874" s="107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6"/>
    </row>
    <row r="875" ht="15.75" customHeight="1">
      <c r="A875" s="109"/>
      <c r="B875" s="104"/>
      <c r="C875" s="104"/>
      <c r="D875" s="105"/>
      <c r="E875" s="106"/>
      <c r="F875" s="107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6"/>
    </row>
    <row r="876" ht="15.75" customHeight="1">
      <c r="A876" s="109"/>
      <c r="B876" s="104"/>
      <c r="C876" s="104"/>
      <c r="D876" s="105"/>
      <c r="E876" s="106"/>
      <c r="F876" s="107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6"/>
    </row>
    <row r="877" ht="15.75" customHeight="1">
      <c r="A877" s="109"/>
      <c r="B877" s="104"/>
      <c r="C877" s="104"/>
      <c r="D877" s="105"/>
      <c r="E877" s="106"/>
      <c r="F877" s="107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6"/>
    </row>
    <row r="878" ht="15.75" customHeight="1">
      <c r="A878" s="109"/>
      <c r="B878" s="104"/>
      <c r="C878" s="104"/>
      <c r="D878" s="105"/>
      <c r="E878" s="106"/>
      <c r="F878" s="107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6"/>
    </row>
    <row r="879" ht="15.75" customHeight="1">
      <c r="A879" s="109"/>
      <c r="B879" s="104"/>
      <c r="C879" s="104"/>
      <c r="D879" s="105"/>
      <c r="E879" s="106"/>
      <c r="F879" s="107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6"/>
    </row>
    <row r="880" ht="15.75" customHeight="1">
      <c r="A880" s="109"/>
      <c r="B880" s="104"/>
      <c r="C880" s="104"/>
      <c r="D880" s="105"/>
      <c r="E880" s="106"/>
      <c r="F880" s="107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6"/>
    </row>
    <row r="881" ht="15.75" customHeight="1">
      <c r="A881" s="109"/>
      <c r="B881" s="104"/>
      <c r="C881" s="104"/>
      <c r="D881" s="105"/>
      <c r="E881" s="106"/>
      <c r="F881" s="107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6"/>
    </row>
    <row r="882" ht="15.75" customHeight="1">
      <c r="A882" s="109"/>
      <c r="B882" s="104"/>
      <c r="C882" s="104"/>
      <c r="D882" s="105"/>
      <c r="E882" s="106"/>
      <c r="F882" s="107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6"/>
    </row>
    <row r="883" ht="15.75" customHeight="1">
      <c r="A883" s="109"/>
      <c r="B883" s="104"/>
      <c r="C883" s="104"/>
      <c r="D883" s="105"/>
      <c r="E883" s="106"/>
      <c r="F883" s="107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6"/>
    </row>
    <row r="884" ht="15.75" customHeight="1">
      <c r="A884" s="109"/>
      <c r="B884" s="104"/>
      <c r="C884" s="104"/>
      <c r="D884" s="105"/>
      <c r="E884" s="106"/>
      <c r="F884" s="107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6"/>
    </row>
    <row r="885" ht="15.75" customHeight="1">
      <c r="A885" s="109"/>
      <c r="B885" s="104"/>
      <c r="C885" s="104"/>
      <c r="D885" s="105"/>
      <c r="E885" s="106"/>
      <c r="F885" s="107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6"/>
    </row>
    <row r="886" ht="15.75" customHeight="1">
      <c r="A886" s="109"/>
      <c r="B886" s="104"/>
      <c r="C886" s="104"/>
      <c r="D886" s="105"/>
      <c r="E886" s="106"/>
      <c r="F886" s="107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6"/>
    </row>
    <row r="887" ht="15.75" customHeight="1">
      <c r="A887" s="109"/>
      <c r="B887" s="104"/>
      <c r="C887" s="104"/>
      <c r="D887" s="105"/>
      <c r="E887" s="106"/>
      <c r="F887" s="107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6"/>
    </row>
    <row r="888" ht="15.75" customHeight="1">
      <c r="A888" s="109"/>
      <c r="B888" s="104"/>
      <c r="C888" s="104"/>
      <c r="D888" s="105"/>
      <c r="E888" s="106"/>
      <c r="F888" s="107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6"/>
    </row>
    <row r="889" ht="15.75" customHeight="1">
      <c r="A889" s="109"/>
      <c r="B889" s="104"/>
      <c r="C889" s="104"/>
      <c r="D889" s="105"/>
      <c r="E889" s="106"/>
      <c r="F889" s="107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6"/>
    </row>
    <row r="890" ht="15.75" customHeight="1">
      <c r="A890" s="109"/>
      <c r="B890" s="104"/>
      <c r="C890" s="104"/>
      <c r="D890" s="105"/>
      <c r="E890" s="106"/>
      <c r="F890" s="107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6"/>
    </row>
    <row r="891" ht="15.75" customHeight="1">
      <c r="A891" s="109"/>
      <c r="B891" s="104"/>
      <c r="C891" s="104"/>
      <c r="D891" s="105"/>
      <c r="E891" s="106"/>
      <c r="F891" s="107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6"/>
    </row>
    <row r="892" ht="15.75" customHeight="1">
      <c r="A892" s="109"/>
      <c r="B892" s="104"/>
      <c r="C892" s="104"/>
      <c r="D892" s="105"/>
      <c r="E892" s="106"/>
      <c r="F892" s="107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6"/>
    </row>
    <row r="893" ht="15.75" customHeight="1">
      <c r="A893" s="109"/>
      <c r="B893" s="104"/>
      <c r="C893" s="104"/>
      <c r="D893" s="105"/>
      <c r="E893" s="106"/>
      <c r="F893" s="107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6"/>
    </row>
    <row r="894" ht="15.75" customHeight="1">
      <c r="A894" s="109"/>
      <c r="B894" s="104"/>
      <c r="C894" s="104"/>
      <c r="D894" s="105"/>
      <c r="E894" s="106"/>
      <c r="F894" s="107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6"/>
    </row>
    <row r="895" ht="15.75" customHeight="1">
      <c r="A895" s="109"/>
      <c r="B895" s="104"/>
      <c r="C895" s="104"/>
      <c r="D895" s="105"/>
      <c r="E895" s="106"/>
      <c r="F895" s="107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6"/>
    </row>
    <row r="896" ht="15.75" customHeight="1">
      <c r="A896" s="109"/>
      <c r="B896" s="104"/>
      <c r="C896" s="104"/>
      <c r="D896" s="105"/>
      <c r="E896" s="106"/>
      <c r="F896" s="107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6"/>
    </row>
    <row r="897" ht="15.75" customHeight="1">
      <c r="A897" s="109"/>
      <c r="B897" s="104"/>
      <c r="C897" s="104"/>
      <c r="D897" s="105"/>
      <c r="E897" s="106"/>
      <c r="F897" s="107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6"/>
    </row>
    <row r="898" ht="15.75" customHeight="1">
      <c r="A898" s="109"/>
      <c r="B898" s="104"/>
      <c r="C898" s="104"/>
      <c r="D898" s="105"/>
      <c r="E898" s="106"/>
      <c r="F898" s="107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6"/>
    </row>
    <row r="899" ht="15.75" customHeight="1">
      <c r="A899" s="109"/>
      <c r="B899" s="104"/>
      <c r="C899" s="104"/>
      <c r="D899" s="105"/>
      <c r="E899" s="106"/>
      <c r="F899" s="107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6"/>
    </row>
    <row r="900" ht="15.75" customHeight="1">
      <c r="A900" s="109"/>
      <c r="B900" s="104"/>
      <c r="C900" s="104"/>
      <c r="D900" s="105"/>
      <c r="E900" s="106"/>
      <c r="F900" s="107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6"/>
    </row>
    <row r="901" ht="15.75" customHeight="1">
      <c r="A901" s="109"/>
      <c r="B901" s="104"/>
      <c r="C901" s="104"/>
      <c r="D901" s="105"/>
      <c r="E901" s="106"/>
      <c r="F901" s="107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6"/>
    </row>
    <row r="902" ht="15.75" customHeight="1">
      <c r="A902" s="109"/>
      <c r="B902" s="104"/>
      <c r="C902" s="104"/>
      <c r="D902" s="105"/>
      <c r="E902" s="106"/>
      <c r="F902" s="107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6"/>
    </row>
    <row r="903" ht="15.75" customHeight="1">
      <c r="A903" s="109"/>
      <c r="B903" s="104"/>
      <c r="C903" s="104"/>
      <c r="D903" s="105"/>
      <c r="E903" s="106"/>
      <c r="F903" s="107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6"/>
    </row>
    <row r="904" ht="15.75" customHeight="1">
      <c r="A904" s="109"/>
      <c r="B904" s="104"/>
      <c r="C904" s="104"/>
      <c r="D904" s="105"/>
      <c r="E904" s="106"/>
      <c r="F904" s="107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6"/>
    </row>
    <row r="905" ht="15.75" customHeight="1">
      <c r="A905" s="109"/>
      <c r="B905" s="104"/>
      <c r="C905" s="104"/>
      <c r="D905" s="105"/>
      <c r="E905" s="106"/>
      <c r="F905" s="107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6"/>
    </row>
    <row r="906" ht="15.75" customHeight="1">
      <c r="A906" s="109"/>
      <c r="B906" s="104"/>
      <c r="C906" s="104"/>
      <c r="D906" s="105"/>
      <c r="E906" s="106"/>
      <c r="F906" s="107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6"/>
    </row>
    <row r="907" ht="15.75" customHeight="1">
      <c r="A907" s="109"/>
      <c r="B907" s="104"/>
      <c r="C907" s="104"/>
      <c r="D907" s="105"/>
      <c r="E907" s="106"/>
      <c r="F907" s="107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6"/>
    </row>
    <row r="908" ht="15.75" customHeight="1">
      <c r="A908" s="109"/>
      <c r="B908" s="104"/>
      <c r="C908" s="104"/>
      <c r="D908" s="105"/>
      <c r="E908" s="106"/>
      <c r="F908" s="107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6"/>
    </row>
    <row r="909" ht="15.75" customHeight="1">
      <c r="A909" s="109"/>
      <c r="B909" s="104"/>
      <c r="C909" s="104"/>
      <c r="D909" s="105"/>
      <c r="E909" s="106"/>
      <c r="F909" s="107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6"/>
    </row>
    <row r="910" ht="15.75" customHeight="1">
      <c r="A910" s="109"/>
      <c r="B910" s="104"/>
      <c r="C910" s="104"/>
      <c r="D910" s="105"/>
      <c r="E910" s="106"/>
      <c r="F910" s="107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6"/>
    </row>
    <row r="911" ht="15.75" customHeight="1">
      <c r="A911" s="109"/>
      <c r="B911" s="104"/>
      <c r="C911" s="104"/>
      <c r="D911" s="105"/>
      <c r="E911" s="106"/>
      <c r="F911" s="107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6"/>
    </row>
    <row r="912" ht="15.75" customHeight="1">
      <c r="A912" s="109"/>
      <c r="B912" s="104"/>
      <c r="C912" s="104"/>
      <c r="D912" s="105"/>
      <c r="E912" s="106"/>
      <c r="F912" s="107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6"/>
    </row>
    <row r="913" ht="15.75" customHeight="1">
      <c r="A913" s="109"/>
      <c r="B913" s="104"/>
      <c r="C913" s="104"/>
      <c r="D913" s="105"/>
      <c r="E913" s="106"/>
      <c r="F913" s="107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6"/>
    </row>
    <row r="914" ht="15.75" customHeight="1">
      <c r="A914" s="109"/>
      <c r="B914" s="104"/>
      <c r="C914" s="104"/>
      <c r="D914" s="105"/>
      <c r="E914" s="106"/>
      <c r="F914" s="107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6"/>
    </row>
    <row r="915" ht="15.75" customHeight="1">
      <c r="A915" s="109"/>
      <c r="B915" s="104"/>
      <c r="C915" s="104"/>
      <c r="D915" s="105"/>
      <c r="E915" s="106"/>
      <c r="F915" s="107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6"/>
    </row>
    <row r="916" ht="15.75" customHeight="1">
      <c r="A916" s="109"/>
      <c r="B916" s="104"/>
      <c r="C916" s="104"/>
      <c r="D916" s="105"/>
      <c r="E916" s="106"/>
      <c r="F916" s="107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6"/>
    </row>
    <row r="917" ht="15.75" customHeight="1">
      <c r="A917" s="109"/>
      <c r="B917" s="104"/>
      <c r="C917" s="104"/>
      <c r="D917" s="105"/>
      <c r="E917" s="106"/>
      <c r="F917" s="107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6"/>
    </row>
    <row r="918" ht="15.75" customHeight="1">
      <c r="A918" s="109"/>
      <c r="B918" s="104"/>
      <c r="C918" s="104"/>
      <c r="D918" s="105"/>
      <c r="E918" s="106"/>
      <c r="F918" s="107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6"/>
    </row>
    <row r="919" ht="15.75" customHeight="1">
      <c r="A919" s="109"/>
      <c r="B919" s="104"/>
      <c r="C919" s="104"/>
      <c r="D919" s="105"/>
      <c r="E919" s="106"/>
      <c r="F919" s="107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6"/>
    </row>
    <row r="920" ht="15.75" customHeight="1">
      <c r="A920" s="109"/>
      <c r="B920" s="104"/>
      <c r="C920" s="104"/>
      <c r="D920" s="105"/>
      <c r="E920" s="106"/>
      <c r="F920" s="107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6"/>
    </row>
    <row r="921" ht="15.75" customHeight="1">
      <c r="A921" s="109"/>
      <c r="B921" s="104"/>
      <c r="C921" s="104"/>
      <c r="D921" s="105"/>
      <c r="E921" s="106"/>
      <c r="F921" s="107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6"/>
    </row>
    <row r="922" ht="15.75" customHeight="1">
      <c r="A922" s="109"/>
      <c r="B922" s="104"/>
      <c r="C922" s="104"/>
      <c r="D922" s="105"/>
      <c r="E922" s="106"/>
      <c r="F922" s="107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6"/>
    </row>
    <row r="923" ht="15.75" customHeight="1">
      <c r="A923" s="109"/>
      <c r="B923" s="104"/>
      <c r="C923" s="104"/>
      <c r="D923" s="105"/>
      <c r="E923" s="106"/>
      <c r="F923" s="107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6"/>
    </row>
    <row r="924" ht="15.75" customHeight="1">
      <c r="A924" s="109"/>
      <c r="B924" s="104"/>
      <c r="C924" s="104"/>
      <c r="D924" s="105"/>
      <c r="E924" s="106"/>
      <c r="F924" s="107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6"/>
    </row>
    <row r="925" ht="15.75" customHeight="1">
      <c r="A925" s="109"/>
      <c r="B925" s="104"/>
      <c r="C925" s="104"/>
      <c r="D925" s="105"/>
      <c r="E925" s="106"/>
      <c r="F925" s="107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6"/>
    </row>
    <row r="926" ht="15.75" customHeight="1">
      <c r="A926" s="109"/>
      <c r="B926" s="104"/>
      <c r="C926" s="104"/>
      <c r="D926" s="105"/>
      <c r="E926" s="106"/>
      <c r="F926" s="107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6"/>
    </row>
    <row r="927" ht="15.75" customHeight="1">
      <c r="A927" s="109"/>
      <c r="B927" s="104"/>
      <c r="C927" s="104"/>
      <c r="D927" s="105"/>
      <c r="E927" s="106"/>
      <c r="F927" s="107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6"/>
    </row>
    <row r="928" ht="15.75" customHeight="1">
      <c r="A928" s="109"/>
      <c r="B928" s="104"/>
      <c r="C928" s="104"/>
      <c r="D928" s="105"/>
      <c r="E928" s="106"/>
      <c r="F928" s="107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6"/>
    </row>
    <row r="929" ht="15.75" customHeight="1">
      <c r="A929" s="109"/>
      <c r="B929" s="104"/>
      <c r="C929" s="104"/>
      <c r="D929" s="105"/>
      <c r="E929" s="106"/>
      <c r="F929" s="107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6"/>
    </row>
    <row r="930" ht="15.75" customHeight="1">
      <c r="A930" s="109"/>
      <c r="B930" s="104"/>
      <c r="C930" s="104"/>
      <c r="D930" s="105"/>
      <c r="E930" s="106"/>
      <c r="F930" s="107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6"/>
    </row>
    <row r="931" ht="15.75" customHeight="1">
      <c r="A931" s="109"/>
      <c r="B931" s="104"/>
      <c r="C931" s="104"/>
      <c r="D931" s="105"/>
      <c r="E931" s="106"/>
      <c r="F931" s="107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6"/>
    </row>
    <row r="932" ht="15.75" customHeight="1">
      <c r="A932" s="109"/>
      <c r="B932" s="104"/>
      <c r="C932" s="104"/>
      <c r="D932" s="105"/>
      <c r="E932" s="106"/>
      <c r="F932" s="107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6"/>
    </row>
    <row r="933" ht="15.75" customHeight="1">
      <c r="A933" s="109"/>
      <c r="B933" s="104"/>
      <c r="C933" s="104"/>
      <c r="D933" s="105"/>
      <c r="E933" s="106"/>
      <c r="F933" s="107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6"/>
    </row>
    <row r="934" ht="15.75" customHeight="1">
      <c r="A934" s="109"/>
      <c r="B934" s="104"/>
      <c r="C934" s="104"/>
      <c r="D934" s="105"/>
      <c r="E934" s="106"/>
      <c r="F934" s="107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6"/>
    </row>
    <row r="935" ht="15.75" customHeight="1">
      <c r="A935" s="109"/>
      <c r="B935" s="104"/>
      <c r="C935" s="104"/>
      <c r="D935" s="105"/>
      <c r="E935" s="106"/>
      <c r="F935" s="107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6"/>
    </row>
    <row r="936" ht="15.75" customHeight="1">
      <c r="A936" s="109"/>
      <c r="B936" s="104"/>
      <c r="C936" s="104"/>
      <c r="D936" s="105"/>
      <c r="E936" s="106"/>
      <c r="F936" s="107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6"/>
    </row>
    <row r="937" ht="15.75" customHeight="1">
      <c r="A937" s="109"/>
      <c r="B937" s="104"/>
      <c r="C937" s="104"/>
      <c r="D937" s="105"/>
      <c r="E937" s="106"/>
      <c r="F937" s="107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6"/>
    </row>
    <row r="938" ht="15.75" customHeight="1">
      <c r="A938" s="109"/>
      <c r="B938" s="104"/>
      <c r="C938" s="104"/>
      <c r="D938" s="105"/>
      <c r="E938" s="106"/>
      <c r="F938" s="107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6"/>
    </row>
    <row r="939" ht="15.75" customHeight="1">
      <c r="A939" s="109"/>
      <c r="B939" s="104"/>
      <c r="C939" s="104"/>
      <c r="D939" s="105"/>
      <c r="E939" s="106"/>
      <c r="F939" s="107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6"/>
    </row>
    <row r="940" ht="15.75" customHeight="1">
      <c r="A940" s="109"/>
      <c r="B940" s="104"/>
      <c r="C940" s="104"/>
      <c r="D940" s="105"/>
      <c r="E940" s="106"/>
      <c r="F940" s="107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6"/>
    </row>
    <row r="941" ht="15.75" customHeight="1">
      <c r="A941" s="109"/>
      <c r="B941" s="104"/>
      <c r="C941" s="104"/>
      <c r="D941" s="105"/>
      <c r="E941" s="106"/>
      <c r="F941" s="107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6"/>
    </row>
    <row r="942" ht="15.75" customHeight="1">
      <c r="A942" s="109"/>
      <c r="B942" s="104"/>
      <c r="C942" s="104"/>
      <c r="D942" s="105"/>
      <c r="E942" s="106"/>
      <c r="F942" s="107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6"/>
    </row>
    <row r="943" ht="15.75" customHeight="1">
      <c r="A943" s="109"/>
      <c r="B943" s="104"/>
      <c r="C943" s="104"/>
      <c r="D943" s="105"/>
      <c r="E943" s="106"/>
      <c r="F943" s="107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6"/>
    </row>
    <row r="944" ht="15.75" customHeight="1">
      <c r="A944" s="109"/>
      <c r="B944" s="104"/>
      <c r="C944" s="104"/>
      <c r="D944" s="105"/>
      <c r="E944" s="106"/>
      <c r="F944" s="107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6"/>
    </row>
    <row r="945" ht="15.75" customHeight="1">
      <c r="A945" s="109"/>
      <c r="B945" s="104"/>
      <c r="C945" s="104"/>
      <c r="D945" s="105"/>
      <c r="E945" s="106"/>
      <c r="F945" s="107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6"/>
    </row>
    <row r="946" ht="15.75" customHeight="1">
      <c r="A946" s="109"/>
      <c r="B946" s="104"/>
      <c r="C946" s="104"/>
      <c r="D946" s="105"/>
      <c r="E946" s="106"/>
      <c r="F946" s="107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6"/>
    </row>
    <row r="947" ht="15.75" customHeight="1">
      <c r="A947" s="109"/>
      <c r="B947" s="104"/>
      <c r="C947" s="104"/>
      <c r="D947" s="105"/>
      <c r="E947" s="106"/>
      <c r="F947" s="107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6"/>
    </row>
    <row r="948" ht="15.75" customHeight="1">
      <c r="A948" s="109"/>
      <c r="B948" s="104"/>
      <c r="C948" s="104"/>
      <c r="D948" s="105"/>
      <c r="E948" s="106"/>
      <c r="F948" s="107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6"/>
    </row>
    <row r="949" ht="15.75" customHeight="1">
      <c r="A949" s="109"/>
      <c r="B949" s="104"/>
      <c r="C949" s="104"/>
      <c r="D949" s="105"/>
      <c r="E949" s="106"/>
      <c r="F949" s="107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6"/>
    </row>
    <row r="950" ht="15.75" customHeight="1">
      <c r="A950" s="109"/>
      <c r="B950" s="104"/>
      <c r="C950" s="104"/>
      <c r="D950" s="105"/>
      <c r="E950" s="106"/>
      <c r="F950" s="107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6"/>
    </row>
    <row r="951" ht="15.75" customHeight="1">
      <c r="A951" s="109"/>
      <c r="B951" s="104"/>
      <c r="C951" s="104"/>
      <c r="D951" s="105"/>
      <c r="E951" s="106"/>
      <c r="F951" s="107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6"/>
    </row>
    <row r="952" ht="15.75" customHeight="1">
      <c r="A952" s="109"/>
      <c r="B952" s="104"/>
      <c r="C952" s="104"/>
      <c r="D952" s="105"/>
      <c r="E952" s="106"/>
      <c r="F952" s="107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6"/>
    </row>
    <row r="953" ht="15.75" customHeight="1">
      <c r="A953" s="109"/>
      <c r="B953" s="104"/>
      <c r="C953" s="104"/>
      <c r="D953" s="105"/>
      <c r="E953" s="106"/>
      <c r="F953" s="107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6"/>
    </row>
    <row r="954" ht="15.75" customHeight="1">
      <c r="A954" s="109"/>
      <c r="B954" s="104"/>
      <c r="C954" s="104"/>
      <c r="D954" s="105"/>
      <c r="E954" s="106"/>
      <c r="F954" s="107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6"/>
    </row>
    <row r="955" ht="15.75" customHeight="1">
      <c r="A955" s="109"/>
      <c r="B955" s="104"/>
      <c r="C955" s="104"/>
      <c r="D955" s="105"/>
      <c r="E955" s="106"/>
      <c r="F955" s="107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6"/>
    </row>
    <row r="956" ht="15.75" customHeight="1">
      <c r="A956" s="109"/>
      <c r="B956" s="104"/>
      <c r="C956" s="104"/>
      <c r="D956" s="105"/>
      <c r="E956" s="106"/>
      <c r="F956" s="107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6"/>
    </row>
    <row r="957" ht="15.75" customHeight="1">
      <c r="A957" s="109"/>
      <c r="B957" s="104"/>
      <c r="C957" s="104"/>
      <c r="D957" s="105"/>
      <c r="E957" s="106"/>
      <c r="F957" s="107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6"/>
    </row>
    <row r="958" ht="15.75" customHeight="1">
      <c r="A958" s="109"/>
      <c r="B958" s="104"/>
      <c r="C958" s="104"/>
      <c r="D958" s="105"/>
      <c r="E958" s="106"/>
      <c r="F958" s="107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6"/>
    </row>
    <row r="959" ht="15.75" customHeight="1">
      <c r="A959" s="109"/>
      <c r="B959" s="104"/>
      <c r="C959" s="104"/>
      <c r="D959" s="105"/>
      <c r="E959" s="106"/>
      <c r="F959" s="107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6"/>
    </row>
    <row r="960" ht="15.75" customHeight="1">
      <c r="A960" s="109"/>
      <c r="B960" s="104"/>
      <c r="C960" s="104"/>
      <c r="D960" s="105"/>
      <c r="E960" s="106"/>
      <c r="F960" s="107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6"/>
    </row>
    <row r="961" ht="15.75" customHeight="1">
      <c r="A961" s="109"/>
      <c r="B961" s="104"/>
      <c r="C961" s="104"/>
      <c r="D961" s="105"/>
      <c r="E961" s="106"/>
      <c r="F961" s="107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6"/>
    </row>
    <row r="962" ht="15.75" customHeight="1">
      <c r="A962" s="109"/>
      <c r="B962" s="104"/>
      <c r="C962" s="104"/>
      <c r="D962" s="105"/>
      <c r="E962" s="106"/>
      <c r="F962" s="107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6"/>
    </row>
    <row r="963" ht="15.75" customHeight="1">
      <c r="A963" s="109"/>
      <c r="B963" s="104"/>
      <c r="C963" s="104"/>
      <c r="D963" s="105"/>
      <c r="E963" s="106"/>
      <c r="F963" s="107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6"/>
    </row>
    <row r="964" ht="15.75" customHeight="1">
      <c r="A964" s="109"/>
      <c r="B964" s="104"/>
      <c r="C964" s="104"/>
      <c r="D964" s="105"/>
      <c r="E964" s="106"/>
      <c r="F964" s="107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6"/>
    </row>
    <row r="965" ht="15.75" customHeight="1">
      <c r="A965" s="109"/>
      <c r="B965" s="104"/>
      <c r="C965" s="104"/>
      <c r="D965" s="105"/>
      <c r="E965" s="106"/>
      <c r="F965" s="107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6"/>
    </row>
    <row r="966" ht="15.75" customHeight="1">
      <c r="A966" s="109"/>
      <c r="B966" s="104"/>
      <c r="C966" s="104"/>
      <c r="D966" s="105"/>
      <c r="E966" s="106"/>
      <c r="F966" s="107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6"/>
    </row>
    <row r="967" ht="15.75" customHeight="1">
      <c r="A967" s="109"/>
      <c r="B967" s="104"/>
      <c r="C967" s="104"/>
      <c r="D967" s="105"/>
      <c r="E967" s="106"/>
      <c r="F967" s="107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6"/>
    </row>
    <row r="968" ht="15.75" customHeight="1">
      <c r="A968" s="109"/>
      <c r="B968" s="104"/>
      <c r="C968" s="104"/>
      <c r="D968" s="105"/>
      <c r="E968" s="106"/>
      <c r="F968" s="107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6"/>
    </row>
    <row r="969" ht="15.75" customHeight="1">
      <c r="A969" s="109"/>
      <c r="B969" s="104"/>
      <c r="C969" s="104"/>
      <c r="D969" s="105"/>
      <c r="E969" s="106"/>
      <c r="F969" s="107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6"/>
    </row>
    <row r="970" ht="15.75" customHeight="1">
      <c r="A970" s="109"/>
      <c r="B970" s="104"/>
      <c r="C970" s="104"/>
      <c r="D970" s="105"/>
      <c r="E970" s="106"/>
      <c r="F970" s="107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6"/>
    </row>
    <row r="971" ht="15.75" customHeight="1">
      <c r="A971" s="109"/>
      <c r="B971" s="104"/>
      <c r="C971" s="104"/>
      <c r="D971" s="105"/>
      <c r="E971" s="106"/>
      <c r="F971" s="107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6"/>
    </row>
    <row r="972" ht="15.75" customHeight="1">
      <c r="A972" s="109"/>
      <c r="B972" s="104"/>
      <c r="C972" s="104"/>
      <c r="D972" s="105"/>
      <c r="E972" s="106"/>
      <c r="F972" s="107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6"/>
    </row>
    <row r="973" ht="15.75" customHeight="1">
      <c r="A973" s="109"/>
      <c r="B973" s="104"/>
      <c r="C973" s="104"/>
      <c r="D973" s="105"/>
      <c r="E973" s="106"/>
      <c r="F973" s="107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6"/>
    </row>
    <row r="974" ht="15.75" customHeight="1">
      <c r="A974" s="109"/>
      <c r="B974" s="104"/>
      <c r="C974" s="104"/>
      <c r="D974" s="105"/>
      <c r="E974" s="106"/>
      <c r="F974" s="107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6"/>
    </row>
    <row r="975" ht="15.75" customHeight="1">
      <c r="A975" s="109"/>
      <c r="B975" s="104"/>
      <c r="C975" s="104"/>
      <c r="D975" s="105"/>
      <c r="E975" s="106"/>
      <c r="F975" s="107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6"/>
    </row>
    <row r="976" ht="15.75" customHeight="1">
      <c r="A976" s="109"/>
      <c r="B976" s="104"/>
      <c r="C976" s="104"/>
      <c r="D976" s="105"/>
      <c r="E976" s="106"/>
      <c r="F976" s="107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6"/>
    </row>
    <row r="977" ht="15.75" customHeight="1">
      <c r="A977" s="109"/>
      <c r="B977" s="104"/>
      <c r="C977" s="104"/>
      <c r="D977" s="105"/>
      <c r="E977" s="106"/>
      <c r="F977" s="107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6"/>
    </row>
    <row r="978" ht="15.75" customHeight="1">
      <c r="A978" s="109"/>
      <c r="B978" s="104"/>
      <c r="C978" s="104"/>
      <c r="D978" s="105"/>
      <c r="E978" s="106"/>
      <c r="F978" s="107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6"/>
    </row>
    <row r="979" ht="15.75" customHeight="1">
      <c r="A979" s="109"/>
      <c r="B979" s="104"/>
      <c r="C979" s="104"/>
      <c r="D979" s="105"/>
      <c r="E979" s="106"/>
      <c r="F979" s="107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6"/>
    </row>
    <row r="980" ht="15.75" customHeight="1">
      <c r="A980" s="109"/>
      <c r="B980" s="104"/>
      <c r="C980" s="104"/>
      <c r="D980" s="105"/>
      <c r="E980" s="106"/>
      <c r="F980" s="107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6"/>
    </row>
    <row r="981" ht="15.75" customHeight="1">
      <c r="A981" s="109"/>
      <c r="B981" s="104"/>
      <c r="C981" s="104"/>
      <c r="D981" s="105"/>
      <c r="E981" s="106"/>
      <c r="F981" s="107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6"/>
    </row>
    <row r="982" ht="15.75" customHeight="1">
      <c r="A982" s="109"/>
      <c r="B982" s="104"/>
      <c r="C982" s="104"/>
      <c r="D982" s="105"/>
      <c r="E982" s="106"/>
      <c r="F982" s="107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6"/>
    </row>
    <row r="983" ht="15.75" customHeight="1">
      <c r="A983" s="109"/>
      <c r="B983" s="104"/>
      <c r="C983" s="104"/>
      <c r="D983" s="105"/>
      <c r="E983" s="106"/>
      <c r="F983" s="107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6"/>
    </row>
    <row r="984" ht="15.75" customHeight="1">
      <c r="A984" s="109"/>
      <c r="B984" s="104"/>
      <c r="C984" s="104"/>
      <c r="D984" s="105"/>
      <c r="E984" s="106"/>
      <c r="F984" s="107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6"/>
    </row>
    <row r="985" ht="15.75" customHeight="1">
      <c r="A985" s="109"/>
      <c r="B985" s="104"/>
      <c r="C985" s="104"/>
      <c r="D985" s="105"/>
      <c r="E985" s="106"/>
      <c r="F985" s="107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6"/>
    </row>
    <row r="986" ht="15.75" customHeight="1">
      <c r="A986" s="109"/>
      <c r="B986" s="104"/>
      <c r="C986" s="104"/>
      <c r="D986" s="105"/>
      <c r="E986" s="106"/>
      <c r="F986" s="107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6"/>
    </row>
    <row r="987" ht="15.75" customHeight="1">
      <c r="A987" s="109"/>
      <c r="B987" s="104"/>
      <c r="C987" s="104"/>
      <c r="D987" s="105"/>
      <c r="E987" s="106"/>
      <c r="F987" s="107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6"/>
    </row>
    <row r="988" ht="15.75" customHeight="1">
      <c r="A988" s="109"/>
      <c r="B988" s="104"/>
      <c r="C988" s="104"/>
      <c r="D988" s="105"/>
      <c r="E988" s="106"/>
      <c r="F988" s="107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6"/>
    </row>
    <row r="989" ht="15.75" customHeight="1">
      <c r="A989" s="109"/>
      <c r="B989" s="104"/>
      <c r="C989" s="104"/>
      <c r="D989" s="105"/>
      <c r="E989" s="106"/>
      <c r="F989" s="107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6"/>
    </row>
    <row r="990" ht="15.75" customHeight="1">
      <c r="A990" s="109"/>
      <c r="B990" s="104"/>
      <c r="C990" s="104"/>
      <c r="D990" s="105"/>
      <c r="E990" s="106"/>
      <c r="F990" s="107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6"/>
    </row>
    <row r="991" ht="15.75" customHeight="1">
      <c r="A991" s="109"/>
      <c r="B991" s="104"/>
      <c r="C991" s="104"/>
      <c r="D991" s="105"/>
      <c r="E991" s="106"/>
      <c r="F991" s="107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6"/>
    </row>
    <row r="992" ht="15.75" customHeight="1">
      <c r="A992" s="109"/>
      <c r="B992" s="104"/>
      <c r="C992" s="104"/>
      <c r="D992" s="105"/>
      <c r="E992" s="106"/>
      <c r="F992" s="107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6"/>
    </row>
    <row r="993" ht="15.75" customHeight="1">
      <c r="A993" s="109"/>
      <c r="B993" s="104"/>
      <c r="C993" s="104"/>
      <c r="D993" s="105"/>
      <c r="E993" s="106"/>
      <c r="F993" s="107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6"/>
    </row>
    <row r="994" ht="15.75" customHeight="1">
      <c r="A994" s="109"/>
      <c r="B994" s="104"/>
      <c r="C994" s="104"/>
      <c r="D994" s="105"/>
      <c r="E994" s="106"/>
      <c r="F994" s="107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6"/>
    </row>
    <row r="995" ht="15.75" customHeight="1">
      <c r="A995" s="109"/>
      <c r="B995" s="104"/>
      <c r="C995" s="104"/>
      <c r="D995" s="105"/>
      <c r="E995" s="106"/>
      <c r="F995" s="107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6"/>
    </row>
    <row r="996" ht="15.75" customHeight="1">
      <c r="A996" s="109"/>
      <c r="B996" s="104"/>
      <c r="C996" s="104"/>
      <c r="D996" s="105"/>
      <c r="E996" s="106"/>
      <c r="F996" s="107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6"/>
    </row>
    <row r="997" ht="15.75" customHeight="1">
      <c r="A997" s="109"/>
      <c r="B997" s="104"/>
      <c r="C997" s="104"/>
      <c r="D997" s="105"/>
      <c r="E997" s="106"/>
      <c r="F997" s="107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6"/>
    </row>
    <row r="998" ht="15.75" customHeight="1">
      <c r="A998" s="109"/>
      <c r="B998" s="104"/>
      <c r="C998" s="104"/>
      <c r="D998" s="105"/>
      <c r="E998" s="106"/>
      <c r="F998" s="107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6"/>
    </row>
    <row r="999" ht="15.75" customHeight="1">
      <c r="A999" s="109"/>
      <c r="B999" s="104"/>
      <c r="C999" s="104"/>
      <c r="D999" s="105"/>
      <c r="E999" s="106"/>
      <c r="F999" s="107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6"/>
    </row>
    <row r="1000" ht="15.75" customHeight="1">
      <c r="A1000" s="109"/>
      <c r="B1000" s="104"/>
      <c r="C1000" s="104"/>
      <c r="D1000" s="105"/>
      <c r="E1000" s="106"/>
      <c r="F1000" s="107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6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1.22" defaultRowHeight="15.0"/>
  <cols>
    <col customWidth="1" min="1" max="1" width="22.78"/>
    <col customWidth="1" min="2" max="2" width="16.44"/>
    <col customWidth="1" min="3" max="3" width="13.44"/>
    <col customWidth="1" min="4" max="4" width="14.11"/>
    <col customWidth="1" min="5" max="7" width="16.78"/>
    <col customWidth="1" min="8" max="8" width="17.33"/>
    <col customWidth="1" min="9" max="11" width="16.78"/>
    <col customWidth="1" min="12" max="12" width="20.0"/>
    <col customWidth="1" min="13" max="15" width="16.78"/>
    <col customWidth="1" min="16" max="16" width="22.78"/>
    <col customWidth="1" min="17" max="17" width="16.78"/>
    <col customWidth="1" min="18" max="18" width="123.11"/>
  </cols>
  <sheetData>
    <row r="1" ht="15.75" customHeight="1">
      <c r="A1" s="25" t="s">
        <v>28</v>
      </c>
      <c r="B1" s="26"/>
      <c r="C1" s="26"/>
      <c r="D1" s="27"/>
      <c r="E1" s="28"/>
      <c r="F1" s="29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28"/>
    </row>
    <row r="2" ht="15.75" customHeight="1">
      <c r="A2" s="31" t="s">
        <v>29</v>
      </c>
      <c r="B2" s="26"/>
      <c r="C2" s="26"/>
      <c r="D2" s="27"/>
      <c r="E2" s="28"/>
      <c r="F2" s="29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28"/>
    </row>
    <row r="3" ht="15.75" customHeight="1">
      <c r="A3" s="32" t="s">
        <v>30</v>
      </c>
      <c r="B3" s="26"/>
      <c r="C3" s="26"/>
      <c r="D3" s="27"/>
      <c r="E3" s="28"/>
      <c r="F3" s="29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28"/>
    </row>
    <row r="4" ht="21.75" customHeight="1">
      <c r="A4" s="33" t="s">
        <v>31</v>
      </c>
      <c r="B4" s="136" t="s">
        <v>100</v>
      </c>
      <c r="C4" s="26"/>
      <c r="D4" s="27"/>
      <c r="E4" s="28"/>
      <c r="F4" s="29"/>
      <c r="G4" s="30"/>
      <c r="H4" s="30"/>
      <c r="I4" s="35"/>
      <c r="J4" s="30"/>
      <c r="K4" s="30"/>
      <c r="L4" s="30"/>
      <c r="M4" s="30"/>
      <c r="N4" s="30"/>
      <c r="O4" s="30"/>
      <c r="P4" s="30"/>
      <c r="Q4" s="30"/>
      <c r="R4" s="28"/>
    </row>
    <row r="5" ht="24.0" customHeight="1">
      <c r="A5" s="36"/>
      <c r="B5" s="37" t="s">
        <v>32</v>
      </c>
      <c r="C5" s="38">
        <v>14.0</v>
      </c>
      <c r="D5" s="27"/>
      <c r="E5" s="137">
        <v>45870.0</v>
      </c>
      <c r="F5" s="29"/>
      <c r="G5" s="30"/>
      <c r="H5" s="39"/>
      <c r="I5" s="35" t="s">
        <v>33</v>
      </c>
      <c r="J5" s="30"/>
      <c r="K5" s="30"/>
      <c r="L5" s="30"/>
      <c r="M5" s="30"/>
      <c r="N5" s="30"/>
      <c r="O5" s="30"/>
      <c r="P5" s="30"/>
      <c r="Q5" s="30"/>
      <c r="R5" s="39"/>
    </row>
    <row r="6" ht="15.75" customHeight="1">
      <c r="A6" s="40"/>
      <c r="B6" s="138" t="s">
        <v>101</v>
      </c>
      <c r="C6" s="26"/>
      <c r="D6" s="139">
        <v>16.0</v>
      </c>
      <c r="E6" s="139">
        <v>18.0</v>
      </c>
      <c r="F6" s="29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28"/>
    </row>
    <row r="7" ht="15.75" customHeight="1">
      <c r="A7" s="40"/>
      <c r="B7" s="26"/>
      <c r="C7" s="26"/>
      <c r="D7" s="27"/>
      <c r="E7" s="28"/>
      <c r="F7" s="29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28"/>
    </row>
    <row r="8" ht="15.75" customHeight="1">
      <c r="A8" s="40"/>
      <c r="B8" s="26"/>
      <c r="C8" s="26"/>
      <c r="D8" s="27"/>
      <c r="E8" s="28"/>
      <c r="F8" s="29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28"/>
    </row>
    <row r="9" ht="15.75" customHeight="1">
      <c r="A9" s="40"/>
      <c r="B9" s="26"/>
      <c r="C9" s="26"/>
      <c r="D9" s="27"/>
      <c r="E9" s="28"/>
      <c r="F9" s="29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28"/>
    </row>
    <row r="10" ht="78.75" customHeight="1">
      <c r="A10" s="41" t="s">
        <v>34</v>
      </c>
      <c r="B10" s="42" t="s">
        <v>35</v>
      </c>
      <c r="C10" s="42" t="s">
        <v>36</v>
      </c>
      <c r="D10" s="42" t="s">
        <v>37</v>
      </c>
      <c r="E10" s="43" t="s">
        <v>38</v>
      </c>
      <c r="F10" s="44" t="s">
        <v>39</v>
      </c>
      <c r="G10" s="45" t="s">
        <v>40</v>
      </c>
      <c r="H10" s="45" t="s">
        <v>41</v>
      </c>
      <c r="I10" s="45" t="s">
        <v>42</v>
      </c>
      <c r="J10" s="45" t="s">
        <v>43</v>
      </c>
      <c r="K10" s="45" t="s">
        <v>44</v>
      </c>
      <c r="L10" s="45" t="s">
        <v>45</v>
      </c>
      <c r="M10" s="45" t="s">
        <v>46</v>
      </c>
      <c r="N10" s="45" t="s">
        <v>43</v>
      </c>
      <c r="O10" s="45" t="s">
        <v>44</v>
      </c>
      <c r="P10" s="46" t="s">
        <v>47</v>
      </c>
      <c r="Q10" s="46" t="s">
        <v>64</v>
      </c>
      <c r="R10" s="44" t="s">
        <v>49</v>
      </c>
    </row>
    <row r="11" ht="15.75" customHeight="1">
      <c r="A11" s="47">
        <v>45662.0</v>
      </c>
      <c r="B11" s="48">
        <v>12.0</v>
      </c>
      <c r="C11" s="49">
        <f t="shared" ref="C11:C21" si="1">IF(B11=0,"",B11/C$5)</f>
        <v>0.8571428571</v>
      </c>
      <c r="D11" s="50">
        <v>10275.0</v>
      </c>
      <c r="E11" s="51">
        <f t="shared" ref="E11:E14" si="2">IFERROR(D11/B11,"")</f>
        <v>856.25</v>
      </c>
      <c r="F11" s="50">
        <v>8775.0</v>
      </c>
      <c r="G11" s="52">
        <f t="shared" ref="G11:G75" si="3">IFERROR(F11/D11,"")</f>
        <v>0.8540145985</v>
      </c>
      <c r="H11" s="53"/>
      <c r="I11" s="53"/>
      <c r="J11" s="54"/>
      <c r="K11" s="55"/>
      <c r="L11" s="53"/>
      <c r="M11" s="53"/>
      <c r="N11" s="55"/>
      <c r="O11" s="55"/>
      <c r="P11" s="53"/>
      <c r="Q11" s="53"/>
      <c r="R11" s="56" t="s">
        <v>102</v>
      </c>
    </row>
    <row r="12" ht="15.75" customHeight="1">
      <c r="A12" s="57">
        <f t="shared" ref="A12:A14" si="4">A11+7</f>
        <v>45669</v>
      </c>
      <c r="B12" s="48">
        <v>12.0</v>
      </c>
      <c r="C12" s="49">
        <f t="shared" si="1"/>
        <v>0.8571428571</v>
      </c>
      <c r="D12" s="50">
        <v>10275.0</v>
      </c>
      <c r="E12" s="51">
        <f t="shared" si="2"/>
        <v>856.25</v>
      </c>
      <c r="F12" s="50">
        <v>9575.0</v>
      </c>
      <c r="G12" s="52">
        <f t="shared" si="3"/>
        <v>0.9318734793</v>
      </c>
      <c r="H12" s="58"/>
      <c r="I12" s="58"/>
      <c r="J12" s="54"/>
      <c r="K12" s="55"/>
      <c r="L12" s="58"/>
      <c r="M12" s="58"/>
      <c r="N12" s="55"/>
      <c r="O12" s="55"/>
      <c r="P12" s="58"/>
      <c r="Q12" s="58"/>
      <c r="R12" s="59"/>
    </row>
    <row r="13" ht="15.75" customHeight="1">
      <c r="A13" s="57">
        <f t="shared" si="4"/>
        <v>45676</v>
      </c>
      <c r="B13" s="48">
        <v>12.0</v>
      </c>
      <c r="C13" s="49">
        <f t="shared" si="1"/>
        <v>0.8571428571</v>
      </c>
      <c r="D13" s="50">
        <v>10275.0</v>
      </c>
      <c r="E13" s="51">
        <f t="shared" si="2"/>
        <v>856.25</v>
      </c>
      <c r="F13" s="50">
        <v>9575.0</v>
      </c>
      <c r="G13" s="52">
        <f t="shared" si="3"/>
        <v>0.9318734793</v>
      </c>
      <c r="H13" s="58"/>
      <c r="I13" s="58"/>
      <c r="J13" s="54"/>
      <c r="K13" s="55"/>
      <c r="L13" s="58"/>
      <c r="M13" s="58"/>
      <c r="N13" s="55"/>
      <c r="O13" s="55"/>
      <c r="P13" s="58"/>
      <c r="Q13" s="58"/>
      <c r="R13" s="59"/>
    </row>
    <row r="14" ht="15.75" customHeight="1">
      <c r="A14" s="57">
        <f t="shared" si="4"/>
        <v>45683</v>
      </c>
      <c r="B14" s="48">
        <v>12.0</v>
      </c>
      <c r="C14" s="49">
        <f t="shared" si="1"/>
        <v>0.8571428571</v>
      </c>
      <c r="D14" s="50">
        <v>10275.0</v>
      </c>
      <c r="E14" s="51">
        <f t="shared" si="2"/>
        <v>856.25</v>
      </c>
      <c r="F14" s="50">
        <v>9575.0</v>
      </c>
      <c r="G14" s="52">
        <f t="shared" si="3"/>
        <v>0.9318734793</v>
      </c>
      <c r="H14" s="60"/>
      <c r="I14" s="60"/>
      <c r="J14" s="54"/>
      <c r="K14" s="55"/>
      <c r="L14" s="58"/>
      <c r="M14" s="58"/>
      <c r="N14" s="55"/>
      <c r="O14" s="55"/>
      <c r="P14" s="58"/>
      <c r="Q14" s="58"/>
      <c r="R14" s="59"/>
    </row>
    <row r="15" ht="15.75" customHeight="1">
      <c r="A15" s="61" t="s">
        <v>51</v>
      </c>
      <c r="B15" s="62">
        <v>12.0</v>
      </c>
      <c r="C15" s="63">
        <f t="shared" si="1"/>
        <v>0.8571428571</v>
      </c>
      <c r="D15" s="64">
        <v>10850.0</v>
      </c>
      <c r="E15" s="65">
        <f>D15/B15</f>
        <v>904.1666667</v>
      </c>
      <c r="F15" s="64">
        <v>10850.0</v>
      </c>
      <c r="G15" s="66">
        <f t="shared" si="3"/>
        <v>1</v>
      </c>
      <c r="H15" s="67">
        <v>9575.0</v>
      </c>
      <c r="I15" s="67">
        <v>10850.0</v>
      </c>
      <c r="J15" s="68">
        <f>IF(H15=0,"",H15-I15)</f>
        <v>-1275</v>
      </c>
      <c r="K15" s="69">
        <f>IFERROR((H15-I15)/H15,"")</f>
        <v>-0.1331592689</v>
      </c>
      <c r="L15" s="67">
        <v>7650.0</v>
      </c>
      <c r="M15" s="67">
        <v>10000.0</v>
      </c>
      <c r="N15" s="68">
        <f>IF(L15=0,"",L15-M15)</f>
        <v>-2350</v>
      </c>
      <c r="O15" s="69">
        <f>IFERROR((L15-M15)/L15,"")</f>
        <v>-0.3071895425</v>
      </c>
      <c r="P15" s="70">
        <f t="shared" ref="P15:Q15" si="5">H15-L15</f>
        <v>1925</v>
      </c>
      <c r="Q15" s="70">
        <f t="shared" si="5"/>
        <v>850</v>
      </c>
      <c r="R15" s="87"/>
    </row>
    <row r="16" ht="15.75" customHeight="1">
      <c r="A16" s="57">
        <f>A14+7</f>
        <v>45690</v>
      </c>
      <c r="B16" s="48">
        <v>12.0</v>
      </c>
      <c r="C16" s="49">
        <f t="shared" si="1"/>
        <v>0.8571428571</v>
      </c>
      <c r="D16" s="50">
        <v>10275.0</v>
      </c>
      <c r="E16" s="51">
        <f t="shared" ref="E16:E19" si="6">IFERROR(D16/B16,"")</f>
        <v>856.25</v>
      </c>
      <c r="F16" s="50">
        <v>533.0</v>
      </c>
      <c r="G16" s="72">
        <f t="shared" si="3"/>
        <v>0.05187347932</v>
      </c>
      <c r="H16" s="73"/>
      <c r="I16" s="74"/>
      <c r="J16" s="75"/>
      <c r="K16" s="76"/>
      <c r="L16" s="74"/>
      <c r="M16" s="74"/>
      <c r="N16" s="77"/>
      <c r="O16" s="55"/>
      <c r="P16" s="74"/>
      <c r="Q16" s="74"/>
      <c r="R16" s="59"/>
    </row>
    <row r="17" ht="15.75" customHeight="1">
      <c r="A17" s="57">
        <f t="shared" ref="A17:A19" si="7">A16+7</f>
        <v>45697</v>
      </c>
      <c r="B17" s="48">
        <v>12.0</v>
      </c>
      <c r="C17" s="49">
        <f t="shared" si="1"/>
        <v>0.8571428571</v>
      </c>
      <c r="D17" s="50">
        <v>10275.0</v>
      </c>
      <c r="E17" s="51">
        <f t="shared" si="6"/>
        <v>856.25</v>
      </c>
      <c r="F17" s="50">
        <v>9625.0</v>
      </c>
      <c r="G17" s="52">
        <f t="shared" si="3"/>
        <v>0.9367396594</v>
      </c>
      <c r="H17" s="78"/>
      <c r="I17" s="78"/>
      <c r="J17" s="54"/>
      <c r="K17" s="55"/>
      <c r="L17" s="78"/>
      <c r="M17" s="78"/>
      <c r="N17" s="55"/>
      <c r="O17" s="55"/>
      <c r="P17" s="78"/>
      <c r="Q17" s="78"/>
      <c r="R17" s="59"/>
    </row>
    <row r="18" ht="15.75" customHeight="1">
      <c r="A18" s="57">
        <f t="shared" si="7"/>
        <v>45704</v>
      </c>
      <c r="B18" s="48">
        <v>12.0</v>
      </c>
      <c r="C18" s="49">
        <f t="shared" si="1"/>
        <v>0.8571428571</v>
      </c>
      <c r="D18" s="50">
        <v>10275.0</v>
      </c>
      <c r="E18" s="51">
        <f t="shared" si="6"/>
        <v>856.25</v>
      </c>
      <c r="F18" s="50">
        <v>9625.0</v>
      </c>
      <c r="G18" s="52">
        <f t="shared" si="3"/>
        <v>0.9367396594</v>
      </c>
      <c r="H18" s="58"/>
      <c r="I18" s="58"/>
      <c r="J18" s="54"/>
      <c r="K18" s="55"/>
      <c r="L18" s="58"/>
      <c r="M18" s="58"/>
      <c r="N18" s="55"/>
      <c r="O18" s="55"/>
      <c r="P18" s="58"/>
      <c r="Q18" s="58"/>
      <c r="R18" s="59"/>
    </row>
    <row r="19" ht="15.75" customHeight="1">
      <c r="A19" s="57">
        <f t="shared" si="7"/>
        <v>45711</v>
      </c>
      <c r="B19" s="48">
        <v>12.0</v>
      </c>
      <c r="C19" s="49">
        <f t="shared" si="1"/>
        <v>0.8571428571</v>
      </c>
      <c r="D19" s="50">
        <v>10275.0</v>
      </c>
      <c r="E19" s="51">
        <f t="shared" si="6"/>
        <v>856.25</v>
      </c>
      <c r="F19" s="50">
        <v>9689.0</v>
      </c>
      <c r="G19" s="52">
        <f t="shared" si="3"/>
        <v>0.9429683698</v>
      </c>
      <c r="H19" s="60"/>
      <c r="I19" s="60"/>
      <c r="J19" s="54"/>
      <c r="K19" s="55"/>
      <c r="L19" s="58"/>
      <c r="M19" s="58"/>
      <c r="N19" s="55"/>
      <c r="O19" s="55"/>
      <c r="P19" s="58"/>
      <c r="Q19" s="58"/>
      <c r="R19" s="59"/>
    </row>
    <row r="20" ht="15.75" customHeight="1">
      <c r="A20" s="61" t="s">
        <v>51</v>
      </c>
      <c r="B20" s="62">
        <v>12.0</v>
      </c>
      <c r="C20" s="63">
        <f t="shared" si="1"/>
        <v>0.8571428571</v>
      </c>
      <c r="D20" s="64">
        <v>10850.0</v>
      </c>
      <c r="E20" s="70">
        <f>D20/B20</f>
        <v>904.1666667</v>
      </c>
      <c r="F20" s="64">
        <v>10850.0</v>
      </c>
      <c r="G20" s="66">
        <f t="shared" si="3"/>
        <v>1</v>
      </c>
      <c r="H20" s="67">
        <v>9789.0</v>
      </c>
      <c r="I20" s="67">
        <v>10850.0</v>
      </c>
      <c r="J20" s="68">
        <f>IF(H20=0,"",H20-I20)</f>
        <v>-1061</v>
      </c>
      <c r="K20" s="69">
        <f>IFERROR((H20-I20)/H20,"")</f>
        <v>-0.108386965</v>
      </c>
      <c r="L20" s="67">
        <v>9702.0</v>
      </c>
      <c r="M20" s="67">
        <v>10000.0</v>
      </c>
      <c r="N20" s="68">
        <f>IF(L20=0,"",L20-M20)</f>
        <v>-298</v>
      </c>
      <c r="O20" s="69">
        <f>IFERROR((L20-M20)/L20,"")</f>
        <v>-0.03071531643</v>
      </c>
      <c r="P20" s="70">
        <f t="shared" ref="P20:Q20" si="8">H20-L20</f>
        <v>87</v>
      </c>
      <c r="Q20" s="70">
        <f t="shared" si="8"/>
        <v>850</v>
      </c>
      <c r="R20" s="71" t="s">
        <v>103</v>
      </c>
    </row>
    <row r="21" ht="15.75" customHeight="1">
      <c r="A21" s="57">
        <f>A19+7</f>
        <v>45718</v>
      </c>
      <c r="B21" s="48">
        <v>9.0</v>
      </c>
      <c r="C21" s="49">
        <f t="shared" si="1"/>
        <v>0.6428571429</v>
      </c>
      <c r="D21" s="50">
        <v>8650.0</v>
      </c>
      <c r="E21" s="51">
        <f t="shared" ref="E21:E25" si="9">IFERROR(D21/B21,"")</f>
        <v>961.1111111</v>
      </c>
      <c r="F21" s="50">
        <v>5350.0</v>
      </c>
      <c r="G21" s="79">
        <f t="shared" si="3"/>
        <v>0.6184971098</v>
      </c>
      <c r="H21" s="80"/>
      <c r="I21" s="81"/>
      <c r="J21" s="54"/>
      <c r="K21" s="76"/>
      <c r="L21" s="73"/>
      <c r="M21" s="74"/>
      <c r="N21" s="77"/>
      <c r="O21" s="55"/>
      <c r="P21" s="73"/>
      <c r="Q21" s="74"/>
      <c r="R21" s="59"/>
    </row>
    <row r="22" ht="15.75" customHeight="1">
      <c r="A22" s="57">
        <f t="shared" ref="A22:A25" si="10">A21+7</f>
        <v>45725</v>
      </c>
      <c r="B22" s="48">
        <v>9.0</v>
      </c>
      <c r="C22" s="49">
        <f t="shared" ref="C22:C30" si="11">IF(B22=0,"",B22/D$6)</f>
        <v>0.5625</v>
      </c>
      <c r="D22" s="50">
        <v>8650.0</v>
      </c>
      <c r="E22" s="51">
        <f t="shared" si="9"/>
        <v>961.1111111</v>
      </c>
      <c r="F22" s="50">
        <v>8650.0</v>
      </c>
      <c r="G22" s="52">
        <f t="shared" si="3"/>
        <v>1</v>
      </c>
      <c r="H22" s="78"/>
      <c r="I22" s="78"/>
      <c r="J22" s="54"/>
      <c r="K22" s="55"/>
      <c r="L22" s="78"/>
      <c r="M22" s="78"/>
      <c r="N22" s="55"/>
      <c r="O22" s="55"/>
      <c r="P22" s="78"/>
      <c r="Q22" s="78"/>
      <c r="R22" s="59"/>
    </row>
    <row r="23" ht="15.75" customHeight="1">
      <c r="A23" s="57">
        <f t="shared" si="10"/>
        <v>45732</v>
      </c>
      <c r="B23" s="48">
        <v>13.0</v>
      </c>
      <c r="C23" s="49">
        <f t="shared" si="11"/>
        <v>0.8125</v>
      </c>
      <c r="D23" s="50">
        <v>10835.0</v>
      </c>
      <c r="E23" s="51">
        <f t="shared" si="9"/>
        <v>833.4615385</v>
      </c>
      <c r="F23" s="50">
        <v>9200.0</v>
      </c>
      <c r="G23" s="52">
        <f t="shared" si="3"/>
        <v>0.8491001384</v>
      </c>
      <c r="H23" s="58"/>
      <c r="I23" s="58"/>
      <c r="J23" s="54"/>
      <c r="K23" s="55"/>
      <c r="L23" s="58"/>
      <c r="M23" s="58"/>
      <c r="N23" s="55"/>
      <c r="O23" s="55"/>
      <c r="P23" s="58"/>
      <c r="Q23" s="58"/>
      <c r="R23" s="59"/>
    </row>
    <row r="24" ht="15.75" customHeight="1">
      <c r="A24" s="57">
        <f t="shared" si="10"/>
        <v>45739</v>
      </c>
      <c r="B24" s="48">
        <v>13.0</v>
      </c>
      <c r="C24" s="49">
        <f t="shared" si="11"/>
        <v>0.8125</v>
      </c>
      <c r="D24" s="50">
        <v>10835.0</v>
      </c>
      <c r="E24" s="51">
        <f t="shared" si="9"/>
        <v>833.4615385</v>
      </c>
      <c r="F24" s="50">
        <v>10442.0</v>
      </c>
      <c r="G24" s="52">
        <f t="shared" si="3"/>
        <v>0.9637286571</v>
      </c>
      <c r="H24" s="58"/>
      <c r="I24" s="58"/>
      <c r="J24" s="54"/>
      <c r="K24" s="55"/>
      <c r="L24" s="58"/>
      <c r="M24" s="58"/>
      <c r="N24" s="55"/>
      <c r="O24" s="55"/>
      <c r="P24" s="58"/>
      <c r="Q24" s="58"/>
      <c r="R24" s="59"/>
    </row>
    <row r="25" ht="15.75" customHeight="1">
      <c r="A25" s="57">
        <f t="shared" si="10"/>
        <v>45746</v>
      </c>
      <c r="B25" s="48">
        <v>13.0</v>
      </c>
      <c r="C25" s="49">
        <f t="shared" si="11"/>
        <v>0.8125</v>
      </c>
      <c r="D25" s="50">
        <v>10835.0</v>
      </c>
      <c r="E25" s="51">
        <f t="shared" si="9"/>
        <v>833.4615385</v>
      </c>
      <c r="F25" s="50">
        <v>10442.0</v>
      </c>
      <c r="G25" s="52">
        <f t="shared" si="3"/>
        <v>0.9637286571</v>
      </c>
      <c r="H25" s="82"/>
      <c r="I25" s="82"/>
      <c r="J25" s="54"/>
      <c r="K25" s="55"/>
      <c r="L25" s="82"/>
      <c r="M25" s="82"/>
      <c r="N25" s="55"/>
      <c r="O25" s="55"/>
      <c r="P25" s="82"/>
      <c r="Q25" s="82"/>
      <c r="R25" s="59"/>
    </row>
    <row r="26" ht="15.75" customHeight="1">
      <c r="A26" s="61" t="s">
        <v>51</v>
      </c>
      <c r="B26" s="62">
        <v>15.0</v>
      </c>
      <c r="C26" s="63">
        <f t="shared" si="11"/>
        <v>0.9375</v>
      </c>
      <c r="D26" s="64">
        <v>10850.0</v>
      </c>
      <c r="E26" s="70">
        <f>D26/B26</f>
        <v>723.3333333</v>
      </c>
      <c r="F26" s="64">
        <v>10850.0</v>
      </c>
      <c r="G26" s="66">
        <f t="shared" si="3"/>
        <v>1</v>
      </c>
      <c r="H26" s="83">
        <v>10442.0</v>
      </c>
      <c r="I26" s="67">
        <v>10850.0</v>
      </c>
      <c r="J26" s="68">
        <f>IF(H26=0,"",H26-I26)</f>
        <v>-408</v>
      </c>
      <c r="K26" s="69">
        <f>IFERROR((H26-I26)/H26,"")</f>
        <v>-0.03907297453</v>
      </c>
      <c r="L26" s="83">
        <v>23891.0</v>
      </c>
      <c r="M26" s="67">
        <v>10000.0</v>
      </c>
      <c r="N26" s="68">
        <f>IF(L26=0,"",L26-M26)</f>
        <v>13891</v>
      </c>
      <c r="O26" s="69">
        <f>IFERROR((L26-M26)/L26,"")</f>
        <v>0.5814323385</v>
      </c>
      <c r="P26" s="84">
        <f t="shared" ref="P26:Q26" si="12">H26-L26</f>
        <v>-13449</v>
      </c>
      <c r="Q26" s="84">
        <f t="shared" si="12"/>
        <v>850</v>
      </c>
      <c r="R26" s="71" t="s">
        <v>104</v>
      </c>
    </row>
    <row r="27" ht="15.75" customHeight="1">
      <c r="A27" s="57">
        <f>A25+7</f>
        <v>45753</v>
      </c>
      <c r="B27" s="48">
        <v>14.0</v>
      </c>
      <c r="C27" s="49">
        <f t="shared" si="11"/>
        <v>0.875</v>
      </c>
      <c r="D27" s="50">
        <v>11600.0</v>
      </c>
      <c r="E27" s="51">
        <f t="shared" ref="E27:E30" si="13">IFERROR(D27/B27,"")</f>
        <v>828.5714286</v>
      </c>
      <c r="F27" s="50">
        <v>11535.0</v>
      </c>
      <c r="G27" s="52">
        <f t="shared" si="3"/>
        <v>0.9943965517</v>
      </c>
      <c r="H27" s="53"/>
      <c r="I27" s="53"/>
      <c r="J27" s="54"/>
      <c r="K27" s="55"/>
      <c r="L27" s="53"/>
      <c r="M27" s="53"/>
      <c r="N27" s="55"/>
      <c r="O27" s="55"/>
      <c r="P27" s="53"/>
      <c r="Q27" s="53"/>
      <c r="R27" s="59"/>
    </row>
    <row r="28" ht="15.75" customHeight="1">
      <c r="A28" s="57">
        <f t="shared" ref="A28:A30" si="14">A27+7</f>
        <v>45760</v>
      </c>
      <c r="B28" s="48">
        <v>14.0</v>
      </c>
      <c r="C28" s="49">
        <f t="shared" si="11"/>
        <v>0.875</v>
      </c>
      <c r="D28" s="50">
        <v>11600.0</v>
      </c>
      <c r="E28" s="51">
        <f t="shared" si="13"/>
        <v>828.5714286</v>
      </c>
      <c r="F28" s="50">
        <v>11535.0</v>
      </c>
      <c r="G28" s="52">
        <f t="shared" si="3"/>
        <v>0.9943965517</v>
      </c>
      <c r="H28" s="58"/>
      <c r="I28" s="58"/>
      <c r="J28" s="54"/>
      <c r="K28" s="55"/>
      <c r="L28" s="58"/>
      <c r="M28" s="58"/>
      <c r="N28" s="55"/>
      <c r="O28" s="55"/>
      <c r="P28" s="58"/>
      <c r="Q28" s="58"/>
      <c r="R28" s="59"/>
    </row>
    <row r="29" ht="15.75" customHeight="1">
      <c r="A29" s="57">
        <f t="shared" si="14"/>
        <v>45767</v>
      </c>
      <c r="B29" s="48">
        <v>14.0</v>
      </c>
      <c r="C29" s="49">
        <f t="shared" si="11"/>
        <v>0.875</v>
      </c>
      <c r="D29" s="50">
        <v>11600.0</v>
      </c>
      <c r="E29" s="51">
        <f t="shared" si="13"/>
        <v>828.5714286</v>
      </c>
      <c r="F29" s="50">
        <v>11353.0</v>
      </c>
      <c r="G29" s="52">
        <f t="shared" si="3"/>
        <v>0.9787068966</v>
      </c>
      <c r="H29" s="58"/>
      <c r="I29" s="58"/>
      <c r="J29" s="54"/>
      <c r="K29" s="55"/>
      <c r="L29" s="58"/>
      <c r="M29" s="58"/>
      <c r="N29" s="55"/>
      <c r="O29" s="55"/>
      <c r="P29" s="58"/>
      <c r="Q29" s="58"/>
      <c r="R29" s="59"/>
    </row>
    <row r="30" ht="15.75" customHeight="1">
      <c r="A30" s="85">
        <f t="shared" si="14"/>
        <v>45774</v>
      </c>
      <c r="B30" s="48">
        <v>13.0</v>
      </c>
      <c r="C30" s="49">
        <f t="shared" si="11"/>
        <v>0.8125</v>
      </c>
      <c r="D30" s="50">
        <v>10100.0</v>
      </c>
      <c r="E30" s="51">
        <f t="shared" si="13"/>
        <v>776.9230769</v>
      </c>
      <c r="F30" s="50">
        <v>11535.0</v>
      </c>
      <c r="G30" s="52">
        <f t="shared" si="3"/>
        <v>1.142079208</v>
      </c>
      <c r="H30" s="82"/>
      <c r="I30" s="82"/>
      <c r="J30" s="54"/>
      <c r="K30" s="55"/>
      <c r="L30" s="82"/>
      <c r="M30" s="82"/>
      <c r="N30" s="55"/>
      <c r="O30" s="55"/>
      <c r="P30" s="82"/>
      <c r="Q30" s="82"/>
      <c r="R30" s="59"/>
    </row>
    <row r="31" ht="15.75" customHeight="1">
      <c r="A31" s="61" t="s">
        <v>51</v>
      </c>
      <c r="B31" s="62">
        <v>12.0</v>
      </c>
      <c r="C31" s="63">
        <f>IF(B31=0,"",B31/C$5)</f>
        <v>0.8571428571</v>
      </c>
      <c r="D31" s="64">
        <v>10850.0</v>
      </c>
      <c r="E31" s="70">
        <f>D31/B31</f>
        <v>904.1666667</v>
      </c>
      <c r="F31" s="64">
        <v>10850.0</v>
      </c>
      <c r="G31" s="66">
        <f t="shared" si="3"/>
        <v>1</v>
      </c>
      <c r="H31" s="83">
        <v>9955.0</v>
      </c>
      <c r="I31" s="67">
        <v>10850.0</v>
      </c>
      <c r="J31" s="68">
        <f>IF(H31=0,"",H31-I31)</f>
        <v>-895</v>
      </c>
      <c r="K31" s="69">
        <f>IFERROR((H31-I31)/H31,"")</f>
        <v>-0.08990457057</v>
      </c>
      <c r="L31" s="83">
        <v>38751.0</v>
      </c>
      <c r="M31" s="67">
        <v>10000.0</v>
      </c>
      <c r="N31" s="68">
        <f>IF(L31=0,"",L31-M31)</f>
        <v>28751</v>
      </c>
      <c r="O31" s="69">
        <f>IFERROR((L31-M31)/L31,"")</f>
        <v>0.7419421434</v>
      </c>
      <c r="P31" s="84">
        <f t="shared" ref="P31:Q31" si="15">H31-L31</f>
        <v>-28796</v>
      </c>
      <c r="Q31" s="84">
        <f t="shared" si="15"/>
        <v>850</v>
      </c>
      <c r="R31" s="87"/>
    </row>
    <row r="32" ht="15.75" customHeight="1">
      <c r="A32" s="57">
        <f>A30+7</f>
        <v>45781</v>
      </c>
      <c r="B32" s="48">
        <v>14.0</v>
      </c>
      <c r="C32" s="49">
        <f t="shared" ref="C32:C35" si="16">IF(B32=0,"",B32/D$6)</f>
        <v>0.875</v>
      </c>
      <c r="D32" s="50">
        <v>10885.0</v>
      </c>
      <c r="E32" s="51">
        <f t="shared" ref="E32:E35" si="17">IFERROR(D32/B32,"")</f>
        <v>777.5</v>
      </c>
      <c r="F32" s="50">
        <v>8335.0</v>
      </c>
      <c r="G32" s="52">
        <f t="shared" si="3"/>
        <v>0.7657326596</v>
      </c>
      <c r="H32" s="53"/>
      <c r="I32" s="53"/>
      <c r="J32" s="54"/>
      <c r="K32" s="55"/>
      <c r="L32" s="53"/>
      <c r="M32" s="53"/>
      <c r="N32" s="55"/>
      <c r="O32" s="55"/>
      <c r="P32" s="53"/>
      <c r="Q32" s="53"/>
      <c r="R32" s="59"/>
    </row>
    <row r="33" ht="15.75" customHeight="1">
      <c r="A33" s="57">
        <f t="shared" ref="A33:A35" si="18">A32+7</f>
        <v>45788</v>
      </c>
      <c r="B33" s="48">
        <v>15.0</v>
      </c>
      <c r="C33" s="49">
        <f t="shared" si="16"/>
        <v>0.9375</v>
      </c>
      <c r="D33" s="50">
        <v>11735.0</v>
      </c>
      <c r="E33" s="51">
        <f t="shared" si="17"/>
        <v>782.3333333</v>
      </c>
      <c r="F33" s="50">
        <v>11516.0</v>
      </c>
      <c r="G33" s="52">
        <f t="shared" si="3"/>
        <v>0.9813378781</v>
      </c>
      <c r="H33" s="58"/>
      <c r="I33" s="58"/>
      <c r="J33" s="54"/>
      <c r="K33" s="55"/>
      <c r="L33" s="58"/>
      <c r="M33" s="58"/>
      <c r="N33" s="55"/>
      <c r="O33" s="55"/>
      <c r="P33" s="58"/>
      <c r="Q33" s="58"/>
      <c r="R33" s="86"/>
    </row>
    <row r="34" ht="15.75" customHeight="1">
      <c r="A34" s="57">
        <f t="shared" si="18"/>
        <v>45795</v>
      </c>
      <c r="B34" s="48">
        <v>15.0</v>
      </c>
      <c r="C34" s="49">
        <f t="shared" si="16"/>
        <v>0.9375</v>
      </c>
      <c r="D34" s="50">
        <v>11735.0</v>
      </c>
      <c r="E34" s="51">
        <f t="shared" si="17"/>
        <v>782.3333333</v>
      </c>
      <c r="F34" s="50">
        <v>11516.0</v>
      </c>
      <c r="G34" s="52">
        <f t="shared" si="3"/>
        <v>0.9813378781</v>
      </c>
      <c r="H34" s="58"/>
      <c r="I34" s="58"/>
      <c r="J34" s="54"/>
      <c r="K34" s="55"/>
      <c r="L34" s="58"/>
      <c r="M34" s="58"/>
      <c r="N34" s="55"/>
      <c r="O34" s="55"/>
      <c r="P34" s="58"/>
      <c r="Q34" s="58"/>
      <c r="R34" s="86"/>
    </row>
    <row r="35" ht="15.75" customHeight="1">
      <c r="A35" s="57">
        <f t="shared" si="18"/>
        <v>45802</v>
      </c>
      <c r="B35" s="48">
        <v>15.0</v>
      </c>
      <c r="C35" s="49">
        <f t="shared" si="16"/>
        <v>0.9375</v>
      </c>
      <c r="D35" s="50">
        <v>11735.0</v>
      </c>
      <c r="E35" s="51">
        <f t="shared" si="17"/>
        <v>782.3333333</v>
      </c>
      <c r="F35" s="50">
        <v>12041.0</v>
      </c>
      <c r="G35" s="52">
        <f t="shared" si="3"/>
        <v>1.026075841</v>
      </c>
      <c r="H35" s="60"/>
      <c r="I35" s="60"/>
      <c r="J35" s="54"/>
      <c r="K35" s="55"/>
      <c r="L35" s="58"/>
      <c r="M35" s="58"/>
      <c r="N35" s="55"/>
      <c r="O35" s="55"/>
      <c r="P35" s="58"/>
      <c r="Q35" s="58"/>
      <c r="R35" s="86"/>
    </row>
    <row r="36" ht="15.75" customHeight="1">
      <c r="A36" s="61" t="s">
        <v>51</v>
      </c>
      <c r="B36" s="62">
        <v>12.0</v>
      </c>
      <c r="C36" s="63">
        <f>IF(B36=0,"",B36/C$5)</f>
        <v>0.8571428571</v>
      </c>
      <c r="D36" s="64">
        <v>10850.0</v>
      </c>
      <c r="E36" s="70">
        <f>D36/B36</f>
        <v>904.1666667</v>
      </c>
      <c r="F36" s="64">
        <v>10850.0</v>
      </c>
      <c r="G36" s="66">
        <f t="shared" si="3"/>
        <v>1</v>
      </c>
      <c r="H36" s="67">
        <v>15061.0</v>
      </c>
      <c r="I36" s="67">
        <v>10850.0</v>
      </c>
      <c r="J36" s="68">
        <f>IF(H36=0,"",H36-I36)</f>
        <v>4211</v>
      </c>
      <c r="K36" s="69">
        <f>IFERROR((H36-I36)/H36,"")</f>
        <v>0.2795963083</v>
      </c>
      <c r="L36" s="67">
        <v>13324.0</v>
      </c>
      <c r="M36" s="67">
        <v>10000.0</v>
      </c>
      <c r="N36" s="68">
        <f>IF(L36=0,"",L36-M36)</f>
        <v>3324</v>
      </c>
      <c r="O36" s="69">
        <f>IFERROR((L36-M36)/L36,"")</f>
        <v>0.2494746322</v>
      </c>
      <c r="P36" s="70">
        <f t="shared" ref="P36:Q36" si="19">H36-L36</f>
        <v>1737</v>
      </c>
      <c r="Q36" s="70">
        <f t="shared" si="19"/>
        <v>850</v>
      </c>
      <c r="R36" s="71" t="s">
        <v>105</v>
      </c>
    </row>
    <row r="37" ht="15.75" customHeight="1">
      <c r="A37" s="57">
        <f>A35+7</f>
        <v>45809</v>
      </c>
      <c r="B37" s="48">
        <v>15.0</v>
      </c>
      <c r="C37" s="49">
        <f t="shared" ref="C37:C41" si="20">IF(B37=0,"",B37/D$6)</f>
        <v>0.9375</v>
      </c>
      <c r="D37" s="50">
        <v>11735.0</v>
      </c>
      <c r="E37" s="51">
        <f t="shared" ref="E37:E41" si="21">IFERROR(D37/B37,"")</f>
        <v>782.3333333</v>
      </c>
      <c r="F37" s="50">
        <v>6189.0</v>
      </c>
      <c r="G37" s="72">
        <f t="shared" si="3"/>
        <v>0.5273966766</v>
      </c>
      <c r="H37" s="74"/>
      <c r="I37" s="80"/>
      <c r="J37" s="75"/>
      <c r="K37" s="55"/>
      <c r="L37" s="60"/>
      <c r="M37" s="60"/>
      <c r="N37" s="55"/>
      <c r="O37" s="55"/>
      <c r="P37" s="60"/>
      <c r="Q37" s="60"/>
      <c r="R37" s="140">
        <v>5.0</v>
      </c>
    </row>
    <row r="38" ht="15.75" customHeight="1">
      <c r="A38" s="57">
        <f t="shared" ref="A38:A41" si="22">A37+7</f>
        <v>45816</v>
      </c>
      <c r="B38" s="48">
        <v>16.0</v>
      </c>
      <c r="C38" s="49">
        <f t="shared" si="20"/>
        <v>1</v>
      </c>
      <c r="D38" s="50">
        <v>13775.0</v>
      </c>
      <c r="E38" s="51">
        <f t="shared" si="21"/>
        <v>860.9375</v>
      </c>
      <c r="F38" s="50">
        <v>12025.0</v>
      </c>
      <c r="G38" s="52">
        <f t="shared" si="3"/>
        <v>0.8729582577</v>
      </c>
      <c r="H38" s="78"/>
      <c r="I38" s="78"/>
      <c r="J38" s="54"/>
      <c r="K38" s="76"/>
      <c r="L38" s="74"/>
      <c r="M38" s="74"/>
      <c r="N38" s="77"/>
      <c r="O38" s="55"/>
      <c r="P38" s="74"/>
      <c r="Q38" s="74"/>
      <c r="R38" s="86"/>
    </row>
    <row r="39" ht="15.75" customHeight="1">
      <c r="A39" s="57">
        <f t="shared" si="22"/>
        <v>45823</v>
      </c>
      <c r="B39" s="48">
        <v>16.0</v>
      </c>
      <c r="C39" s="49">
        <f t="shared" si="20"/>
        <v>1</v>
      </c>
      <c r="D39" s="50">
        <v>13775.0</v>
      </c>
      <c r="E39" s="51">
        <f t="shared" si="21"/>
        <v>860.9375</v>
      </c>
      <c r="F39" s="50">
        <v>12825.0</v>
      </c>
      <c r="G39" s="52">
        <f t="shared" si="3"/>
        <v>0.9310344828</v>
      </c>
      <c r="H39" s="58"/>
      <c r="I39" s="58"/>
      <c r="J39" s="54"/>
      <c r="K39" s="55"/>
      <c r="L39" s="78"/>
      <c r="M39" s="78"/>
      <c r="N39" s="55"/>
      <c r="O39" s="55"/>
      <c r="P39" s="78"/>
      <c r="Q39" s="78"/>
      <c r="R39" s="86"/>
    </row>
    <row r="40" ht="15.75" customHeight="1">
      <c r="A40" s="57">
        <f t="shared" si="22"/>
        <v>45830</v>
      </c>
      <c r="B40" s="48">
        <v>16.0</v>
      </c>
      <c r="C40" s="49">
        <f t="shared" si="20"/>
        <v>1</v>
      </c>
      <c r="D40" s="50">
        <v>13775.0</v>
      </c>
      <c r="E40" s="51">
        <f t="shared" si="21"/>
        <v>860.9375</v>
      </c>
      <c r="F40" s="50">
        <v>12825.0</v>
      </c>
      <c r="G40" s="52">
        <f t="shared" si="3"/>
        <v>0.9310344828</v>
      </c>
      <c r="H40" s="58"/>
      <c r="I40" s="58"/>
      <c r="J40" s="54"/>
      <c r="K40" s="55"/>
      <c r="L40" s="58"/>
      <c r="M40" s="58"/>
      <c r="N40" s="55"/>
      <c r="O40" s="55"/>
      <c r="P40" s="58"/>
      <c r="Q40" s="58"/>
      <c r="R40" s="86"/>
    </row>
    <row r="41" ht="15.75" customHeight="1">
      <c r="A41" s="57">
        <f t="shared" si="22"/>
        <v>45837</v>
      </c>
      <c r="B41" s="48">
        <v>16.0</v>
      </c>
      <c r="C41" s="49">
        <f t="shared" si="20"/>
        <v>1</v>
      </c>
      <c r="D41" s="50">
        <v>13775.0</v>
      </c>
      <c r="E41" s="51">
        <f t="shared" si="21"/>
        <v>860.9375</v>
      </c>
      <c r="F41" s="50">
        <v>12825.0</v>
      </c>
      <c r="G41" s="52">
        <f t="shared" si="3"/>
        <v>0.9310344828</v>
      </c>
      <c r="H41" s="82"/>
      <c r="I41" s="82"/>
      <c r="J41" s="54"/>
      <c r="K41" s="55"/>
      <c r="L41" s="82"/>
      <c r="M41" s="82"/>
      <c r="N41" s="55"/>
      <c r="O41" s="55"/>
      <c r="P41" s="82"/>
      <c r="Q41" s="82"/>
      <c r="R41" s="86"/>
    </row>
    <row r="42" ht="15.75" customHeight="1">
      <c r="A42" s="61" t="s">
        <v>51</v>
      </c>
      <c r="B42" s="62">
        <v>13.0</v>
      </c>
      <c r="C42" s="63">
        <f>IF(B42=0,"",B42/C$5)</f>
        <v>0.9285714286</v>
      </c>
      <c r="D42" s="64">
        <v>13850.0</v>
      </c>
      <c r="E42" s="70">
        <f>D42/B42</f>
        <v>1065.384615</v>
      </c>
      <c r="F42" s="64">
        <v>13850.0</v>
      </c>
      <c r="G42" s="66">
        <f t="shared" si="3"/>
        <v>1</v>
      </c>
      <c r="H42" s="83">
        <v>12500.0</v>
      </c>
      <c r="I42" s="67">
        <v>13850.0</v>
      </c>
      <c r="J42" s="68">
        <f>IF(H42=0,"",H42-I42)</f>
        <v>-1350</v>
      </c>
      <c r="K42" s="69">
        <f>IFERROR((H42-I42)/H42,"")</f>
        <v>-0.108</v>
      </c>
      <c r="L42" s="83">
        <v>21151.0</v>
      </c>
      <c r="M42" s="67">
        <v>12500.0</v>
      </c>
      <c r="N42" s="68">
        <f>IF(L42=0,"",L42-M42)</f>
        <v>8651</v>
      </c>
      <c r="O42" s="69">
        <f>IFERROR((L42-M42)/L42,"")</f>
        <v>0.4090113943</v>
      </c>
      <c r="P42" s="84">
        <f t="shared" ref="P42:Q42" si="23">H42-L42</f>
        <v>-8651</v>
      </c>
      <c r="Q42" s="84">
        <f t="shared" si="23"/>
        <v>1350</v>
      </c>
      <c r="R42" s="71" t="s">
        <v>106</v>
      </c>
    </row>
    <row r="43" ht="15.75" customHeight="1">
      <c r="A43" s="57">
        <f>A41+7</f>
        <v>45844</v>
      </c>
      <c r="B43" s="48">
        <v>15.0</v>
      </c>
      <c r="C43" s="49">
        <f t="shared" ref="C43:C46" si="24">IF(B43=0,"",B43/D$6)</f>
        <v>0.9375</v>
      </c>
      <c r="D43" s="50">
        <v>13050.0</v>
      </c>
      <c r="E43" s="51">
        <f t="shared" ref="E43:E46" si="25">IFERROR(D43/B43,"")</f>
        <v>870</v>
      </c>
      <c r="F43" s="50">
        <v>10550.0</v>
      </c>
      <c r="G43" s="52">
        <f t="shared" si="3"/>
        <v>0.8084291188</v>
      </c>
      <c r="H43" s="53"/>
      <c r="I43" s="53"/>
      <c r="J43" s="54"/>
      <c r="K43" s="55"/>
      <c r="L43" s="53"/>
      <c r="M43" s="53"/>
      <c r="N43" s="55"/>
      <c r="O43" s="55"/>
      <c r="P43" s="53"/>
      <c r="Q43" s="53"/>
      <c r="R43" s="86"/>
    </row>
    <row r="44" ht="15.75" customHeight="1">
      <c r="A44" s="57">
        <f t="shared" ref="A44:A46" si="26">A43+7</f>
        <v>45851</v>
      </c>
      <c r="B44" s="48">
        <v>15.0</v>
      </c>
      <c r="C44" s="49">
        <f t="shared" si="24"/>
        <v>0.9375</v>
      </c>
      <c r="D44" s="50">
        <v>13050.0</v>
      </c>
      <c r="E44" s="51">
        <f t="shared" si="25"/>
        <v>870</v>
      </c>
      <c r="F44" s="50">
        <v>11550.0</v>
      </c>
      <c r="G44" s="52">
        <f t="shared" si="3"/>
        <v>0.8850574713</v>
      </c>
      <c r="H44" s="58"/>
      <c r="I44" s="58"/>
      <c r="J44" s="54"/>
      <c r="K44" s="55"/>
      <c r="L44" s="58"/>
      <c r="M44" s="58"/>
      <c r="N44" s="55"/>
      <c r="O44" s="55"/>
      <c r="P44" s="58"/>
      <c r="Q44" s="58"/>
      <c r="R44" s="86"/>
    </row>
    <row r="45" ht="15.75" customHeight="1">
      <c r="A45" s="57">
        <f t="shared" si="26"/>
        <v>45858</v>
      </c>
      <c r="B45" s="48">
        <v>15.0</v>
      </c>
      <c r="C45" s="49">
        <f t="shared" si="24"/>
        <v>0.9375</v>
      </c>
      <c r="D45" s="50">
        <v>13050.0</v>
      </c>
      <c r="E45" s="51">
        <f t="shared" si="25"/>
        <v>870</v>
      </c>
      <c r="F45" s="50">
        <v>12350.0</v>
      </c>
      <c r="G45" s="52">
        <f t="shared" si="3"/>
        <v>0.9463601533</v>
      </c>
      <c r="H45" s="58"/>
      <c r="I45" s="58"/>
      <c r="J45" s="54"/>
      <c r="K45" s="55"/>
      <c r="L45" s="58"/>
      <c r="M45" s="58"/>
      <c r="N45" s="55"/>
      <c r="O45" s="55"/>
      <c r="P45" s="58"/>
      <c r="Q45" s="58"/>
      <c r="R45" s="86"/>
    </row>
    <row r="46" ht="15.75" customHeight="1">
      <c r="A46" s="57">
        <f t="shared" si="26"/>
        <v>45865</v>
      </c>
      <c r="B46" s="48">
        <v>15.0</v>
      </c>
      <c r="C46" s="49">
        <f t="shared" si="24"/>
        <v>0.9375</v>
      </c>
      <c r="D46" s="50">
        <v>13050.0</v>
      </c>
      <c r="E46" s="51">
        <f t="shared" si="25"/>
        <v>870</v>
      </c>
      <c r="F46" s="50">
        <v>12350.0</v>
      </c>
      <c r="G46" s="52">
        <f t="shared" si="3"/>
        <v>0.9463601533</v>
      </c>
      <c r="H46" s="82"/>
      <c r="I46" s="82"/>
      <c r="J46" s="54"/>
      <c r="K46" s="55"/>
      <c r="L46" s="82"/>
      <c r="M46" s="82"/>
      <c r="N46" s="55"/>
      <c r="O46" s="55"/>
      <c r="P46" s="82"/>
      <c r="Q46" s="82"/>
      <c r="R46" s="86"/>
    </row>
    <row r="47" ht="15.75" customHeight="1">
      <c r="A47" s="61" t="s">
        <v>51</v>
      </c>
      <c r="B47" s="62">
        <v>13.0</v>
      </c>
      <c r="C47" s="63">
        <f>IF(B47=0,"",B47/C$5)</f>
        <v>0.9285714286</v>
      </c>
      <c r="D47" s="64">
        <v>13850.0</v>
      </c>
      <c r="E47" s="70">
        <f>D47/B47</f>
        <v>1065.384615</v>
      </c>
      <c r="F47" s="64">
        <v>13850.0</v>
      </c>
      <c r="G47" s="66">
        <f t="shared" si="3"/>
        <v>1</v>
      </c>
      <c r="H47" s="83">
        <v>12742.0</v>
      </c>
      <c r="I47" s="67">
        <v>13850.0</v>
      </c>
      <c r="J47" s="68">
        <f>IF(H47=0,"",H47-I47)</f>
        <v>-1108</v>
      </c>
      <c r="K47" s="69">
        <f>IFERROR((H47-I47)/H47,"")</f>
        <v>-0.08695652174</v>
      </c>
      <c r="L47" s="83">
        <v>16720.0</v>
      </c>
      <c r="M47" s="83">
        <v>12500.0</v>
      </c>
      <c r="N47" s="68">
        <f>IF(L47=0,"",L47-M47)</f>
        <v>4220</v>
      </c>
      <c r="O47" s="69">
        <f>IFERROR((L47-M47)/L47,"")</f>
        <v>0.2523923445</v>
      </c>
      <c r="P47" s="84">
        <f t="shared" ref="P47:Q47" si="27">H47-L47</f>
        <v>-3978</v>
      </c>
      <c r="Q47" s="84">
        <f t="shared" si="27"/>
        <v>1350</v>
      </c>
      <c r="R47" s="71" t="s">
        <v>107</v>
      </c>
    </row>
    <row r="48" ht="15.75" customHeight="1">
      <c r="A48" s="57">
        <f>A46+7</f>
        <v>45872</v>
      </c>
      <c r="B48" s="48">
        <v>17.0</v>
      </c>
      <c r="C48" s="49">
        <f t="shared" ref="C48:C52" si="28">IF(B48=0,"",B48/E$6)</f>
        <v>0.9444444444</v>
      </c>
      <c r="D48" s="50">
        <v>14595.0</v>
      </c>
      <c r="E48" s="51">
        <f t="shared" ref="E48:E52" si="29">IFERROR(D48/B48,"")</f>
        <v>858.5294118</v>
      </c>
      <c r="F48" s="50">
        <v>11788.0</v>
      </c>
      <c r="G48" s="52">
        <f t="shared" si="3"/>
        <v>0.8076738609</v>
      </c>
      <c r="H48" s="53"/>
      <c r="I48" s="53"/>
      <c r="J48" s="54"/>
      <c r="K48" s="55"/>
      <c r="L48" s="53"/>
      <c r="M48" s="53"/>
      <c r="N48" s="55"/>
      <c r="O48" s="55"/>
      <c r="P48" s="53"/>
      <c r="Q48" s="53"/>
      <c r="R48" s="86"/>
    </row>
    <row r="49" ht="15.75" customHeight="1">
      <c r="A49" s="57">
        <f t="shared" ref="A49:A52" si="30">A48+7</f>
        <v>45879</v>
      </c>
      <c r="B49" s="48">
        <v>16.0</v>
      </c>
      <c r="C49" s="49">
        <f t="shared" si="28"/>
        <v>0.8888888889</v>
      </c>
      <c r="D49" s="50">
        <v>13895.0</v>
      </c>
      <c r="E49" s="51">
        <f t="shared" si="29"/>
        <v>868.4375</v>
      </c>
      <c r="F49" s="50">
        <v>12638.0</v>
      </c>
      <c r="G49" s="52">
        <f t="shared" si="3"/>
        <v>0.9095358042</v>
      </c>
      <c r="H49" s="58"/>
      <c r="I49" s="58"/>
      <c r="J49" s="54"/>
      <c r="K49" s="55"/>
      <c r="L49" s="58"/>
      <c r="M49" s="58"/>
      <c r="N49" s="55"/>
      <c r="O49" s="55"/>
      <c r="P49" s="58"/>
      <c r="Q49" s="58"/>
      <c r="R49" s="86"/>
    </row>
    <row r="50" ht="15.75" customHeight="1">
      <c r="A50" s="57">
        <f t="shared" si="30"/>
        <v>45886</v>
      </c>
      <c r="B50" s="48">
        <v>15.0</v>
      </c>
      <c r="C50" s="49">
        <f t="shared" si="28"/>
        <v>0.8333333333</v>
      </c>
      <c r="D50" s="50">
        <v>12845.0</v>
      </c>
      <c r="E50" s="51">
        <f t="shared" si="29"/>
        <v>856.3333333</v>
      </c>
      <c r="F50" s="50">
        <v>12638.0</v>
      </c>
      <c r="G50" s="52">
        <f t="shared" si="3"/>
        <v>0.9838847801</v>
      </c>
      <c r="H50" s="58"/>
      <c r="I50" s="58"/>
      <c r="J50" s="54"/>
      <c r="K50" s="55"/>
      <c r="L50" s="58"/>
      <c r="M50" s="58"/>
      <c r="N50" s="55"/>
      <c r="O50" s="55"/>
      <c r="P50" s="58"/>
      <c r="Q50" s="58"/>
      <c r="R50" s="86"/>
    </row>
    <row r="51" ht="15.75" customHeight="1">
      <c r="A51" s="57">
        <f t="shared" si="30"/>
        <v>45893</v>
      </c>
      <c r="B51" s="48">
        <v>15.0</v>
      </c>
      <c r="C51" s="49">
        <f t="shared" si="28"/>
        <v>0.8333333333</v>
      </c>
      <c r="D51" s="50">
        <v>12845.0</v>
      </c>
      <c r="E51" s="51">
        <f t="shared" si="29"/>
        <v>856.3333333</v>
      </c>
      <c r="F51" s="50">
        <v>14338.0</v>
      </c>
      <c r="G51" s="52">
        <f t="shared" si="3"/>
        <v>1.116231997</v>
      </c>
      <c r="H51" s="60"/>
      <c r="I51" s="60"/>
      <c r="J51" s="54"/>
      <c r="K51" s="55"/>
      <c r="L51" s="58"/>
      <c r="M51" s="60"/>
      <c r="N51" s="55"/>
      <c r="O51" s="55"/>
      <c r="P51" s="58"/>
      <c r="Q51" s="58"/>
      <c r="R51" s="86"/>
    </row>
    <row r="52" ht="15.75" customHeight="1">
      <c r="A52" s="57">
        <f t="shared" si="30"/>
        <v>45900</v>
      </c>
      <c r="B52" s="48">
        <v>15.0</v>
      </c>
      <c r="C52" s="49">
        <f t="shared" si="28"/>
        <v>0.8333333333</v>
      </c>
      <c r="D52" s="50">
        <v>12845.0</v>
      </c>
      <c r="E52" s="51">
        <f t="shared" si="29"/>
        <v>856.3333333</v>
      </c>
      <c r="F52" s="50">
        <v>14338.0</v>
      </c>
      <c r="G52" s="72">
        <f t="shared" si="3"/>
        <v>1.116231997</v>
      </c>
      <c r="H52" s="74"/>
      <c r="I52" s="80"/>
      <c r="J52" s="75"/>
      <c r="K52" s="55"/>
      <c r="L52" s="60"/>
      <c r="M52" s="74"/>
      <c r="N52" s="55"/>
      <c r="O52" s="55"/>
      <c r="P52" s="60"/>
      <c r="Q52" s="60"/>
      <c r="R52" s="86"/>
    </row>
    <row r="53" ht="15.75" customHeight="1">
      <c r="A53" s="61" t="s">
        <v>51</v>
      </c>
      <c r="B53" s="62">
        <v>13.0</v>
      </c>
      <c r="C53" s="63">
        <f>IF(B53=0,"",B53/C$5)</f>
        <v>0.9285714286</v>
      </c>
      <c r="D53" s="64">
        <v>13850.0</v>
      </c>
      <c r="E53" s="70">
        <f>D53/B53</f>
        <v>1065.384615</v>
      </c>
      <c r="F53" s="64">
        <v>13850.0</v>
      </c>
      <c r="G53" s="66">
        <f t="shared" si="3"/>
        <v>1</v>
      </c>
      <c r="H53" s="67">
        <v>16902.0</v>
      </c>
      <c r="I53" s="67">
        <v>13850.0</v>
      </c>
      <c r="J53" s="68">
        <f>IF(H53=0,"",H53-I53)</f>
        <v>3052</v>
      </c>
      <c r="K53" s="69">
        <f>IFERROR((H53-I53)/H53,"")</f>
        <v>0.1805703467</v>
      </c>
      <c r="L53" s="67">
        <v>13380.0</v>
      </c>
      <c r="M53" s="67">
        <v>12500.0</v>
      </c>
      <c r="N53" s="68">
        <f>IF(L53=0,"",L53-M53)</f>
        <v>880</v>
      </c>
      <c r="O53" s="69">
        <f>IFERROR((L53-M53)/L53,"")</f>
        <v>0.06576980568</v>
      </c>
      <c r="P53" s="70">
        <f t="shared" ref="P53:Q53" si="31">H53-L53</f>
        <v>3522</v>
      </c>
      <c r="Q53" s="70">
        <f t="shared" si="31"/>
        <v>1350</v>
      </c>
      <c r="R53" s="71" t="s">
        <v>108</v>
      </c>
    </row>
    <row r="54" ht="15.75" customHeight="1">
      <c r="A54" s="57">
        <f>A52+7</f>
        <v>45907</v>
      </c>
      <c r="B54" s="48">
        <v>15.0</v>
      </c>
      <c r="C54" s="49">
        <f t="shared" ref="C54:C57" si="32">IF(B54=0,"",B54/E$6)</f>
        <v>0.8333333333</v>
      </c>
      <c r="D54" s="50">
        <v>12845.0</v>
      </c>
      <c r="E54" s="51">
        <f t="shared" ref="E54:E57" si="33">IFERROR(D54/B54,"")</f>
        <v>856.3333333</v>
      </c>
      <c r="F54" s="50">
        <v>12047.0</v>
      </c>
      <c r="G54" s="52">
        <f t="shared" si="3"/>
        <v>0.9378746594</v>
      </c>
      <c r="H54" s="78"/>
      <c r="I54" s="78"/>
      <c r="J54" s="54"/>
      <c r="K54" s="76"/>
      <c r="L54" s="74"/>
      <c r="M54" s="74"/>
      <c r="N54" s="77"/>
      <c r="O54" s="55"/>
      <c r="P54" s="74"/>
      <c r="Q54" s="74"/>
      <c r="R54" s="86"/>
    </row>
    <row r="55" ht="15.75" customHeight="1">
      <c r="A55" s="57">
        <f t="shared" ref="A55:A57" si="34">A54+7</f>
        <v>45914</v>
      </c>
      <c r="B55" s="48">
        <v>16.0</v>
      </c>
      <c r="C55" s="49">
        <f t="shared" si="32"/>
        <v>0.8888888889</v>
      </c>
      <c r="D55" s="50">
        <v>13995.0</v>
      </c>
      <c r="E55" s="51">
        <f t="shared" si="33"/>
        <v>874.6875</v>
      </c>
      <c r="F55" s="50">
        <v>12937.0</v>
      </c>
      <c r="G55" s="52">
        <f t="shared" si="3"/>
        <v>0.924401572</v>
      </c>
      <c r="H55" s="58"/>
      <c r="I55" s="58"/>
      <c r="J55" s="54"/>
      <c r="K55" s="55"/>
      <c r="L55" s="78"/>
      <c r="M55" s="78"/>
      <c r="N55" s="55"/>
      <c r="O55" s="55"/>
      <c r="P55" s="78"/>
      <c r="Q55" s="78"/>
      <c r="R55" s="86"/>
    </row>
    <row r="56" ht="15.75" customHeight="1">
      <c r="A56" s="57">
        <f t="shared" si="34"/>
        <v>45921</v>
      </c>
      <c r="B56" s="48">
        <v>16.0</v>
      </c>
      <c r="C56" s="49">
        <f t="shared" si="32"/>
        <v>0.8888888889</v>
      </c>
      <c r="D56" s="50">
        <v>13995.0</v>
      </c>
      <c r="E56" s="51">
        <f t="shared" si="33"/>
        <v>874.6875</v>
      </c>
      <c r="F56" s="50">
        <v>13377.0</v>
      </c>
      <c r="G56" s="52">
        <f t="shared" si="3"/>
        <v>0.9558413719</v>
      </c>
      <c r="H56" s="58"/>
      <c r="I56" s="58"/>
      <c r="J56" s="54"/>
      <c r="K56" s="55"/>
      <c r="L56" s="58"/>
      <c r="M56" s="58"/>
      <c r="N56" s="55"/>
      <c r="O56" s="55"/>
      <c r="P56" s="58"/>
      <c r="Q56" s="58"/>
      <c r="R56" s="86"/>
    </row>
    <row r="57" ht="15.75" customHeight="1">
      <c r="A57" s="57">
        <f t="shared" si="34"/>
        <v>45928</v>
      </c>
      <c r="B57" s="48">
        <v>17.0</v>
      </c>
      <c r="C57" s="49">
        <f t="shared" si="32"/>
        <v>0.9444444444</v>
      </c>
      <c r="D57" s="50">
        <v>14745.0</v>
      </c>
      <c r="E57" s="51">
        <f t="shared" si="33"/>
        <v>867.3529412</v>
      </c>
      <c r="F57" s="50">
        <v>14127.0</v>
      </c>
      <c r="G57" s="52">
        <f t="shared" si="3"/>
        <v>0.9580874873</v>
      </c>
      <c r="H57" s="82"/>
      <c r="I57" s="82"/>
      <c r="J57" s="54"/>
      <c r="K57" s="55"/>
      <c r="L57" s="82"/>
      <c r="M57" s="82"/>
      <c r="N57" s="55"/>
      <c r="O57" s="55"/>
      <c r="P57" s="82"/>
      <c r="Q57" s="82"/>
      <c r="R57" s="86"/>
    </row>
    <row r="58" ht="15.75" customHeight="1">
      <c r="A58" s="61" t="s">
        <v>51</v>
      </c>
      <c r="B58" s="62">
        <v>13.0</v>
      </c>
      <c r="C58" s="63">
        <f>IF(B58=0,"",B58/C$5)</f>
        <v>0.9285714286</v>
      </c>
      <c r="D58" s="64">
        <v>13850.0</v>
      </c>
      <c r="E58" s="70">
        <f>D58/B58</f>
        <v>1065.384615</v>
      </c>
      <c r="F58" s="64">
        <v>13850.0</v>
      </c>
      <c r="G58" s="66">
        <f t="shared" si="3"/>
        <v>1</v>
      </c>
      <c r="H58" s="83">
        <v>13827.0</v>
      </c>
      <c r="I58" s="67">
        <v>13850.0</v>
      </c>
      <c r="J58" s="68">
        <f>IF(H58=0,"",H58-I58)</f>
        <v>-23</v>
      </c>
      <c r="K58" s="69">
        <f>IFERROR((H58-I58)/H58,"")</f>
        <v>-0.001663412165</v>
      </c>
      <c r="L58" s="83">
        <v>18126.0</v>
      </c>
      <c r="M58" s="83">
        <v>12500.0</v>
      </c>
      <c r="N58" s="68">
        <f>IF(L58=0,"",L58-M58)</f>
        <v>5626</v>
      </c>
      <c r="O58" s="69">
        <f>IFERROR((L58-M58)/L58,"")</f>
        <v>0.3103828754</v>
      </c>
      <c r="P58" s="84">
        <f t="shared" ref="P58:Q58" si="35">H58-L58</f>
        <v>-4299</v>
      </c>
      <c r="Q58" s="84">
        <f t="shared" si="35"/>
        <v>1350</v>
      </c>
      <c r="R58" s="71" t="s">
        <v>109</v>
      </c>
    </row>
    <row r="59" ht="15.75" customHeight="1">
      <c r="A59" s="57">
        <f>A57+7</f>
        <v>45935</v>
      </c>
      <c r="B59" s="48">
        <v>17.0</v>
      </c>
      <c r="C59" s="88">
        <f t="shared" ref="C59:C62" si="36">IF(B59=0,"",B59/E$6)</f>
        <v>0.9444444444</v>
      </c>
      <c r="D59" s="50">
        <v>15145.0</v>
      </c>
      <c r="E59" s="51">
        <f t="shared" ref="E59:E62" si="37">IFERROR(D59/B59,"")</f>
        <v>890.8823529</v>
      </c>
      <c r="F59" s="50">
        <v>12495.0</v>
      </c>
      <c r="G59" s="52">
        <f t="shared" si="3"/>
        <v>0.8250247606</v>
      </c>
      <c r="H59" s="53"/>
      <c r="I59" s="53"/>
      <c r="J59" s="54"/>
      <c r="K59" s="55"/>
      <c r="L59" s="53"/>
      <c r="M59" s="53"/>
      <c r="N59" s="55"/>
      <c r="O59" s="55"/>
      <c r="P59" s="53"/>
      <c r="Q59" s="53"/>
      <c r="R59" s="86"/>
    </row>
    <row r="60" ht="15.75" customHeight="1">
      <c r="A60" s="57">
        <f t="shared" ref="A60:A62" si="38">A59+7</f>
        <v>45942</v>
      </c>
      <c r="B60" s="48">
        <v>16.0</v>
      </c>
      <c r="C60" s="88">
        <f t="shared" si="36"/>
        <v>0.8888888889</v>
      </c>
      <c r="D60" s="50">
        <v>14395.0</v>
      </c>
      <c r="E60" s="51">
        <f t="shared" si="37"/>
        <v>899.6875</v>
      </c>
      <c r="F60" s="50">
        <v>14052.0</v>
      </c>
      <c r="G60" s="52">
        <f t="shared" si="3"/>
        <v>0.976172282</v>
      </c>
      <c r="H60" s="58"/>
      <c r="I60" s="58"/>
      <c r="J60" s="54"/>
      <c r="K60" s="55"/>
      <c r="L60" s="58"/>
      <c r="M60" s="58"/>
      <c r="N60" s="55"/>
      <c r="O60" s="55"/>
      <c r="P60" s="58"/>
      <c r="Q60" s="58"/>
      <c r="R60" s="86"/>
    </row>
    <row r="61" ht="15.75" customHeight="1">
      <c r="A61" s="57">
        <f t="shared" si="38"/>
        <v>45949</v>
      </c>
      <c r="B61" s="48">
        <v>16.0</v>
      </c>
      <c r="C61" s="88">
        <f t="shared" si="36"/>
        <v>0.8888888889</v>
      </c>
      <c r="D61" s="50">
        <v>14395.0</v>
      </c>
      <c r="E61" s="51">
        <f t="shared" si="37"/>
        <v>899.6875</v>
      </c>
      <c r="F61" s="50">
        <v>14598.0</v>
      </c>
      <c r="G61" s="52">
        <f t="shared" si="3"/>
        <v>1.014102119</v>
      </c>
      <c r="H61" s="58"/>
      <c r="I61" s="58"/>
      <c r="J61" s="54"/>
      <c r="K61" s="55"/>
      <c r="L61" s="58"/>
      <c r="M61" s="58"/>
      <c r="N61" s="55"/>
      <c r="O61" s="55"/>
      <c r="P61" s="58"/>
      <c r="Q61" s="58"/>
      <c r="R61" s="86"/>
    </row>
    <row r="62" ht="15.75" customHeight="1">
      <c r="A62" s="57">
        <f t="shared" si="38"/>
        <v>45956</v>
      </c>
      <c r="B62" s="48">
        <v>17.0</v>
      </c>
      <c r="C62" s="88">
        <f t="shared" si="36"/>
        <v>0.9444444444</v>
      </c>
      <c r="D62" s="50">
        <v>15805.0</v>
      </c>
      <c r="E62" s="51">
        <f t="shared" si="37"/>
        <v>929.7058824</v>
      </c>
      <c r="F62" s="50">
        <v>14958.0</v>
      </c>
      <c r="G62" s="52">
        <f t="shared" si="3"/>
        <v>0.9464093641</v>
      </c>
      <c r="H62" s="60"/>
      <c r="I62" s="60"/>
      <c r="J62" s="54"/>
      <c r="K62" s="55"/>
      <c r="L62" s="58"/>
      <c r="M62" s="60"/>
      <c r="N62" s="55"/>
      <c r="O62" s="55"/>
      <c r="P62" s="58"/>
      <c r="Q62" s="58"/>
      <c r="R62" s="86"/>
    </row>
    <row r="63" ht="15.75" customHeight="1">
      <c r="A63" s="61" t="s">
        <v>51</v>
      </c>
      <c r="B63" s="62">
        <v>13.0</v>
      </c>
      <c r="C63" s="141">
        <f>IF(B63=0,"",B63/C$5)</f>
        <v>0.9285714286</v>
      </c>
      <c r="D63" s="64">
        <v>13850.0</v>
      </c>
      <c r="E63" s="70">
        <f>D63/B63</f>
        <v>1065.384615</v>
      </c>
      <c r="F63" s="64">
        <v>13850.0</v>
      </c>
      <c r="G63" s="66">
        <f t="shared" si="3"/>
        <v>1</v>
      </c>
      <c r="H63" s="67">
        <v>17039.0</v>
      </c>
      <c r="I63" s="67">
        <v>13850.0</v>
      </c>
      <c r="J63" s="68">
        <f>IF(H63=0,"",H63-I63)</f>
        <v>3189</v>
      </c>
      <c r="K63" s="69">
        <f>IFERROR((H63-I63)/H63,"")</f>
        <v>0.1871588708</v>
      </c>
      <c r="L63" s="67">
        <v>13038.0</v>
      </c>
      <c r="M63" s="67">
        <v>12500.0</v>
      </c>
      <c r="N63" s="68">
        <f>IF(L63=0,"",L63-M63)</f>
        <v>538</v>
      </c>
      <c r="O63" s="69">
        <f>IFERROR((L63-M63)/L63,"")</f>
        <v>0.04126399755</v>
      </c>
      <c r="P63" s="70">
        <f t="shared" ref="P63:Q63" si="39">H63-L63</f>
        <v>4001</v>
      </c>
      <c r="Q63" s="70">
        <f t="shared" si="39"/>
        <v>1350</v>
      </c>
      <c r="R63" s="71" t="s">
        <v>110</v>
      </c>
    </row>
    <row r="64" ht="15.75" customHeight="1">
      <c r="A64" s="57">
        <f>A62+7</f>
        <v>45963</v>
      </c>
      <c r="B64" s="48">
        <v>18.0</v>
      </c>
      <c r="C64" s="88">
        <f t="shared" ref="C64:C68" si="40">IF(B64=0,"",B64/E$6)</f>
        <v>1</v>
      </c>
      <c r="D64" s="50">
        <v>16695.0</v>
      </c>
      <c r="E64" s="51">
        <f t="shared" ref="E64:E68" si="41">IFERROR(D64/B64,"")</f>
        <v>927.5</v>
      </c>
      <c r="F64" s="50">
        <v>10835.0</v>
      </c>
      <c r="G64" s="79">
        <f t="shared" si="3"/>
        <v>0.6489967056</v>
      </c>
      <c r="H64" s="81"/>
      <c r="I64" s="74"/>
      <c r="J64" s="75"/>
      <c r="K64" s="55"/>
      <c r="L64" s="60"/>
      <c r="M64" s="74"/>
      <c r="N64" s="55"/>
      <c r="O64" s="55"/>
      <c r="P64" s="60"/>
      <c r="Q64" s="60"/>
      <c r="R64" s="86"/>
    </row>
    <row r="65" ht="15.75" customHeight="1">
      <c r="A65" s="57">
        <f t="shared" ref="A65:A68" si="42">A64+7</f>
        <v>45970</v>
      </c>
      <c r="B65" s="48">
        <v>18.0</v>
      </c>
      <c r="C65" s="88">
        <f t="shared" si="40"/>
        <v>1</v>
      </c>
      <c r="D65" s="50">
        <v>16695.0</v>
      </c>
      <c r="E65" s="51">
        <f t="shared" si="41"/>
        <v>927.5</v>
      </c>
      <c r="F65" s="50">
        <v>16292.0</v>
      </c>
      <c r="G65" s="52">
        <f t="shared" si="3"/>
        <v>0.9758610362</v>
      </c>
      <c r="H65" s="78"/>
      <c r="I65" s="78"/>
      <c r="J65" s="54"/>
      <c r="K65" s="55"/>
      <c r="L65" s="80"/>
      <c r="M65" s="81"/>
      <c r="N65" s="55"/>
      <c r="O65" s="55"/>
      <c r="P65" s="80"/>
      <c r="Q65" s="81"/>
      <c r="R65" s="86"/>
    </row>
    <row r="66" ht="15.75" customHeight="1">
      <c r="A66" s="57">
        <f t="shared" si="42"/>
        <v>45977</v>
      </c>
      <c r="B66" s="48">
        <v>18.0</v>
      </c>
      <c r="C66" s="88">
        <f t="shared" si="40"/>
        <v>1</v>
      </c>
      <c r="D66" s="50">
        <v>16695.0</v>
      </c>
      <c r="E66" s="51">
        <f t="shared" si="41"/>
        <v>927.5</v>
      </c>
      <c r="F66" s="50">
        <v>17607.0</v>
      </c>
      <c r="G66" s="52">
        <f t="shared" si="3"/>
        <v>1.054627134</v>
      </c>
      <c r="H66" s="58"/>
      <c r="I66" s="58"/>
      <c r="J66" s="54"/>
      <c r="K66" s="55"/>
      <c r="L66" s="78"/>
      <c r="M66" s="78"/>
      <c r="N66" s="55"/>
      <c r="O66" s="55"/>
      <c r="P66" s="78"/>
      <c r="Q66" s="78"/>
      <c r="R66" s="86"/>
    </row>
    <row r="67" ht="15.75" customHeight="1">
      <c r="A67" s="57">
        <f t="shared" si="42"/>
        <v>45984</v>
      </c>
      <c r="B67" s="48">
        <v>18.0</v>
      </c>
      <c r="C67" s="88">
        <f t="shared" si="40"/>
        <v>1</v>
      </c>
      <c r="D67" s="50">
        <v>16695.0</v>
      </c>
      <c r="E67" s="51">
        <f t="shared" si="41"/>
        <v>927.5</v>
      </c>
      <c r="F67" s="50">
        <v>17067.0</v>
      </c>
      <c r="G67" s="52">
        <f t="shared" si="3"/>
        <v>1.02228212</v>
      </c>
      <c r="H67" s="60"/>
      <c r="I67" s="60"/>
      <c r="J67" s="54"/>
      <c r="K67" s="55"/>
      <c r="L67" s="58"/>
      <c r="M67" s="60"/>
      <c r="N67" s="55"/>
      <c r="O67" s="55"/>
      <c r="P67" s="58"/>
      <c r="Q67" s="58"/>
      <c r="R67" s="86"/>
    </row>
    <row r="68" ht="15.75" customHeight="1">
      <c r="A68" s="57">
        <f t="shared" si="42"/>
        <v>45991</v>
      </c>
      <c r="B68" s="48">
        <v>18.0</v>
      </c>
      <c r="C68" s="88">
        <f t="shared" si="40"/>
        <v>1</v>
      </c>
      <c r="D68" s="50">
        <v>16695.0</v>
      </c>
      <c r="E68" s="51">
        <f t="shared" si="41"/>
        <v>927.5</v>
      </c>
      <c r="F68" s="50">
        <v>17067.0</v>
      </c>
      <c r="G68" s="79">
        <f t="shared" si="3"/>
        <v>1.02228212</v>
      </c>
      <c r="H68" s="81"/>
      <c r="I68" s="74"/>
      <c r="J68" s="75"/>
      <c r="K68" s="55"/>
      <c r="L68" s="60"/>
      <c r="M68" s="74"/>
      <c r="N68" s="55"/>
      <c r="O68" s="55"/>
      <c r="P68" s="60"/>
      <c r="Q68" s="60"/>
      <c r="R68" s="86"/>
    </row>
    <row r="69" ht="15.75" customHeight="1">
      <c r="A69" s="61" t="s">
        <v>51</v>
      </c>
      <c r="B69" s="62">
        <v>13.0</v>
      </c>
      <c r="C69" s="88">
        <f>IF(B69=0,"",B69/C$5)</f>
        <v>0.9285714286</v>
      </c>
      <c r="D69" s="64">
        <v>13850.0</v>
      </c>
      <c r="E69" s="70">
        <f>D69/B69</f>
        <v>1065.384615</v>
      </c>
      <c r="F69" s="64">
        <v>13850.0</v>
      </c>
      <c r="G69" s="66">
        <f t="shared" si="3"/>
        <v>1</v>
      </c>
      <c r="H69" s="70"/>
      <c r="I69" s="67">
        <v>13850.0</v>
      </c>
      <c r="J69" s="68" t="str">
        <f>IF(H69=0,"",H69-I69)</f>
        <v/>
      </c>
      <c r="K69" s="69" t="str">
        <f>IFERROR((H69-I69)/H69,"")</f>
        <v/>
      </c>
      <c r="L69" s="70"/>
      <c r="M69" s="67">
        <v>12500.0</v>
      </c>
      <c r="N69" s="68" t="str">
        <f>IF(L69=0,"",L69-M69)</f>
        <v/>
      </c>
      <c r="O69" s="69" t="str">
        <f>IFERROR((L69-M69)/L69,"")</f>
        <v/>
      </c>
      <c r="P69" s="70">
        <f t="shared" ref="P69:Q69" si="43">H69-L69</f>
        <v>0</v>
      </c>
      <c r="Q69" s="70">
        <f t="shared" si="43"/>
        <v>1350</v>
      </c>
      <c r="R69" s="87"/>
    </row>
    <row r="70" ht="15.75" customHeight="1">
      <c r="A70" s="57">
        <f>A68+7</f>
        <v>45998</v>
      </c>
      <c r="B70" s="89" t="s">
        <v>111</v>
      </c>
      <c r="C70" s="88">
        <f t="shared" ref="C70:C71" si="44">IF(B70=0,"",B70/E$6)</f>
        <v>1</v>
      </c>
      <c r="D70" s="50">
        <v>16695.0</v>
      </c>
      <c r="E70" s="51">
        <f t="shared" ref="E70:E73" si="45">IFERROR(D70/B70,"")</f>
        <v>927.5</v>
      </c>
      <c r="F70" s="50">
        <v>14805.0</v>
      </c>
      <c r="G70" s="52">
        <f t="shared" si="3"/>
        <v>0.8867924528</v>
      </c>
      <c r="H70" s="78"/>
      <c r="I70" s="78"/>
      <c r="J70" s="54"/>
      <c r="K70" s="76"/>
      <c r="L70" s="74"/>
      <c r="M70" s="74"/>
      <c r="N70" s="77"/>
      <c r="O70" s="55"/>
      <c r="P70" s="74"/>
      <c r="Q70" s="74"/>
      <c r="R70" s="86"/>
    </row>
    <row r="71" ht="15.75" customHeight="1">
      <c r="A71" s="57">
        <f t="shared" ref="A71:A73" si="46">A70+7</f>
        <v>46005</v>
      </c>
      <c r="B71" s="89" t="s">
        <v>111</v>
      </c>
      <c r="C71" s="88">
        <f t="shared" si="44"/>
        <v>1</v>
      </c>
      <c r="D71" s="50">
        <v>16695.0</v>
      </c>
      <c r="E71" s="51">
        <f t="shared" si="45"/>
        <v>927.5</v>
      </c>
      <c r="F71" s="50">
        <v>15695.0</v>
      </c>
      <c r="G71" s="52">
        <f t="shared" si="3"/>
        <v>0.9401018269</v>
      </c>
      <c r="H71" s="58"/>
      <c r="I71" s="58"/>
      <c r="J71" s="54"/>
      <c r="K71" s="55"/>
      <c r="L71" s="78"/>
      <c r="M71" s="78"/>
      <c r="N71" s="55"/>
      <c r="O71" s="55"/>
      <c r="P71" s="78"/>
      <c r="Q71" s="78"/>
      <c r="R71" s="86"/>
    </row>
    <row r="72" ht="15.75" customHeight="1">
      <c r="A72" s="57">
        <f t="shared" si="46"/>
        <v>46012</v>
      </c>
      <c r="B72" s="90"/>
      <c r="C72" s="88" t="str">
        <f t="shared" ref="C72:C75" si="47">IF(B72=0,"",B72/C$5)</f>
        <v/>
      </c>
      <c r="D72" s="91"/>
      <c r="E72" s="51" t="str">
        <f t="shared" si="45"/>
        <v/>
      </c>
      <c r="F72" s="91"/>
      <c r="G72" s="52" t="str">
        <f t="shared" si="3"/>
        <v/>
      </c>
      <c r="H72" s="58"/>
      <c r="I72" s="58"/>
      <c r="J72" s="54"/>
      <c r="K72" s="55"/>
      <c r="L72" s="58"/>
      <c r="M72" s="58"/>
      <c r="N72" s="55"/>
      <c r="O72" s="55"/>
      <c r="P72" s="58"/>
      <c r="Q72" s="58"/>
      <c r="R72" s="86"/>
    </row>
    <row r="73" ht="15.75" customHeight="1">
      <c r="A73" s="57">
        <f t="shared" si="46"/>
        <v>46019</v>
      </c>
      <c r="B73" s="90"/>
      <c r="C73" s="88" t="str">
        <f t="shared" si="47"/>
        <v/>
      </c>
      <c r="D73" s="91"/>
      <c r="E73" s="51" t="str">
        <f t="shared" si="45"/>
        <v/>
      </c>
      <c r="F73" s="91"/>
      <c r="G73" s="52" t="str">
        <f t="shared" si="3"/>
        <v/>
      </c>
      <c r="H73" s="82"/>
      <c r="I73" s="82"/>
      <c r="J73" s="54"/>
      <c r="K73" s="55"/>
      <c r="L73" s="82"/>
      <c r="M73" s="82"/>
      <c r="N73" s="55"/>
      <c r="O73" s="55"/>
      <c r="P73" s="82"/>
      <c r="Q73" s="82"/>
      <c r="R73" s="86"/>
    </row>
    <row r="74" ht="15.75" customHeight="1">
      <c r="A74" s="61" t="s">
        <v>51</v>
      </c>
      <c r="B74" s="62">
        <v>13.0</v>
      </c>
      <c r="C74" s="63">
        <f t="shared" si="47"/>
        <v>0.9285714286</v>
      </c>
      <c r="D74" s="64">
        <v>13850.0</v>
      </c>
      <c r="E74" s="70">
        <f>D74/B74</f>
        <v>1065.384615</v>
      </c>
      <c r="F74" s="64">
        <v>13850.0</v>
      </c>
      <c r="G74" s="66">
        <f t="shared" si="3"/>
        <v>1</v>
      </c>
      <c r="H74" s="92"/>
      <c r="I74" s="67">
        <v>13850.0</v>
      </c>
      <c r="J74" s="68" t="str">
        <f t="shared" ref="J74:J75" si="50">IF(H74=0,"",H74-I74)</f>
        <v/>
      </c>
      <c r="K74" s="69" t="str">
        <f t="shared" ref="K74:K75" si="51">IFERROR((H74-I74)/H74,"")</f>
        <v/>
      </c>
      <c r="L74" s="92"/>
      <c r="M74" s="83">
        <v>12500.0</v>
      </c>
      <c r="N74" s="68" t="str">
        <f t="shared" ref="N74:N75" si="53">IF(L74=0,"",L74-M74)</f>
        <v/>
      </c>
      <c r="O74" s="69" t="str">
        <f t="shared" ref="O74:O75" si="54">IFERROR((L74-M74)/L74,"")</f>
        <v/>
      </c>
      <c r="P74" s="92">
        <f t="shared" ref="P74:Q74" si="48">H74-L74</f>
        <v>0</v>
      </c>
      <c r="Q74" s="92">
        <f t="shared" si="48"/>
        <v>1350</v>
      </c>
      <c r="R74" s="87"/>
    </row>
    <row r="75" ht="15.75" customHeight="1">
      <c r="A75" s="93" t="s">
        <v>61</v>
      </c>
      <c r="B75" s="94"/>
      <c r="C75" s="95" t="str">
        <f t="shared" si="47"/>
        <v/>
      </c>
      <c r="D75" s="96"/>
      <c r="E75" s="96" t="str">
        <f>IFERROR(D75/B75,"")</f>
        <v/>
      </c>
      <c r="F75" s="96"/>
      <c r="G75" s="97" t="str">
        <f t="shared" si="3"/>
        <v/>
      </c>
      <c r="H75" s="96">
        <f t="shared" ref="H75:I75" si="49">H15+H20+H26+H31+H36+H42+H47+H53+H58+H63+H69+H74</f>
        <v>127832</v>
      </c>
      <c r="I75" s="96">
        <f t="shared" si="49"/>
        <v>151200</v>
      </c>
      <c r="J75" s="96">
        <f t="shared" si="50"/>
        <v>-23368</v>
      </c>
      <c r="K75" s="95">
        <f t="shared" si="51"/>
        <v>-0.1828024282</v>
      </c>
      <c r="L75" s="96">
        <f t="shared" ref="L75:M75" si="52">L15+L20+L26+L31+L36+L42+L47+L53+L58+L63+L69+L74</f>
        <v>175733</v>
      </c>
      <c r="M75" s="96">
        <f t="shared" si="52"/>
        <v>137500</v>
      </c>
      <c r="N75" s="95">
        <f t="shared" si="53"/>
        <v>38233</v>
      </c>
      <c r="O75" s="95">
        <f t="shared" si="54"/>
        <v>0.2175630075</v>
      </c>
      <c r="P75" s="96">
        <f t="shared" ref="P75:Q75" si="55">P15+P20+P26+P31+P36+P42+P47+P53+P58+P63+P69+P74</f>
        <v>-47901</v>
      </c>
      <c r="Q75" s="96">
        <f t="shared" si="55"/>
        <v>13700</v>
      </c>
      <c r="R75" s="98"/>
    </row>
    <row r="76" ht="15.75" customHeight="1">
      <c r="A76" s="99" t="s">
        <v>62</v>
      </c>
      <c r="B76" s="100" t="s">
        <v>62</v>
      </c>
      <c r="C76" s="100" t="s">
        <v>62</v>
      </c>
      <c r="D76" s="101" t="s">
        <v>62</v>
      </c>
      <c r="E76" s="102" t="s">
        <v>62</v>
      </c>
      <c r="F76" s="101" t="s">
        <v>62</v>
      </c>
      <c r="G76" s="100" t="s">
        <v>62</v>
      </c>
      <c r="H76" s="102" t="s">
        <v>62</v>
      </c>
      <c r="I76" s="102" t="s">
        <v>62</v>
      </c>
      <c r="J76" s="102" t="s">
        <v>62</v>
      </c>
      <c r="K76" s="100" t="s">
        <v>62</v>
      </c>
      <c r="L76" s="102" t="s">
        <v>62</v>
      </c>
      <c r="M76" s="102" t="s">
        <v>62</v>
      </c>
      <c r="N76" s="100" t="s">
        <v>62</v>
      </c>
      <c r="O76" s="100" t="s">
        <v>62</v>
      </c>
      <c r="P76" s="102" t="s">
        <v>62</v>
      </c>
      <c r="Q76" s="102" t="s">
        <v>62</v>
      </c>
      <c r="R76" s="100" t="s">
        <v>62</v>
      </c>
    </row>
    <row r="77" ht="15.75" customHeight="1">
      <c r="A77" s="103"/>
      <c r="B77" s="104"/>
      <c r="C77" s="104"/>
      <c r="D77" s="105"/>
      <c r="E77" s="106"/>
      <c r="F77" s="107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6"/>
    </row>
    <row r="78" ht="15.75" customHeight="1">
      <c r="A78" s="103"/>
      <c r="B78" s="104"/>
      <c r="C78" s="104"/>
      <c r="D78" s="105"/>
      <c r="E78" s="106"/>
      <c r="F78" s="107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6"/>
    </row>
    <row r="79" ht="15.75" customHeight="1">
      <c r="A79" s="103"/>
      <c r="B79" s="104"/>
      <c r="C79" s="104"/>
      <c r="D79" s="105"/>
      <c r="E79" s="106"/>
      <c r="F79" s="107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6"/>
    </row>
    <row r="80" ht="15.75" customHeight="1">
      <c r="A80" s="103"/>
      <c r="B80" s="104"/>
      <c r="C80" s="104"/>
      <c r="D80" s="105"/>
      <c r="E80" s="106"/>
      <c r="F80" s="107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6"/>
    </row>
    <row r="81" ht="15.75" customHeight="1">
      <c r="A81" s="109"/>
      <c r="B81" s="104"/>
      <c r="C81" s="104"/>
      <c r="D81" s="105"/>
      <c r="E81" s="106"/>
      <c r="F81" s="107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6"/>
    </row>
    <row r="82" ht="15.75" customHeight="1">
      <c r="A82" s="109"/>
      <c r="B82" s="104"/>
      <c r="C82" s="104"/>
      <c r="D82" s="105"/>
      <c r="E82" s="106"/>
      <c r="F82" s="107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6"/>
    </row>
    <row r="83" ht="15.75" customHeight="1">
      <c r="A83" s="109"/>
      <c r="B83" s="104"/>
      <c r="C83" s="104"/>
      <c r="D83" s="105"/>
      <c r="E83" s="106"/>
      <c r="F83" s="107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6"/>
    </row>
    <row r="84" ht="15.75" customHeight="1">
      <c r="A84" s="109"/>
      <c r="B84" s="104"/>
      <c r="C84" s="104"/>
      <c r="D84" s="105"/>
      <c r="E84" s="106"/>
      <c r="F84" s="107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6"/>
    </row>
    <row r="85" ht="15.75" customHeight="1">
      <c r="A85" s="109"/>
      <c r="B85" s="104"/>
      <c r="C85" s="104"/>
      <c r="D85" s="105"/>
      <c r="E85" s="106"/>
      <c r="F85" s="107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6"/>
    </row>
    <row r="86" ht="15.75" customHeight="1">
      <c r="A86" s="109"/>
      <c r="B86" s="104"/>
      <c r="C86" s="104"/>
      <c r="D86" s="105"/>
      <c r="E86" s="106"/>
      <c r="F86" s="107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6"/>
    </row>
    <row r="87" ht="15.75" customHeight="1">
      <c r="A87" s="109"/>
      <c r="B87" s="104"/>
      <c r="C87" s="104"/>
      <c r="D87" s="105"/>
      <c r="E87" s="106"/>
      <c r="F87" s="107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6"/>
    </row>
    <row r="88" ht="15.75" customHeight="1">
      <c r="A88" s="109"/>
      <c r="B88" s="104"/>
      <c r="C88" s="104"/>
      <c r="D88" s="105"/>
      <c r="E88" s="106"/>
      <c r="F88" s="107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6"/>
    </row>
    <row r="89" ht="15.75" customHeight="1">
      <c r="A89" s="109"/>
      <c r="B89" s="104"/>
      <c r="C89" s="104"/>
      <c r="D89" s="105"/>
      <c r="E89" s="106"/>
      <c r="F89" s="107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6"/>
    </row>
    <row r="90" ht="15.75" customHeight="1">
      <c r="A90" s="109"/>
      <c r="B90" s="104"/>
      <c r="C90" s="104"/>
      <c r="D90" s="105"/>
      <c r="E90" s="106"/>
      <c r="F90" s="107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6"/>
    </row>
    <row r="91" ht="15.75" customHeight="1">
      <c r="A91" s="109"/>
      <c r="B91" s="104"/>
      <c r="C91" s="104"/>
      <c r="D91" s="105"/>
      <c r="E91" s="106"/>
      <c r="F91" s="107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6"/>
    </row>
    <row r="92" ht="15.75" customHeight="1">
      <c r="A92" s="109"/>
      <c r="B92" s="104"/>
      <c r="C92" s="104"/>
      <c r="D92" s="105"/>
      <c r="E92" s="106"/>
      <c r="F92" s="107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6"/>
    </row>
    <row r="93" ht="15.75" customHeight="1">
      <c r="A93" s="109"/>
      <c r="B93" s="104"/>
      <c r="C93" s="104"/>
      <c r="D93" s="105"/>
      <c r="E93" s="106"/>
      <c r="F93" s="107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6"/>
    </row>
    <row r="94" ht="15.75" customHeight="1">
      <c r="A94" s="109"/>
      <c r="B94" s="104"/>
      <c r="C94" s="104"/>
      <c r="D94" s="105"/>
      <c r="E94" s="106"/>
      <c r="F94" s="107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6"/>
    </row>
    <row r="95" ht="15.75" customHeight="1">
      <c r="A95" s="109"/>
      <c r="B95" s="104"/>
      <c r="C95" s="104"/>
      <c r="D95" s="105"/>
      <c r="E95" s="106"/>
      <c r="F95" s="107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6"/>
    </row>
    <row r="96" ht="15.75" customHeight="1">
      <c r="A96" s="109"/>
      <c r="B96" s="104"/>
      <c r="C96" s="104"/>
      <c r="D96" s="105"/>
      <c r="E96" s="106"/>
      <c r="F96" s="107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6"/>
    </row>
    <row r="97" ht="15.75" customHeight="1">
      <c r="A97" s="109"/>
      <c r="B97" s="104"/>
      <c r="C97" s="104"/>
      <c r="D97" s="105"/>
      <c r="E97" s="106"/>
      <c r="F97" s="107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6"/>
    </row>
    <row r="98" ht="15.75" customHeight="1">
      <c r="A98" s="109"/>
      <c r="B98" s="104"/>
      <c r="C98" s="104"/>
      <c r="D98" s="105"/>
      <c r="E98" s="106"/>
      <c r="F98" s="107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6"/>
    </row>
    <row r="99" ht="15.75" customHeight="1">
      <c r="A99" s="109"/>
      <c r="B99" s="104"/>
      <c r="C99" s="104"/>
      <c r="D99" s="105"/>
      <c r="E99" s="106"/>
      <c r="F99" s="107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6"/>
    </row>
    <row r="100" ht="15.75" customHeight="1">
      <c r="A100" s="109"/>
      <c r="B100" s="104"/>
      <c r="C100" s="104"/>
      <c r="D100" s="105"/>
      <c r="E100" s="106"/>
      <c r="F100" s="107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6"/>
    </row>
    <row r="101" ht="15.75" customHeight="1">
      <c r="A101" s="109"/>
      <c r="B101" s="104"/>
      <c r="C101" s="104"/>
      <c r="D101" s="105"/>
      <c r="E101" s="106"/>
      <c r="F101" s="107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6"/>
    </row>
    <row r="102" ht="15.75" customHeight="1">
      <c r="A102" s="109"/>
      <c r="B102" s="104"/>
      <c r="C102" s="104"/>
      <c r="D102" s="105"/>
      <c r="E102" s="106"/>
      <c r="F102" s="107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6"/>
    </row>
    <row r="103" ht="15.75" customHeight="1">
      <c r="A103" s="109"/>
      <c r="B103" s="104"/>
      <c r="C103" s="104"/>
      <c r="D103" s="105"/>
      <c r="E103" s="106"/>
      <c r="F103" s="107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6"/>
    </row>
    <row r="104" ht="15.75" customHeight="1">
      <c r="A104" s="109"/>
      <c r="B104" s="104"/>
      <c r="C104" s="104"/>
      <c r="D104" s="105"/>
      <c r="E104" s="106"/>
      <c r="F104" s="107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6"/>
    </row>
    <row r="105" ht="15.75" customHeight="1">
      <c r="A105" s="109"/>
      <c r="B105" s="104"/>
      <c r="C105" s="104"/>
      <c r="D105" s="105"/>
      <c r="E105" s="106"/>
      <c r="F105" s="107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6"/>
    </row>
    <row r="106" ht="15.75" customHeight="1">
      <c r="A106" s="109"/>
      <c r="B106" s="104"/>
      <c r="C106" s="104"/>
      <c r="D106" s="105"/>
      <c r="E106" s="106"/>
      <c r="F106" s="107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6"/>
    </row>
    <row r="107" ht="15.75" customHeight="1">
      <c r="A107" s="109"/>
      <c r="B107" s="104"/>
      <c r="C107" s="104"/>
      <c r="D107" s="105"/>
      <c r="E107" s="106"/>
      <c r="F107" s="107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6"/>
    </row>
    <row r="108" ht="15.75" customHeight="1">
      <c r="A108" s="109"/>
      <c r="B108" s="104"/>
      <c r="C108" s="104"/>
      <c r="D108" s="105"/>
      <c r="E108" s="106"/>
      <c r="F108" s="107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6"/>
    </row>
    <row r="109" ht="15.75" customHeight="1">
      <c r="A109" s="109"/>
      <c r="B109" s="104"/>
      <c r="C109" s="104"/>
      <c r="D109" s="105"/>
      <c r="E109" s="106"/>
      <c r="F109" s="107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6"/>
    </row>
    <row r="110" ht="15.75" customHeight="1">
      <c r="A110" s="109"/>
      <c r="B110" s="104"/>
      <c r="C110" s="104"/>
      <c r="D110" s="105"/>
      <c r="E110" s="106"/>
      <c r="F110" s="107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6"/>
    </row>
    <row r="111" ht="15.75" customHeight="1">
      <c r="A111" s="109"/>
      <c r="B111" s="104"/>
      <c r="C111" s="104"/>
      <c r="D111" s="105"/>
      <c r="E111" s="106"/>
      <c r="F111" s="107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6"/>
    </row>
    <row r="112" ht="15.75" customHeight="1">
      <c r="A112" s="109"/>
      <c r="B112" s="104"/>
      <c r="C112" s="104"/>
      <c r="D112" s="105"/>
      <c r="E112" s="106"/>
      <c r="F112" s="107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6"/>
    </row>
    <row r="113" ht="15.75" customHeight="1">
      <c r="A113" s="109"/>
      <c r="B113" s="104"/>
      <c r="C113" s="104"/>
      <c r="D113" s="105"/>
      <c r="E113" s="106"/>
      <c r="F113" s="107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6"/>
    </row>
    <row r="114" ht="15.75" customHeight="1">
      <c r="A114" s="109"/>
      <c r="B114" s="104"/>
      <c r="C114" s="104"/>
      <c r="D114" s="105"/>
      <c r="E114" s="106"/>
      <c r="F114" s="107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6"/>
    </row>
    <row r="115" ht="15.75" customHeight="1">
      <c r="A115" s="109"/>
      <c r="B115" s="104"/>
      <c r="C115" s="104"/>
      <c r="D115" s="105"/>
      <c r="E115" s="106"/>
      <c r="F115" s="107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6"/>
    </row>
    <row r="116" ht="15.75" customHeight="1">
      <c r="A116" s="109"/>
      <c r="B116" s="104"/>
      <c r="C116" s="104"/>
      <c r="D116" s="105"/>
      <c r="E116" s="106"/>
      <c r="F116" s="107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6"/>
    </row>
    <row r="117" ht="15.75" customHeight="1">
      <c r="A117" s="109"/>
      <c r="B117" s="104"/>
      <c r="C117" s="104"/>
      <c r="D117" s="105"/>
      <c r="E117" s="106"/>
      <c r="F117" s="107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6"/>
    </row>
    <row r="118" ht="15.75" customHeight="1">
      <c r="A118" s="109"/>
      <c r="B118" s="104"/>
      <c r="C118" s="104"/>
      <c r="D118" s="105"/>
      <c r="E118" s="106"/>
      <c r="F118" s="107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6"/>
    </row>
    <row r="119" ht="15.75" customHeight="1">
      <c r="A119" s="109"/>
      <c r="B119" s="104"/>
      <c r="C119" s="104"/>
      <c r="D119" s="105"/>
      <c r="E119" s="106"/>
      <c r="F119" s="107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6"/>
    </row>
    <row r="120" ht="15.75" customHeight="1">
      <c r="A120" s="109"/>
      <c r="B120" s="104"/>
      <c r="C120" s="104"/>
      <c r="D120" s="105"/>
      <c r="E120" s="106"/>
      <c r="F120" s="107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6"/>
    </row>
    <row r="121" ht="15.75" customHeight="1">
      <c r="A121" s="109"/>
      <c r="B121" s="104"/>
      <c r="C121" s="104"/>
      <c r="D121" s="105"/>
      <c r="E121" s="106"/>
      <c r="F121" s="107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6"/>
    </row>
    <row r="122" ht="15.75" customHeight="1">
      <c r="A122" s="109"/>
      <c r="B122" s="104"/>
      <c r="C122" s="104"/>
      <c r="D122" s="105"/>
      <c r="E122" s="106"/>
      <c r="F122" s="107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6"/>
    </row>
    <row r="123" ht="15.75" customHeight="1">
      <c r="A123" s="109"/>
      <c r="B123" s="104"/>
      <c r="C123" s="104"/>
      <c r="D123" s="105"/>
      <c r="E123" s="106"/>
      <c r="F123" s="107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6"/>
    </row>
    <row r="124" ht="15.75" customHeight="1">
      <c r="A124" s="109"/>
      <c r="B124" s="104"/>
      <c r="C124" s="104"/>
      <c r="D124" s="105"/>
      <c r="E124" s="106"/>
      <c r="F124" s="107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6"/>
    </row>
    <row r="125" ht="15.75" customHeight="1">
      <c r="A125" s="109"/>
      <c r="B125" s="104"/>
      <c r="C125" s="104"/>
      <c r="D125" s="105"/>
      <c r="E125" s="106"/>
      <c r="F125" s="107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6"/>
    </row>
    <row r="126" ht="15.75" customHeight="1">
      <c r="A126" s="109"/>
      <c r="B126" s="104"/>
      <c r="C126" s="104"/>
      <c r="D126" s="105"/>
      <c r="E126" s="106"/>
      <c r="F126" s="107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6"/>
    </row>
    <row r="127" ht="15.75" customHeight="1">
      <c r="A127" s="109"/>
      <c r="B127" s="104"/>
      <c r="C127" s="104"/>
      <c r="D127" s="105"/>
      <c r="E127" s="106"/>
      <c r="F127" s="107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6"/>
    </row>
    <row r="128" ht="15.75" customHeight="1">
      <c r="A128" s="109"/>
      <c r="B128" s="104"/>
      <c r="C128" s="104"/>
      <c r="D128" s="105"/>
      <c r="E128" s="106"/>
      <c r="F128" s="107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6"/>
    </row>
    <row r="129" ht="15.75" customHeight="1">
      <c r="A129" s="109"/>
      <c r="B129" s="104"/>
      <c r="C129" s="104"/>
      <c r="D129" s="105"/>
      <c r="E129" s="106"/>
      <c r="F129" s="107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6"/>
    </row>
    <row r="130" ht="15.75" customHeight="1">
      <c r="A130" s="109"/>
      <c r="B130" s="104"/>
      <c r="C130" s="104"/>
      <c r="D130" s="105"/>
      <c r="E130" s="106"/>
      <c r="F130" s="107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6"/>
    </row>
    <row r="131" ht="15.75" customHeight="1">
      <c r="A131" s="109"/>
      <c r="B131" s="104"/>
      <c r="C131" s="104"/>
      <c r="D131" s="105"/>
      <c r="E131" s="106"/>
      <c r="F131" s="107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6"/>
    </row>
    <row r="132" ht="15.75" customHeight="1">
      <c r="A132" s="109"/>
      <c r="B132" s="104"/>
      <c r="C132" s="104"/>
      <c r="D132" s="105"/>
      <c r="E132" s="106"/>
      <c r="F132" s="107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6"/>
    </row>
    <row r="133" ht="15.75" customHeight="1">
      <c r="A133" s="109"/>
      <c r="B133" s="104"/>
      <c r="C133" s="104"/>
      <c r="D133" s="105"/>
      <c r="E133" s="106"/>
      <c r="F133" s="107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6"/>
    </row>
    <row r="134" ht="15.75" customHeight="1">
      <c r="A134" s="109"/>
      <c r="B134" s="104"/>
      <c r="C134" s="104"/>
      <c r="D134" s="105"/>
      <c r="E134" s="106"/>
      <c r="F134" s="107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6"/>
    </row>
    <row r="135" ht="15.75" customHeight="1">
      <c r="A135" s="109"/>
      <c r="B135" s="104"/>
      <c r="C135" s="104"/>
      <c r="D135" s="105"/>
      <c r="E135" s="106"/>
      <c r="F135" s="107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6"/>
    </row>
    <row r="136" ht="15.75" customHeight="1">
      <c r="A136" s="109"/>
      <c r="B136" s="104"/>
      <c r="C136" s="104"/>
      <c r="D136" s="105"/>
      <c r="E136" s="106"/>
      <c r="F136" s="107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6"/>
    </row>
    <row r="137" ht="15.75" customHeight="1">
      <c r="A137" s="109"/>
      <c r="B137" s="104"/>
      <c r="C137" s="104"/>
      <c r="D137" s="105"/>
      <c r="E137" s="106"/>
      <c r="F137" s="107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6"/>
    </row>
    <row r="138" ht="15.75" customHeight="1">
      <c r="A138" s="109"/>
      <c r="B138" s="104"/>
      <c r="C138" s="104"/>
      <c r="D138" s="105"/>
      <c r="E138" s="106"/>
      <c r="F138" s="107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6"/>
    </row>
    <row r="139" ht="15.75" customHeight="1">
      <c r="A139" s="109"/>
      <c r="B139" s="104"/>
      <c r="C139" s="104"/>
      <c r="D139" s="105"/>
      <c r="E139" s="106"/>
      <c r="F139" s="107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6"/>
    </row>
    <row r="140" ht="15.75" customHeight="1">
      <c r="A140" s="109"/>
      <c r="B140" s="104"/>
      <c r="C140" s="104"/>
      <c r="D140" s="105"/>
      <c r="E140" s="106"/>
      <c r="F140" s="107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6"/>
    </row>
    <row r="141" ht="15.75" customHeight="1">
      <c r="A141" s="109"/>
      <c r="B141" s="104"/>
      <c r="C141" s="104"/>
      <c r="D141" s="105"/>
      <c r="E141" s="106"/>
      <c r="F141" s="107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6"/>
    </row>
    <row r="142" ht="15.75" customHeight="1">
      <c r="A142" s="109"/>
      <c r="B142" s="104"/>
      <c r="C142" s="104"/>
      <c r="D142" s="105"/>
      <c r="E142" s="106"/>
      <c r="F142" s="107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6"/>
    </row>
    <row r="143" ht="15.75" customHeight="1">
      <c r="A143" s="109"/>
      <c r="B143" s="104"/>
      <c r="C143" s="104"/>
      <c r="D143" s="105"/>
      <c r="E143" s="106"/>
      <c r="F143" s="107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6"/>
    </row>
    <row r="144" ht="15.75" customHeight="1">
      <c r="A144" s="109"/>
      <c r="B144" s="104"/>
      <c r="C144" s="104"/>
      <c r="D144" s="105"/>
      <c r="E144" s="106"/>
      <c r="F144" s="107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6"/>
    </row>
    <row r="145" ht="15.75" customHeight="1">
      <c r="A145" s="109"/>
      <c r="B145" s="104"/>
      <c r="C145" s="104"/>
      <c r="D145" s="105"/>
      <c r="E145" s="106"/>
      <c r="F145" s="107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6"/>
    </row>
    <row r="146" ht="15.75" customHeight="1">
      <c r="A146" s="109"/>
      <c r="B146" s="104"/>
      <c r="C146" s="104"/>
      <c r="D146" s="105"/>
      <c r="E146" s="106"/>
      <c r="F146" s="107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6"/>
    </row>
    <row r="147" ht="15.75" customHeight="1">
      <c r="A147" s="109"/>
      <c r="B147" s="104"/>
      <c r="C147" s="104"/>
      <c r="D147" s="105"/>
      <c r="E147" s="106"/>
      <c r="F147" s="107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6"/>
    </row>
    <row r="148" ht="15.75" customHeight="1">
      <c r="A148" s="109"/>
      <c r="B148" s="104"/>
      <c r="C148" s="104"/>
      <c r="D148" s="105"/>
      <c r="E148" s="106"/>
      <c r="F148" s="107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6"/>
    </row>
    <row r="149" ht="15.75" customHeight="1">
      <c r="A149" s="109"/>
      <c r="B149" s="104"/>
      <c r="C149" s="104"/>
      <c r="D149" s="105"/>
      <c r="E149" s="106"/>
      <c r="F149" s="107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6"/>
    </row>
    <row r="150" ht="15.75" customHeight="1">
      <c r="A150" s="109"/>
      <c r="B150" s="104"/>
      <c r="C150" s="104"/>
      <c r="D150" s="105"/>
      <c r="E150" s="106"/>
      <c r="F150" s="107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6"/>
    </row>
    <row r="151" ht="15.75" customHeight="1">
      <c r="A151" s="109"/>
      <c r="B151" s="104"/>
      <c r="C151" s="104"/>
      <c r="D151" s="105"/>
      <c r="E151" s="106"/>
      <c r="F151" s="107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6"/>
    </row>
    <row r="152" ht="15.75" customHeight="1">
      <c r="A152" s="109"/>
      <c r="B152" s="104"/>
      <c r="C152" s="104"/>
      <c r="D152" s="105"/>
      <c r="E152" s="106"/>
      <c r="F152" s="107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6"/>
    </row>
    <row r="153" ht="15.75" customHeight="1">
      <c r="A153" s="109"/>
      <c r="B153" s="104"/>
      <c r="C153" s="104"/>
      <c r="D153" s="105"/>
      <c r="E153" s="106"/>
      <c r="F153" s="107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6"/>
    </row>
    <row r="154" ht="15.75" customHeight="1">
      <c r="A154" s="109"/>
      <c r="B154" s="104"/>
      <c r="C154" s="104"/>
      <c r="D154" s="105"/>
      <c r="E154" s="106"/>
      <c r="F154" s="107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6"/>
    </row>
    <row r="155" ht="15.75" customHeight="1">
      <c r="A155" s="109"/>
      <c r="B155" s="104"/>
      <c r="C155" s="104"/>
      <c r="D155" s="105"/>
      <c r="E155" s="106"/>
      <c r="F155" s="107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6"/>
    </row>
    <row r="156" ht="15.75" customHeight="1">
      <c r="A156" s="109"/>
      <c r="B156" s="104"/>
      <c r="C156" s="104"/>
      <c r="D156" s="105"/>
      <c r="E156" s="106"/>
      <c r="F156" s="107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6"/>
    </row>
    <row r="157" ht="15.75" customHeight="1">
      <c r="A157" s="109"/>
      <c r="B157" s="104"/>
      <c r="C157" s="104"/>
      <c r="D157" s="105"/>
      <c r="E157" s="106"/>
      <c r="F157" s="107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6"/>
    </row>
    <row r="158" ht="15.75" customHeight="1">
      <c r="A158" s="109"/>
      <c r="B158" s="104"/>
      <c r="C158" s="104"/>
      <c r="D158" s="105"/>
      <c r="E158" s="106"/>
      <c r="F158" s="107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6"/>
    </row>
    <row r="159" ht="15.75" customHeight="1">
      <c r="A159" s="109"/>
      <c r="B159" s="104"/>
      <c r="C159" s="104"/>
      <c r="D159" s="105"/>
      <c r="E159" s="106"/>
      <c r="F159" s="107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6"/>
    </row>
    <row r="160" ht="15.75" customHeight="1">
      <c r="A160" s="109"/>
      <c r="B160" s="104"/>
      <c r="C160" s="104"/>
      <c r="D160" s="105"/>
      <c r="E160" s="106"/>
      <c r="F160" s="107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6"/>
    </row>
    <row r="161" ht="15.75" customHeight="1">
      <c r="A161" s="109"/>
      <c r="B161" s="104"/>
      <c r="C161" s="104"/>
      <c r="D161" s="105"/>
      <c r="E161" s="106"/>
      <c r="F161" s="107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6"/>
    </row>
    <row r="162" ht="15.75" customHeight="1">
      <c r="A162" s="109"/>
      <c r="B162" s="104"/>
      <c r="C162" s="104"/>
      <c r="D162" s="105"/>
      <c r="E162" s="106"/>
      <c r="F162" s="107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6"/>
    </row>
    <row r="163" ht="15.75" customHeight="1">
      <c r="A163" s="109"/>
      <c r="B163" s="104"/>
      <c r="C163" s="104"/>
      <c r="D163" s="105"/>
      <c r="E163" s="106"/>
      <c r="F163" s="107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6"/>
    </row>
    <row r="164" ht="15.75" customHeight="1">
      <c r="A164" s="109"/>
      <c r="B164" s="104"/>
      <c r="C164" s="104"/>
      <c r="D164" s="105"/>
      <c r="E164" s="106"/>
      <c r="F164" s="107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6"/>
    </row>
    <row r="165" ht="15.75" customHeight="1">
      <c r="A165" s="109"/>
      <c r="B165" s="104"/>
      <c r="C165" s="104"/>
      <c r="D165" s="105"/>
      <c r="E165" s="106"/>
      <c r="F165" s="107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6"/>
    </row>
    <row r="166" ht="15.75" customHeight="1">
      <c r="A166" s="109"/>
      <c r="B166" s="104"/>
      <c r="C166" s="104"/>
      <c r="D166" s="105"/>
      <c r="E166" s="106"/>
      <c r="F166" s="107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6"/>
    </row>
    <row r="167" ht="15.75" customHeight="1">
      <c r="A167" s="109"/>
      <c r="B167" s="104"/>
      <c r="C167" s="104"/>
      <c r="D167" s="105"/>
      <c r="E167" s="106"/>
      <c r="F167" s="107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6"/>
    </row>
    <row r="168" ht="15.75" customHeight="1">
      <c r="A168" s="109"/>
      <c r="B168" s="104"/>
      <c r="C168" s="104"/>
      <c r="D168" s="105"/>
      <c r="E168" s="106"/>
      <c r="F168" s="107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6"/>
    </row>
    <row r="169" ht="15.75" customHeight="1">
      <c r="A169" s="109"/>
      <c r="B169" s="104"/>
      <c r="C169" s="104"/>
      <c r="D169" s="105"/>
      <c r="E169" s="106"/>
      <c r="F169" s="107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6"/>
    </row>
    <row r="170" ht="15.75" customHeight="1">
      <c r="A170" s="109"/>
      <c r="B170" s="104"/>
      <c r="C170" s="104"/>
      <c r="D170" s="105"/>
      <c r="E170" s="106"/>
      <c r="F170" s="107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6"/>
    </row>
    <row r="171" ht="15.75" customHeight="1">
      <c r="A171" s="109"/>
      <c r="B171" s="104"/>
      <c r="C171" s="104"/>
      <c r="D171" s="105"/>
      <c r="E171" s="106"/>
      <c r="F171" s="107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6"/>
    </row>
    <row r="172" ht="15.75" customHeight="1">
      <c r="A172" s="109"/>
      <c r="B172" s="104"/>
      <c r="C172" s="104"/>
      <c r="D172" s="105"/>
      <c r="E172" s="106"/>
      <c r="F172" s="107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6"/>
    </row>
    <row r="173" ht="15.75" customHeight="1">
      <c r="A173" s="109"/>
      <c r="B173" s="104"/>
      <c r="C173" s="104"/>
      <c r="D173" s="105"/>
      <c r="E173" s="106"/>
      <c r="F173" s="107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6"/>
    </row>
    <row r="174" ht="15.75" customHeight="1">
      <c r="A174" s="109"/>
      <c r="B174" s="104"/>
      <c r="C174" s="104"/>
      <c r="D174" s="105"/>
      <c r="E174" s="106"/>
      <c r="F174" s="107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6"/>
    </row>
    <row r="175" ht="15.75" customHeight="1">
      <c r="A175" s="109"/>
      <c r="B175" s="104"/>
      <c r="C175" s="104"/>
      <c r="D175" s="105"/>
      <c r="E175" s="106"/>
      <c r="F175" s="107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6"/>
    </row>
    <row r="176" ht="15.75" customHeight="1">
      <c r="A176" s="109"/>
      <c r="B176" s="104"/>
      <c r="C176" s="104"/>
      <c r="D176" s="105"/>
      <c r="E176" s="106"/>
      <c r="F176" s="107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6"/>
    </row>
    <row r="177" ht="15.75" customHeight="1">
      <c r="A177" s="109"/>
      <c r="B177" s="104"/>
      <c r="C177" s="104"/>
      <c r="D177" s="105"/>
      <c r="E177" s="106"/>
      <c r="F177" s="107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6"/>
    </row>
    <row r="178" ht="15.75" customHeight="1">
      <c r="A178" s="109"/>
      <c r="B178" s="104"/>
      <c r="C178" s="104"/>
      <c r="D178" s="105"/>
      <c r="E178" s="106"/>
      <c r="F178" s="107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6"/>
    </row>
    <row r="179" ht="15.75" customHeight="1">
      <c r="A179" s="109"/>
      <c r="B179" s="104"/>
      <c r="C179" s="104"/>
      <c r="D179" s="105"/>
      <c r="E179" s="106"/>
      <c r="F179" s="107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6"/>
    </row>
    <row r="180" ht="15.75" customHeight="1">
      <c r="A180" s="109"/>
      <c r="B180" s="104"/>
      <c r="C180" s="104"/>
      <c r="D180" s="105"/>
      <c r="E180" s="106"/>
      <c r="F180" s="107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6"/>
    </row>
    <row r="181" ht="15.75" customHeight="1">
      <c r="A181" s="109"/>
      <c r="B181" s="104"/>
      <c r="C181" s="104"/>
      <c r="D181" s="105"/>
      <c r="E181" s="106"/>
      <c r="F181" s="107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6"/>
    </row>
    <row r="182" ht="15.75" customHeight="1">
      <c r="A182" s="109"/>
      <c r="B182" s="104"/>
      <c r="C182" s="104"/>
      <c r="D182" s="105"/>
      <c r="E182" s="106"/>
      <c r="F182" s="107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6"/>
    </row>
    <row r="183" ht="15.75" customHeight="1">
      <c r="A183" s="109"/>
      <c r="B183" s="104"/>
      <c r="C183" s="104"/>
      <c r="D183" s="105"/>
      <c r="E183" s="106"/>
      <c r="F183" s="107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6"/>
    </row>
    <row r="184" ht="15.75" customHeight="1">
      <c r="A184" s="109"/>
      <c r="B184" s="104"/>
      <c r="C184" s="104"/>
      <c r="D184" s="105"/>
      <c r="E184" s="106"/>
      <c r="F184" s="107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6"/>
    </row>
    <row r="185" ht="15.75" customHeight="1">
      <c r="A185" s="109"/>
      <c r="B185" s="104"/>
      <c r="C185" s="104"/>
      <c r="D185" s="105"/>
      <c r="E185" s="106"/>
      <c r="F185" s="107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6"/>
    </row>
    <row r="186" ht="15.75" customHeight="1">
      <c r="A186" s="109"/>
      <c r="B186" s="104"/>
      <c r="C186" s="104"/>
      <c r="D186" s="105"/>
      <c r="E186" s="106"/>
      <c r="F186" s="107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6"/>
    </row>
    <row r="187" ht="15.75" customHeight="1">
      <c r="A187" s="109"/>
      <c r="B187" s="104"/>
      <c r="C187" s="104"/>
      <c r="D187" s="105"/>
      <c r="E187" s="106"/>
      <c r="F187" s="107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6"/>
    </row>
    <row r="188" ht="15.75" customHeight="1">
      <c r="A188" s="109"/>
      <c r="B188" s="104"/>
      <c r="C188" s="104"/>
      <c r="D188" s="105"/>
      <c r="E188" s="106"/>
      <c r="F188" s="107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6"/>
    </row>
    <row r="189" ht="15.75" customHeight="1">
      <c r="A189" s="109"/>
      <c r="B189" s="104"/>
      <c r="C189" s="104"/>
      <c r="D189" s="105"/>
      <c r="E189" s="106"/>
      <c r="F189" s="107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6"/>
    </row>
    <row r="190" ht="15.75" customHeight="1">
      <c r="A190" s="109"/>
      <c r="B190" s="104"/>
      <c r="C190" s="104"/>
      <c r="D190" s="105"/>
      <c r="E190" s="106"/>
      <c r="F190" s="107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6"/>
    </row>
    <row r="191" ht="15.75" customHeight="1">
      <c r="A191" s="109"/>
      <c r="B191" s="104"/>
      <c r="C191" s="104"/>
      <c r="D191" s="105"/>
      <c r="E191" s="106"/>
      <c r="F191" s="107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6"/>
    </row>
    <row r="192" ht="15.75" customHeight="1">
      <c r="A192" s="109"/>
      <c r="B192" s="104"/>
      <c r="C192" s="104"/>
      <c r="D192" s="105"/>
      <c r="E192" s="106"/>
      <c r="F192" s="107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6"/>
    </row>
    <row r="193" ht="15.75" customHeight="1">
      <c r="A193" s="109"/>
      <c r="B193" s="104"/>
      <c r="C193" s="104"/>
      <c r="D193" s="105"/>
      <c r="E193" s="106"/>
      <c r="F193" s="107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6"/>
    </row>
    <row r="194" ht="15.75" customHeight="1">
      <c r="A194" s="109"/>
      <c r="B194" s="104"/>
      <c r="C194" s="104"/>
      <c r="D194" s="105"/>
      <c r="E194" s="106"/>
      <c r="F194" s="107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6"/>
    </row>
    <row r="195" ht="15.75" customHeight="1">
      <c r="A195" s="109"/>
      <c r="B195" s="104"/>
      <c r="C195" s="104"/>
      <c r="D195" s="105"/>
      <c r="E195" s="106"/>
      <c r="F195" s="107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6"/>
    </row>
    <row r="196" ht="15.75" customHeight="1">
      <c r="A196" s="109"/>
      <c r="B196" s="104"/>
      <c r="C196" s="104"/>
      <c r="D196" s="105"/>
      <c r="E196" s="106"/>
      <c r="F196" s="107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6"/>
    </row>
    <row r="197" ht="15.75" customHeight="1">
      <c r="A197" s="109"/>
      <c r="B197" s="104"/>
      <c r="C197" s="104"/>
      <c r="D197" s="105"/>
      <c r="E197" s="106"/>
      <c r="F197" s="107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6"/>
    </row>
    <row r="198" ht="15.75" customHeight="1">
      <c r="A198" s="109"/>
      <c r="B198" s="104"/>
      <c r="C198" s="104"/>
      <c r="D198" s="105"/>
      <c r="E198" s="106"/>
      <c r="F198" s="107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6"/>
    </row>
    <row r="199" ht="15.75" customHeight="1">
      <c r="A199" s="109"/>
      <c r="B199" s="104"/>
      <c r="C199" s="104"/>
      <c r="D199" s="105"/>
      <c r="E199" s="106"/>
      <c r="F199" s="107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6"/>
    </row>
    <row r="200" ht="15.75" customHeight="1">
      <c r="A200" s="109"/>
      <c r="B200" s="104"/>
      <c r="C200" s="104"/>
      <c r="D200" s="105"/>
      <c r="E200" s="106"/>
      <c r="F200" s="107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6"/>
    </row>
    <row r="201" ht="15.75" customHeight="1">
      <c r="A201" s="109"/>
      <c r="B201" s="104"/>
      <c r="C201" s="104"/>
      <c r="D201" s="105"/>
      <c r="E201" s="106"/>
      <c r="F201" s="107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6"/>
    </row>
    <row r="202" ht="15.75" customHeight="1">
      <c r="A202" s="109"/>
      <c r="B202" s="104"/>
      <c r="C202" s="104"/>
      <c r="D202" s="105"/>
      <c r="E202" s="106"/>
      <c r="F202" s="107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6"/>
    </row>
    <row r="203" ht="15.75" customHeight="1">
      <c r="A203" s="109"/>
      <c r="B203" s="104"/>
      <c r="C203" s="104"/>
      <c r="D203" s="105"/>
      <c r="E203" s="106"/>
      <c r="F203" s="107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6"/>
    </row>
    <row r="204" ht="15.75" customHeight="1">
      <c r="A204" s="109"/>
      <c r="B204" s="104"/>
      <c r="C204" s="104"/>
      <c r="D204" s="105"/>
      <c r="E204" s="106"/>
      <c r="F204" s="107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6"/>
    </row>
    <row r="205" ht="15.75" customHeight="1">
      <c r="A205" s="109"/>
      <c r="B205" s="104"/>
      <c r="C205" s="104"/>
      <c r="D205" s="105"/>
      <c r="E205" s="106"/>
      <c r="F205" s="107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6"/>
    </row>
    <row r="206" ht="15.75" customHeight="1">
      <c r="A206" s="109"/>
      <c r="B206" s="104"/>
      <c r="C206" s="104"/>
      <c r="D206" s="105"/>
      <c r="E206" s="106"/>
      <c r="F206" s="107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6"/>
    </row>
    <row r="207" ht="15.75" customHeight="1">
      <c r="A207" s="109"/>
      <c r="B207" s="104"/>
      <c r="C207" s="104"/>
      <c r="D207" s="105"/>
      <c r="E207" s="106"/>
      <c r="F207" s="107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6"/>
    </row>
    <row r="208" ht="15.75" customHeight="1">
      <c r="A208" s="109"/>
      <c r="B208" s="104"/>
      <c r="C208" s="104"/>
      <c r="D208" s="105"/>
      <c r="E208" s="106"/>
      <c r="F208" s="107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6"/>
    </row>
    <row r="209" ht="15.75" customHeight="1">
      <c r="A209" s="109"/>
      <c r="B209" s="104"/>
      <c r="C209" s="104"/>
      <c r="D209" s="105"/>
      <c r="E209" s="106"/>
      <c r="F209" s="107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6"/>
    </row>
    <row r="210" ht="15.75" customHeight="1">
      <c r="A210" s="109"/>
      <c r="B210" s="104"/>
      <c r="C210" s="104"/>
      <c r="D210" s="105"/>
      <c r="E210" s="106"/>
      <c r="F210" s="107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6"/>
    </row>
    <row r="211" ht="15.75" customHeight="1">
      <c r="A211" s="109"/>
      <c r="B211" s="104"/>
      <c r="C211" s="104"/>
      <c r="D211" s="105"/>
      <c r="E211" s="106"/>
      <c r="F211" s="107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6"/>
    </row>
    <row r="212" ht="15.75" customHeight="1">
      <c r="A212" s="109"/>
      <c r="B212" s="104"/>
      <c r="C212" s="104"/>
      <c r="D212" s="105"/>
      <c r="E212" s="106"/>
      <c r="F212" s="107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6"/>
    </row>
    <row r="213" ht="15.75" customHeight="1">
      <c r="A213" s="109"/>
      <c r="B213" s="104"/>
      <c r="C213" s="104"/>
      <c r="D213" s="105"/>
      <c r="E213" s="106"/>
      <c r="F213" s="107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6"/>
    </row>
    <row r="214" ht="15.75" customHeight="1">
      <c r="A214" s="109"/>
      <c r="B214" s="104"/>
      <c r="C214" s="104"/>
      <c r="D214" s="105"/>
      <c r="E214" s="106"/>
      <c r="F214" s="107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6"/>
    </row>
    <row r="215" ht="15.75" customHeight="1">
      <c r="A215" s="109"/>
      <c r="B215" s="104"/>
      <c r="C215" s="104"/>
      <c r="D215" s="105"/>
      <c r="E215" s="106"/>
      <c r="F215" s="107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6"/>
    </row>
    <row r="216" ht="15.75" customHeight="1">
      <c r="A216" s="109"/>
      <c r="B216" s="104"/>
      <c r="C216" s="104"/>
      <c r="D216" s="105"/>
      <c r="E216" s="106"/>
      <c r="F216" s="107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6"/>
    </row>
    <row r="217" ht="15.75" customHeight="1">
      <c r="A217" s="109"/>
      <c r="B217" s="104"/>
      <c r="C217" s="104"/>
      <c r="D217" s="105"/>
      <c r="E217" s="106"/>
      <c r="F217" s="107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6"/>
    </row>
    <row r="218" ht="15.75" customHeight="1">
      <c r="A218" s="109"/>
      <c r="B218" s="104"/>
      <c r="C218" s="104"/>
      <c r="D218" s="105"/>
      <c r="E218" s="106"/>
      <c r="F218" s="107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6"/>
    </row>
    <row r="219" ht="15.75" customHeight="1">
      <c r="A219" s="109"/>
      <c r="B219" s="104"/>
      <c r="C219" s="104"/>
      <c r="D219" s="105"/>
      <c r="E219" s="106"/>
      <c r="F219" s="107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6"/>
    </row>
    <row r="220" ht="15.75" customHeight="1">
      <c r="A220" s="109"/>
      <c r="B220" s="104"/>
      <c r="C220" s="104"/>
      <c r="D220" s="105"/>
      <c r="E220" s="106"/>
      <c r="F220" s="107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6"/>
    </row>
    <row r="221" ht="15.75" customHeight="1">
      <c r="A221" s="109"/>
      <c r="B221" s="104"/>
      <c r="C221" s="104"/>
      <c r="D221" s="105"/>
      <c r="E221" s="106"/>
      <c r="F221" s="107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6"/>
    </row>
    <row r="222" ht="15.75" customHeight="1">
      <c r="A222" s="109"/>
      <c r="B222" s="104"/>
      <c r="C222" s="104"/>
      <c r="D222" s="105"/>
      <c r="E222" s="106"/>
      <c r="F222" s="107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6"/>
    </row>
    <row r="223" ht="15.75" customHeight="1">
      <c r="A223" s="109"/>
      <c r="B223" s="104"/>
      <c r="C223" s="104"/>
      <c r="D223" s="105"/>
      <c r="E223" s="106"/>
      <c r="F223" s="107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6"/>
    </row>
    <row r="224" ht="15.75" customHeight="1">
      <c r="A224" s="109"/>
      <c r="B224" s="104"/>
      <c r="C224" s="104"/>
      <c r="D224" s="105"/>
      <c r="E224" s="106"/>
      <c r="F224" s="107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6"/>
    </row>
    <row r="225" ht="15.75" customHeight="1">
      <c r="A225" s="109"/>
      <c r="B225" s="104"/>
      <c r="C225" s="104"/>
      <c r="D225" s="105"/>
      <c r="E225" s="106"/>
      <c r="F225" s="107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6"/>
    </row>
    <row r="226" ht="15.75" customHeight="1">
      <c r="A226" s="109"/>
      <c r="B226" s="104"/>
      <c r="C226" s="104"/>
      <c r="D226" s="105"/>
      <c r="E226" s="106"/>
      <c r="F226" s="107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6"/>
    </row>
    <row r="227" ht="15.75" customHeight="1">
      <c r="A227" s="109"/>
      <c r="B227" s="104"/>
      <c r="C227" s="104"/>
      <c r="D227" s="105"/>
      <c r="E227" s="106"/>
      <c r="F227" s="107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6"/>
    </row>
    <row r="228" ht="15.75" customHeight="1">
      <c r="A228" s="109"/>
      <c r="B228" s="104"/>
      <c r="C228" s="104"/>
      <c r="D228" s="105"/>
      <c r="E228" s="106"/>
      <c r="F228" s="107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6"/>
    </row>
    <row r="229" ht="15.75" customHeight="1">
      <c r="A229" s="109"/>
      <c r="B229" s="104"/>
      <c r="C229" s="104"/>
      <c r="D229" s="105"/>
      <c r="E229" s="106"/>
      <c r="F229" s="107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6"/>
    </row>
    <row r="230" ht="15.75" customHeight="1">
      <c r="A230" s="109"/>
      <c r="B230" s="104"/>
      <c r="C230" s="104"/>
      <c r="D230" s="105"/>
      <c r="E230" s="106"/>
      <c r="F230" s="107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6"/>
    </row>
    <row r="231" ht="15.75" customHeight="1">
      <c r="A231" s="109"/>
      <c r="B231" s="104"/>
      <c r="C231" s="104"/>
      <c r="D231" s="105"/>
      <c r="E231" s="106"/>
      <c r="F231" s="107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6"/>
    </row>
    <row r="232" ht="15.75" customHeight="1">
      <c r="A232" s="109"/>
      <c r="B232" s="104"/>
      <c r="C232" s="104"/>
      <c r="D232" s="105"/>
      <c r="E232" s="106"/>
      <c r="F232" s="107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6"/>
    </row>
    <row r="233" ht="15.75" customHeight="1">
      <c r="A233" s="109"/>
      <c r="B233" s="104"/>
      <c r="C233" s="104"/>
      <c r="D233" s="105"/>
      <c r="E233" s="106"/>
      <c r="F233" s="107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6"/>
    </row>
    <row r="234" ht="15.75" customHeight="1">
      <c r="A234" s="109"/>
      <c r="B234" s="104"/>
      <c r="C234" s="104"/>
      <c r="D234" s="105"/>
      <c r="E234" s="106"/>
      <c r="F234" s="107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6"/>
    </row>
    <row r="235" ht="15.75" customHeight="1">
      <c r="A235" s="109"/>
      <c r="B235" s="104"/>
      <c r="C235" s="104"/>
      <c r="D235" s="105"/>
      <c r="E235" s="106"/>
      <c r="F235" s="107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6"/>
    </row>
    <row r="236" ht="15.75" customHeight="1">
      <c r="A236" s="109"/>
      <c r="B236" s="104"/>
      <c r="C236" s="104"/>
      <c r="D236" s="105"/>
      <c r="E236" s="106"/>
      <c r="F236" s="107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6"/>
    </row>
    <row r="237" ht="15.75" customHeight="1">
      <c r="A237" s="109"/>
      <c r="B237" s="104"/>
      <c r="C237" s="104"/>
      <c r="D237" s="105"/>
      <c r="E237" s="106"/>
      <c r="F237" s="107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6"/>
    </row>
    <row r="238" ht="15.75" customHeight="1">
      <c r="A238" s="109"/>
      <c r="B238" s="104"/>
      <c r="C238" s="104"/>
      <c r="D238" s="105"/>
      <c r="E238" s="106"/>
      <c r="F238" s="107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6"/>
    </row>
    <row r="239" ht="15.75" customHeight="1">
      <c r="A239" s="109"/>
      <c r="B239" s="104"/>
      <c r="C239" s="104"/>
      <c r="D239" s="105"/>
      <c r="E239" s="106"/>
      <c r="F239" s="107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6"/>
    </row>
    <row r="240" ht="15.75" customHeight="1">
      <c r="A240" s="109"/>
      <c r="B240" s="104"/>
      <c r="C240" s="104"/>
      <c r="D240" s="105"/>
      <c r="E240" s="106"/>
      <c r="F240" s="107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6"/>
    </row>
    <row r="241" ht="15.75" customHeight="1">
      <c r="A241" s="109"/>
      <c r="B241" s="104"/>
      <c r="C241" s="104"/>
      <c r="D241" s="105"/>
      <c r="E241" s="106"/>
      <c r="F241" s="107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6"/>
    </row>
    <row r="242" ht="15.75" customHeight="1">
      <c r="A242" s="109"/>
      <c r="B242" s="104"/>
      <c r="C242" s="104"/>
      <c r="D242" s="105"/>
      <c r="E242" s="106"/>
      <c r="F242" s="107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6"/>
    </row>
    <row r="243" ht="15.75" customHeight="1">
      <c r="A243" s="109"/>
      <c r="B243" s="104"/>
      <c r="C243" s="104"/>
      <c r="D243" s="105"/>
      <c r="E243" s="106"/>
      <c r="F243" s="107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6"/>
    </row>
    <row r="244" ht="15.75" customHeight="1">
      <c r="A244" s="109"/>
      <c r="B244" s="104"/>
      <c r="C244" s="104"/>
      <c r="D244" s="105"/>
      <c r="E244" s="106"/>
      <c r="F244" s="107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6"/>
    </row>
    <row r="245" ht="15.75" customHeight="1">
      <c r="A245" s="109"/>
      <c r="B245" s="104"/>
      <c r="C245" s="104"/>
      <c r="D245" s="105"/>
      <c r="E245" s="106"/>
      <c r="F245" s="107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6"/>
    </row>
    <row r="246" ht="15.75" customHeight="1">
      <c r="A246" s="109"/>
      <c r="B246" s="104"/>
      <c r="C246" s="104"/>
      <c r="D246" s="105"/>
      <c r="E246" s="106"/>
      <c r="F246" s="107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6"/>
    </row>
    <row r="247" ht="15.75" customHeight="1">
      <c r="A247" s="109"/>
      <c r="B247" s="104"/>
      <c r="C247" s="104"/>
      <c r="D247" s="105"/>
      <c r="E247" s="106"/>
      <c r="F247" s="107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6"/>
    </row>
    <row r="248" ht="15.75" customHeight="1">
      <c r="A248" s="109"/>
      <c r="B248" s="104"/>
      <c r="C248" s="104"/>
      <c r="D248" s="105"/>
      <c r="E248" s="106"/>
      <c r="F248" s="107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6"/>
    </row>
    <row r="249" ht="15.75" customHeight="1">
      <c r="A249" s="109"/>
      <c r="B249" s="104"/>
      <c r="C249" s="104"/>
      <c r="D249" s="105"/>
      <c r="E249" s="106"/>
      <c r="F249" s="107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6"/>
    </row>
    <row r="250" ht="15.75" customHeight="1">
      <c r="A250" s="109"/>
      <c r="B250" s="104"/>
      <c r="C250" s="104"/>
      <c r="D250" s="105"/>
      <c r="E250" s="106"/>
      <c r="F250" s="107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6"/>
    </row>
    <row r="251" ht="15.75" customHeight="1">
      <c r="A251" s="109"/>
      <c r="B251" s="104"/>
      <c r="C251" s="104"/>
      <c r="D251" s="105"/>
      <c r="E251" s="106"/>
      <c r="F251" s="107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6"/>
    </row>
    <row r="252" ht="15.75" customHeight="1">
      <c r="A252" s="109"/>
      <c r="B252" s="104"/>
      <c r="C252" s="104"/>
      <c r="D252" s="105"/>
      <c r="E252" s="106"/>
      <c r="F252" s="107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6"/>
    </row>
    <row r="253" ht="15.75" customHeight="1">
      <c r="A253" s="109"/>
      <c r="B253" s="104"/>
      <c r="C253" s="104"/>
      <c r="D253" s="105"/>
      <c r="E253" s="106"/>
      <c r="F253" s="107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6"/>
    </row>
    <row r="254" ht="15.75" customHeight="1">
      <c r="A254" s="109"/>
      <c r="B254" s="104"/>
      <c r="C254" s="104"/>
      <c r="D254" s="105"/>
      <c r="E254" s="106"/>
      <c r="F254" s="107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6"/>
    </row>
    <row r="255" ht="15.75" customHeight="1">
      <c r="A255" s="109"/>
      <c r="B255" s="104"/>
      <c r="C255" s="104"/>
      <c r="D255" s="105"/>
      <c r="E255" s="106"/>
      <c r="F255" s="107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6"/>
    </row>
    <row r="256" ht="15.75" customHeight="1">
      <c r="A256" s="109"/>
      <c r="B256" s="104"/>
      <c r="C256" s="104"/>
      <c r="D256" s="105"/>
      <c r="E256" s="106"/>
      <c r="F256" s="107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6"/>
    </row>
    <row r="257" ht="15.75" customHeight="1">
      <c r="A257" s="109"/>
      <c r="B257" s="104"/>
      <c r="C257" s="104"/>
      <c r="D257" s="105"/>
      <c r="E257" s="106"/>
      <c r="F257" s="107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6"/>
    </row>
    <row r="258" ht="15.75" customHeight="1">
      <c r="A258" s="109"/>
      <c r="B258" s="104"/>
      <c r="C258" s="104"/>
      <c r="D258" s="105"/>
      <c r="E258" s="106"/>
      <c r="F258" s="107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6"/>
    </row>
    <row r="259" ht="15.75" customHeight="1">
      <c r="A259" s="109"/>
      <c r="B259" s="104"/>
      <c r="C259" s="104"/>
      <c r="D259" s="105"/>
      <c r="E259" s="106"/>
      <c r="F259" s="107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6"/>
    </row>
    <row r="260" ht="15.75" customHeight="1">
      <c r="A260" s="109"/>
      <c r="B260" s="104"/>
      <c r="C260" s="104"/>
      <c r="D260" s="105"/>
      <c r="E260" s="106"/>
      <c r="F260" s="107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6"/>
    </row>
    <row r="261" ht="15.75" customHeight="1">
      <c r="A261" s="109"/>
      <c r="B261" s="104"/>
      <c r="C261" s="104"/>
      <c r="D261" s="105"/>
      <c r="E261" s="106"/>
      <c r="F261" s="107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6"/>
    </row>
    <row r="262" ht="15.75" customHeight="1">
      <c r="A262" s="109"/>
      <c r="B262" s="104"/>
      <c r="C262" s="104"/>
      <c r="D262" s="105"/>
      <c r="E262" s="106"/>
      <c r="F262" s="107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6"/>
    </row>
    <row r="263" ht="15.75" customHeight="1">
      <c r="A263" s="109"/>
      <c r="B263" s="104"/>
      <c r="C263" s="104"/>
      <c r="D263" s="105"/>
      <c r="E263" s="106"/>
      <c r="F263" s="107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6"/>
    </row>
    <row r="264" ht="15.75" customHeight="1">
      <c r="A264" s="109"/>
      <c r="B264" s="104"/>
      <c r="C264" s="104"/>
      <c r="D264" s="105"/>
      <c r="E264" s="106"/>
      <c r="F264" s="107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6"/>
    </row>
    <row r="265" ht="15.75" customHeight="1">
      <c r="A265" s="109"/>
      <c r="B265" s="104"/>
      <c r="C265" s="104"/>
      <c r="D265" s="105"/>
      <c r="E265" s="106"/>
      <c r="F265" s="107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6"/>
    </row>
    <row r="266" ht="15.75" customHeight="1">
      <c r="A266" s="109"/>
      <c r="B266" s="104"/>
      <c r="C266" s="104"/>
      <c r="D266" s="105"/>
      <c r="E266" s="106"/>
      <c r="F266" s="107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6"/>
    </row>
    <row r="267" ht="15.75" customHeight="1">
      <c r="A267" s="109"/>
      <c r="B267" s="104"/>
      <c r="C267" s="104"/>
      <c r="D267" s="105"/>
      <c r="E267" s="106"/>
      <c r="F267" s="107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6"/>
    </row>
    <row r="268" ht="15.75" customHeight="1">
      <c r="A268" s="109"/>
      <c r="B268" s="104"/>
      <c r="C268" s="104"/>
      <c r="D268" s="105"/>
      <c r="E268" s="106"/>
      <c r="F268" s="107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6"/>
    </row>
    <row r="269" ht="15.75" customHeight="1">
      <c r="A269" s="109"/>
      <c r="B269" s="104"/>
      <c r="C269" s="104"/>
      <c r="D269" s="105"/>
      <c r="E269" s="106"/>
      <c r="F269" s="107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6"/>
    </row>
    <row r="270" ht="15.75" customHeight="1">
      <c r="A270" s="109"/>
      <c r="B270" s="104"/>
      <c r="C270" s="104"/>
      <c r="D270" s="105"/>
      <c r="E270" s="106"/>
      <c r="F270" s="107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6"/>
    </row>
    <row r="271" ht="15.75" customHeight="1">
      <c r="A271" s="109"/>
      <c r="B271" s="104"/>
      <c r="C271" s="104"/>
      <c r="D271" s="105"/>
      <c r="E271" s="106"/>
      <c r="F271" s="107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6"/>
    </row>
    <row r="272" ht="15.75" customHeight="1">
      <c r="A272" s="109"/>
      <c r="B272" s="104"/>
      <c r="C272" s="104"/>
      <c r="D272" s="105"/>
      <c r="E272" s="106"/>
      <c r="F272" s="107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6"/>
    </row>
    <row r="273" ht="15.75" customHeight="1">
      <c r="A273" s="109"/>
      <c r="B273" s="104"/>
      <c r="C273" s="104"/>
      <c r="D273" s="105"/>
      <c r="E273" s="106"/>
      <c r="F273" s="107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6"/>
    </row>
    <row r="274" ht="15.75" customHeight="1">
      <c r="A274" s="109"/>
      <c r="B274" s="104"/>
      <c r="C274" s="104"/>
      <c r="D274" s="105"/>
      <c r="E274" s="106"/>
      <c r="F274" s="107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6"/>
    </row>
    <row r="275" ht="15.75" customHeight="1">
      <c r="A275" s="109"/>
      <c r="B275" s="104"/>
      <c r="C275" s="104"/>
      <c r="D275" s="105"/>
      <c r="E275" s="106"/>
      <c r="F275" s="107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6"/>
    </row>
    <row r="276" ht="15.75" customHeight="1">
      <c r="A276" s="109"/>
      <c r="B276" s="104"/>
      <c r="C276" s="104"/>
      <c r="D276" s="105"/>
      <c r="E276" s="106"/>
      <c r="F276" s="107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6"/>
    </row>
    <row r="277" ht="15.75" customHeight="1">
      <c r="A277" s="109"/>
      <c r="B277" s="104"/>
      <c r="C277" s="104"/>
      <c r="D277" s="105"/>
      <c r="E277" s="106"/>
      <c r="F277" s="107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6"/>
    </row>
    <row r="278" ht="15.75" customHeight="1">
      <c r="A278" s="109"/>
      <c r="B278" s="104"/>
      <c r="C278" s="104"/>
      <c r="D278" s="105"/>
      <c r="E278" s="106"/>
      <c r="F278" s="107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6"/>
    </row>
    <row r="279" ht="15.75" customHeight="1">
      <c r="A279" s="109"/>
      <c r="B279" s="104"/>
      <c r="C279" s="104"/>
      <c r="D279" s="105"/>
      <c r="E279" s="106"/>
      <c r="F279" s="107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6"/>
    </row>
    <row r="280" ht="15.75" customHeight="1">
      <c r="A280" s="109"/>
      <c r="B280" s="104"/>
      <c r="C280" s="104"/>
      <c r="D280" s="105"/>
      <c r="E280" s="106"/>
      <c r="F280" s="107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6"/>
    </row>
    <row r="281" ht="15.75" customHeight="1">
      <c r="A281" s="109"/>
      <c r="B281" s="104"/>
      <c r="C281" s="104"/>
      <c r="D281" s="105"/>
      <c r="E281" s="106"/>
      <c r="F281" s="107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6"/>
    </row>
    <row r="282" ht="15.75" customHeight="1">
      <c r="A282" s="109"/>
      <c r="B282" s="104"/>
      <c r="C282" s="104"/>
      <c r="D282" s="105"/>
      <c r="E282" s="106"/>
      <c r="F282" s="107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6"/>
    </row>
    <row r="283" ht="15.75" customHeight="1">
      <c r="A283" s="109"/>
      <c r="B283" s="104"/>
      <c r="C283" s="104"/>
      <c r="D283" s="105"/>
      <c r="E283" s="106"/>
      <c r="F283" s="107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6"/>
    </row>
    <row r="284" ht="15.75" customHeight="1">
      <c r="A284" s="109"/>
      <c r="B284" s="104"/>
      <c r="C284" s="104"/>
      <c r="D284" s="105"/>
      <c r="E284" s="106"/>
      <c r="F284" s="107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6"/>
    </row>
    <row r="285" ht="15.75" customHeight="1">
      <c r="A285" s="109"/>
      <c r="B285" s="104"/>
      <c r="C285" s="104"/>
      <c r="D285" s="105"/>
      <c r="E285" s="106"/>
      <c r="F285" s="107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6"/>
    </row>
    <row r="286" ht="15.75" customHeight="1">
      <c r="A286" s="109"/>
      <c r="B286" s="104"/>
      <c r="C286" s="104"/>
      <c r="D286" s="105"/>
      <c r="E286" s="106"/>
      <c r="F286" s="107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6"/>
    </row>
    <row r="287" ht="15.75" customHeight="1">
      <c r="A287" s="109"/>
      <c r="B287" s="104"/>
      <c r="C287" s="104"/>
      <c r="D287" s="105"/>
      <c r="E287" s="106"/>
      <c r="F287" s="107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6"/>
    </row>
    <row r="288" ht="15.75" customHeight="1">
      <c r="A288" s="109"/>
      <c r="B288" s="104"/>
      <c r="C288" s="104"/>
      <c r="D288" s="105"/>
      <c r="E288" s="106"/>
      <c r="F288" s="107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6"/>
    </row>
    <row r="289" ht="15.75" customHeight="1">
      <c r="A289" s="109"/>
      <c r="B289" s="104"/>
      <c r="C289" s="104"/>
      <c r="D289" s="105"/>
      <c r="E289" s="106"/>
      <c r="F289" s="107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6"/>
    </row>
    <row r="290" ht="15.75" customHeight="1">
      <c r="A290" s="109"/>
      <c r="B290" s="104"/>
      <c r="C290" s="104"/>
      <c r="D290" s="105"/>
      <c r="E290" s="106"/>
      <c r="F290" s="107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6"/>
    </row>
    <row r="291" ht="15.75" customHeight="1">
      <c r="A291" s="109"/>
      <c r="B291" s="104"/>
      <c r="C291" s="104"/>
      <c r="D291" s="105"/>
      <c r="E291" s="106"/>
      <c r="F291" s="107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6"/>
    </row>
    <row r="292" ht="15.75" customHeight="1">
      <c r="A292" s="109"/>
      <c r="B292" s="104"/>
      <c r="C292" s="104"/>
      <c r="D292" s="105"/>
      <c r="E292" s="106"/>
      <c r="F292" s="107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6"/>
    </row>
    <row r="293" ht="15.75" customHeight="1">
      <c r="A293" s="109"/>
      <c r="B293" s="104"/>
      <c r="C293" s="104"/>
      <c r="D293" s="105"/>
      <c r="E293" s="106"/>
      <c r="F293" s="107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6"/>
    </row>
    <row r="294" ht="15.75" customHeight="1">
      <c r="A294" s="109"/>
      <c r="B294" s="104"/>
      <c r="C294" s="104"/>
      <c r="D294" s="105"/>
      <c r="E294" s="106"/>
      <c r="F294" s="107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6"/>
    </row>
    <row r="295" ht="15.75" customHeight="1">
      <c r="A295" s="109"/>
      <c r="B295" s="104"/>
      <c r="C295" s="104"/>
      <c r="D295" s="105"/>
      <c r="E295" s="106"/>
      <c r="F295" s="107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6"/>
    </row>
    <row r="296" ht="15.75" customHeight="1">
      <c r="A296" s="109"/>
      <c r="B296" s="104"/>
      <c r="C296" s="104"/>
      <c r="D296" s="105"/>
      <c r="E296" s="106"/>
      <c r="F296" s="107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6"/>
    </row>
    <row r="297" ht="15.75" customHeight="1">
      <c r="A297" s="109"/>
      <c r="B297" s="104"/>
      <c r="C297" s="104"/>
      <c r="D297" s="105"/>
      <c r="E297" s="106"/>
      <c r="F297" s="107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6"/>
    </row>
    <row r="298" ht="15.75" customHeight="1">
      <c r="A298" s="109"/>
      <c r="B298" s="104"/>
      <c r="C298" s="104"/>
      <c r="D298" s="105"/>
      <c r="E298" s="106"/>
      <c r="F298" s="107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6"/>
    </row>
    <row r="299" ht="15.75" customHeight="1">
      <c r="A299" s="109"/>
      <c r="B299" s="104"/>
      <c r="C299" s="104"/>
      <c r="D299" s="105"/>
      <c r="E299" s="106"/>
      <c r="F299" s="107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6"/>
    </row>
    <row r="300" ht="15.75" customHeight="1">
      <c r="A300" s="109"/>
      <c r="B300" s="104"/>
      <c r="C300" s="104"/>
      <c r="D300" s="105"/>
      <c r="E300" s="106"/>
      <c r="F300" s="107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6"/>
    </row>
    <row r="301" ht="15.75" customHeight="1">
      <c r="A301" s="109"/>
      <c r="B301" s="104"/>
      <c r="C301" s="104"/>
      <c r="D301" s="105"/>
      <c r="E301" s="106"/>
      <c r="F301" s="107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6"/>
    </row>
    <row r="302" ht="15.75" customHeight="1">
      <c r="A302" s="109"/>
      <c r="B302" s="104"/>
      <c r="C302" s="104"/>
      <c r="D302" s="105"/>
      <c r="E302" s="106"/>
      <c r="F302" s="107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6"/>
    </row>
    <row r="303" ht="15.75" customHeight="1">
      <c r="A303" s="109"/>
      <c r="B303" s="104"/>
      <c r="C303" s="104"/>
      <c r="D303" s="105"/>
      <c r="E303" s="106"/>
      <c r="F303" s="107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6"/>
    </row>
    <row r="304" ht="15.75" customHeight="1">
      <c r="A304" s="109"/>
      <c r="B304" s="104"/>
      <c r="C304" s="104"/>
      <c r="D304" s="105"/>
      <c r="E304" s="106"/>
      <c r="F304" s="107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6"/>
    </row>
    <row r="305" ht="15.75" customHeight="1">
      <c r="A305" s="109"/>
      <c r="B305" s="104"/>
      <c r="C305" s="104"/>
      <c r="D305" s="105"/>
      <c r="E305" s="106"/>
      <c r="F305" s="107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6"/>
    </row>
    <row r="306" ht="15.75" customHeight="1">
      <c r="A306" s="109"/>
      <c r="B306" s="104"/>
      <c r="C306" s="104"/>
      <c r="D306" s="105"/>
      <c r="E306" s="106"/>
      <c r="F306" s="107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6"/>
    </row>
    <row r="307" ht="15.75" customHeight="1">
      <c r="A307" s="109"/>
      <c r="B307" s="104"/>
      <c r="C307" s="104"/>
      <c r="D307" s="105"/>
      <c r="E307" s="106"/>
      <c r="F307" s="107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6"/>
    </row>
    <row r="308" ht="15.75" customHeight="1">
      <c r="A308" s="109"/>
      <c r="B308" s="104"/>
      <c r="C308" s="104"/>
      <c r="D308" s="105"/>
      <c r="E308" s="106"/>
      <c r="F308" s="107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6"/>
    </row>
    <row r="309" ht="15.75" customHeight="1">
      <c r="A309" s="109"/>
      <c r="B309" s="104"/>
      <c r="C309" s="104"/>
      <c r="D309" s="105"/>
      <c r="E309" s="106"/>
      <c r="F309" s="107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6"/>
    </row>
    <row r="310" ht="15.75" customHeight="1">
      <c r="A310" s="109"/>
      <c r="B310" s="104"/>
      <c r="C310" s="104"/>
      <c r="D310" s="105"/>
      <c r="E310" s="106"/>
      <c r="F310" s="107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6"/>
    </row>
    <row r="311" ht="15.75" customHeight="1">
      <c r="A311" s="109"/>
      <c r="B311" s="104"/>
      <c r="C311" s="104"/>
      <c r="D311" s="105"/>
      <c r="E311" s="106"/>
      <c r="F311" s="107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6"/>
    </row>
    <row r="312" ht="15.75" customHeight="1">
      <c r="A312" s="109"/>
      <c r="B312" s="104"/>
      <c r="C312" s="104"/>
      <c r="D312" s="105"/>
      <c r="E312" s="106"/>
      <c r="F312" s="107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6"/>
    </row>
    <row r="313" ht="15.75" customHeight="1">
      <c r="A313" s="109"/>
      <c r="B313" s="104"/>
      <c r="C313" s="104"/>
      <c r="D313" s="105"/>
      <c r="E313" s="106"/>
      <c r="F313" s="107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6"/>
    </row>
    <row r="314" ht="15.75" customHeight="1">
      <c r="A314" s="109"/>
      <c r="B314" s="104"/>
      <c r="C314" s="104"/>
      <c r="D314" s="105"/>
      <c r="E314" s="106"/>
      <c r="F314" s="107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6"/>
    </row>
    <row r="315" ht="15.75" customHeight="1">
      <c r="A315" s="109"/>
      <c r="B315" s="104"/>
      <c r="C315" s="104"/>
      <c r="D315" s="105"/>
      <c r="E315" s="106"/>
      <c r="F315" s="107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6"/>
    </row>
    <row r="316" ht="15.75" customHeight="1">
      <c r="A316" s="109"/>
      <c r="B316" s="104"/>
      <c r="C316" s="104"/>
      <c r="D316" s="105"/>
      <c r="E316" s="106"/>
      <c r="F316" s="107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6"/>
    </row>
    <row r="317" ht="15.75" customHeight="1">
      <c r="A317" s="109"/>
      <c r="B317" s="104"/>
      <c r="C317" s="104"/>
      <c r="D317" s="105"/>
      <c r="E317" s="106"/>
      <c r="F317" s="107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6"/>
    </row>
    <row r="318" ht="15.75" customHeight="1">
      <c r="A318" s="109"/>
      <c r="B318" s="104"/>
      <c r="C318" s="104"/>
      <c r="D318" s="105"/>
      <c r="E318" s="106"/>
      <c r="F318" s="107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6"/>
    </row>
    <row r="319" ht="15.75" customHeight="1">
      <c r="A319" s="109"/>
      <c r="B319" s="104"/>
      <c r="C319" s="104"/>
      <c r="D319" s="105"/>
      <c r="E319" s="106"/>
      <c r="F319" s="107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6"/>
    </row>
    <row r="320" ht="15.75" customHeight="1">
      <c r="A320" s="109"/>
      <c r="B320" s="104"/>
      <c r="C320" s="104"/>
      <c r="D320" s="105"/>
      <c r="E320" s="106"/>
      <c r="F320" s="107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6"/>
    </row>
    <row r="321" ht="15.75" customHeight="1">
      <c r="A321" s="109"/>
      <c r="B321" s="104"/>
      <c r="C321" s="104"/>
      <c r="D321" s="105"/>
      <c r="E321" s="106"/>
      <c r="F321" s="107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6"/>
    </row>
    <row r="322" ht="15.75" customHeight="1">
      <c r="A322" s="109"/>
      <c r="B322" s="104"/>
      <c r="C322" s="104"/>
      <c r="D322" s="105"/>
      <c r="E322" s="106"/>
      <c r="F322" s="107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6"/>
    </row>
    <row r="323" ht="15.75" customHeight="1">
      <c r="A323" s="109"/>
      <c r="B323" s="104"/>
      <c r="C323" s="104"/>
      <c r="D323" s="105"/>
      <c r="E323" s="106"/>
      <c r="F323" s="107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6"/>
    </row>
    <row r="324" ht="15.75" customHeight="1">
      <c r="A324" s="109"/>
      <c r="B324" s="104"/>
      <c r="C324" s="104"/>
      <c r="D324" s="105"/>
      <c r="E324" s="106"/>
      <c r="F324" s="107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6"/>
    </row>
    <row r="325" ht="15.75" customHeight="1">
      <c r="A325" s="109"/>
      <c r="B325" s="104"/>
      <c r="C325" s="104"/>
      <c r="D325" s="105"/>
      <c r="E325" s="106"/>
      <c r="F325" s="107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6"/>
    </row>
    <row r="326" ht="15.75" customHeight="1">
      <c r="A326" s="109"/>
      <c r="B326" s="104"/>
      <c r="C326" s="104"/>
      <c r="D326" s="105"/>
      <c r="E326" s="106"/>
      <c r="F326" s="107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6"/>
    </row>
    <row r="327" ht="15.75" customHeight="1">
      <c r="A327" s="109"/>
      <c r="B327" s="104"/>
      <c r="C327" s="104"/>
      <c r="D327" s="105"/>
      <c r="E327" s="106"/>
      <c r="F327" s="107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6"/>
    </row>
    <row r="328" ht="15.75" customHeight="1">
      <c r="A328" s="109"/>
      <c r="B328" s="104"/>
      <c r="C328" s="104"/>
      <c r="D328" s="105"/>
      <c r="E328" s="106"/>
      <c r="F328" s="107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6"/>
    </row>
    <row r="329" ht="15.75" customHeight="1">
      <c r="A329" s="109"/>
      <c r="B329" s="104"/>
      <c r="C329" s="104"/>
      <c r="D329" s="105"/>
      <c r="E329" s="106"/>
      <c r="F329" s="107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6"/>
    </row>
    <row r="330" ht="15.75" customHeight="1">
      <c r="A330" s="109"/>
      <c r="B330" s="104"/>
      <c r="C330" s="104"/>
      <c r="D330" s="105"/>
      <c r="E330" s="106"/>
      <c r="F330" s="107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6"/>
    </row>
    <row r="331" ht="15.75" customHeight="1">
      <c r="A331" s="109"/>
      <c r="B331" s="104"/>
      <c r="C331" s="104"/>
      <c r="D331" s="105"/>
      <c r="E331" s="106"/>
      <c r="F331" s="107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6"/>
    </row>
    <row r="332" ht="15.75" customHeight="1">
      <c r="A332" s="109"/>
      <c r="B332" s="104"/>
      <c r="C332" s="104"/>
      <c r="D332" s="105"/>
      <c r="E332" s="106"/>
      <c r="F332" s="107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6"/>
    </row>
    <row r="333" ht="15.75" customHeight="1">
      <c r="A333" s="109"/>
      <c r="B333" s="104"/>
      <c r="C333" s="104"/>
      <c r="D333" s="105"/>
      <c r="E333" s="106"/>
      <c r="F333" s="107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6"/>
    </row>
    <row r="334" ht="15.75" customHeight="1">
      <c r="A334" s="109"/>
      <c r="B334" s="104"/>
      <c r="C334" s="104"/>
      <c r="D334" s="105"/>
      <c r="E334" s="106"/>
      <c r="F334" s="107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6"/>
    </row>
    <row r="335" ht="15.75" customHeight="1">
      <c r="A335" s="109"/>
      <c r="B335" s="104"/>
      <c r="C335" s="104"/>
      <c r="D335" s="105"/>
      <c r="E335" s="106"/>
      <c r="F335" s="107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6"/>
    </row>
    <row r="336" ht="15.75" customHeight="1">
      <c r="A336" s="109"/>
      <c r="B336" s="104"/>
      <c r="C336" s="104"/>
      <c r="D336" s="105"/>
      <c r="E336" s="106"/>
      <c r="F336" s="107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6"/>
    </row>
    <row r="337" ht="15.75" customHeight="1">
      <c r="A337" s="109"/>
      <c r="B337" s="104"/>
      <c r="C337" s="104"/>
      <c r="D337" s="105"/>
      <c r="E337" s="106"/>
      <c r="F337" s="107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6"/>
    </row>
    <row r="338" ht="15.75" customHeight="1">
      <c r="A338" s="109"/>
      <c r="B338" s="104"/>
      <c r="C338" s="104"/>
      <c r="D338" s="105"/>
      <c r="E338" s="106"/>
      <c r="F338" s="107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6"/>
    </row>
    <row r="339" ht="15.75" customHeight="1">
      <c r="A339" s="109"/>
      <c r="B339" s="104"/>
      <c r="C339" s="104"/>
      <c r="D339" s="105"/>
      <c r="E339" s="106"/>
      <c r="F339" s="107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6"/>
    </row>
    <row r="340" ht="15.75" customHeight="1">
      <c r="A340" s="109"/>
      <c r="B340" s="104"/>
      <c r="C340" s="104"/>
      <c r="D340" s="105"/>
      <c r="E340" s="106"/>
      <c r="F340" s="107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6"/>
    </row>
    <row r="341" ht="15.75" customHeight="1">
      <c r="A341" s="109"/>
      <c r="B341" s="104"/>
      <c r="C341" s="104"/>
      <c r="D341" s="105"/>
      <c r="E341" s="106"/>
      <c r="F341" s="107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6"/>
    </row>
    <row r="342" ht="15.75" customHeight="1">
      <c r="A342" s="109"/>
      <c r="B342" s="104"/>
      <c r="C342" s="104"/>
      <c r="D342" s="105"/>
      <c r="E342" s="106"/>
      <c r="F342" s="107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6"/>
    </row>
    <row r="343" ht="15.75" customHeight="1">
      <c r="A343" s="109"/>
      <c r="B343" s="104"/>
      <c r="C343" s="104"/>
      <c r="D343" s="105"/>
      <c r="E343" s="106"/>
      <c r="F343" s="107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6"/>
    </row>
    <row r="344" ht="15.75" customHeight="1">
      <c r="A344" s="109"/>
      <c r="B344" s="104"/>
      <c r="C344" s="104"/>
      <c r="D344" s="105"/>
      <c r="E344" s="106"/>
      <c r="F344" s="107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6"/>
    </row>
    <row r="345" ht="15.75" customHeight="1">
      <c r="A345" s="109"/>
      <c r="B345" s="104"/>
      <c r="C345" s="104"/>
      <c r="D345" s="105"/>
      <c r="E345" s="106"/>
      <c r="F345" s="107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6"/>
    </row>
    <row r="346" ht="15.75" customHeight="1">
      <c r="A346" s="109"/>
      <c r="B346" s="104"/>
      <c r="C346" s="104"/>
      <c r="D346" s="105"/>
      <c r="E346" s="106"/>
      <c r="F346" s="107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6"/>
    </row>
    <row r="347" ht="15.75" customHeight="1">
      <c r="A347" s="109"/>
      <c r="B347" s="104"/>
      <c r="C347" s="104"/>
      <c r="D347" s="105"/>
      <c r="E347" s="106"/>
      <c r="F347" s="107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6"/>
    </row>
    <row r="348" ht="15.75" customHeight="1">
      <c r="A348" s="109"/>
      <c r="B348" s="104"/>
      <c r="C348" s="104"/>
      <c r="D348" s="105"/>
      <c r="E348" s="106"/>
      <c r="F348" s="107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6"/>
    </row>
    <row r="349" ht="15.75" customHeight="1">
      <c r="A349" s="109"/>
      <c r="B349" s="104"/>
      <c r="C349" s="104"/>
      <c r="D349" s="105"/>
      <c r="E349" s="106"/>
      <c r="F349" s="107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6"/>
    </row>
    <row r="350" ht="15.75" customHeight="1">
      <c r="A350" s="109"/>
      <c r="B350" s="104"/>
      <c r="C350" s="104"/>
      <c r="D350" s="105"/>
      <c r="E350" s="106"/>
      <c r="F350" s="107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6"/>
    </row>
    <row r="351" ht="15.75" customHeight="1">
      <c r="A351" s="109"/>
      <c r="B351" s="104"/>
      <c r="C351" s="104"/>
      <c r="D351" s="105"/>
      <c r="E351" s="106"/>
      <c r="F351" s="107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6"/>
    </row>
    <row r="352" ht="15.75" customHeight="1">
      <c r="A352" s="109"/>
      <c r="B352" s="104"/>
      <c r="C352" s="104"/>
      <c r="D352" s="105"/>
      <c r="E352" s="106"/>
      <c r="F352" s="107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6"/>
    </row>
    <row r="353" ht="15.75" customHeight="1">
      <c r="A353" s="109"/>
      <c r="B353" s="104"/>
      <c r="C353" s="104"/>
      <c r="D353" s="105"/>
      <c r="E353" s="106"/>
      <c r="F353" s="107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6"/>
    </row>
    <row r="354" ht="15.75" customHeight="1">
      <c r="A354" s="109"/>
      <c r="B354" s="104"/>
      <c r="C354" s="104"/>
      <c r="D354" s="105"/>
      <c r="E354" s="106"/>
      <c r="F354" s="107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6"/>
    </row>
    <row r="355" ht="15.75" customHeight="1">
      <c r="A355" s="109"/>
      <c r="B355" s="104"/>
      <c r="C355" s="104"/>
      <c r="D355" s="105"/>
      <c r="E355" s="106"/>
      <c r="F355" s="107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6"/>
    </row>
    <row r="356" ht="15.75" customHeight="1">
      <c r="A356" s="109"/>
      <c r="B356" s="104"/>
      <c r="C356" s="104"/>
      <c r="D356" s="105"/>
      <c r="E356" s="106"/>
      <c r="F356" s="107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6"/>
    </row>
    <row r="357" ht="15.75" customHeight="1">
      <c r="A357" s="109"/>
      <c r="B357" s="104"/>
      <c r="C357" s="104"/>
      <c r="D357" s="105"/>
      <c r="E357" s="106"/>
      <c r="F357" s="107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6"/>
    </row>
    <row r="358" ht="15.75" customHeight="1">
      <c r="A358" s="109"/>
      <c r="B358" s="104"/>
      <c r="C358" s="104"/>
      <c r="D358" s="105"/>
      <c r="E358" s="106"/>
      <c r="F358" s="107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6"/>
    </row>
    <row r="359" ht="15.75" customHeight="1">
      <c r="A359" s="109"/>
      <c r="B359" s="104"/>
      <c r="C359" s="104"/>
      <c r="D359" s="105"/>
      <c r="E359" s="106"/>
      <c r="F359" s="107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6"/>
    </row>
    <row r="360" ht="15.75" customHeight="1">
      <c r="A360" s="109"/>
      <c r="B360" s="104"/>
      <c r="C360" s="104"/>
      <c r="D360" s="105"/>
      <c r="E360" s="106"/>
      <c r="F360" s="107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6"/>
    </row>
    <row r="361" ht="15.75" customHeight="1">
      <c r="A361" s="109"/>
      <c r="B361" s="104"/>
      <c r="C361" s="104"/>
      <c r="D361" s="105"/>
      <c r="E361" s="106"/>
      <c r="F361" s="107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6"/>
    </row>
    <row r="362" ht="15.75" customHeight="1">
      <c r="A362" s="109"/>
      <c r="B362" s="104"/>
      <c r="C362" s="104"/>
      <c r="D362" s="105"/>
      <c r="E362" s="106"/>
      <c r="F362" s="107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6"/>
    </row>
    <row r="363" ht="15.75" customHeight="1">
      <c r="A363" s="109"/>
      <c r="B363" s="104"/>
      <c r="C363" s="104"/>
      <c r="D363" s="105"/>
      <c r="E363" s="106"/>
      <c r="F363" s="107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6"/>
    </row>
    <row r="364" ht="15.75" customHeight="1">
      <c r="A364" s="109"/>
      <c r="B364" s="104"/>
      <c r="C364" s="104"/>
      <c r="D364" s="105"/>
      <c r="E364" s="106"/>
      <c r="F364" s="107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6"/>
    </row>
    <row r="365" ht="15.75" customHeight="1">
      <c r="A365" s="109"/>
      <c r="B365" s="104"/>
      <c r="C365" s="104"/>
      <c r="D365" s="105"/>
      <c r="E365" s="106"/>
      <c r="F365" s="107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6"/>
    </row>
    <row r="366" ht="15.75" customHeight="1">
      <c r="A366" s="109"/>
      <c r="B366" s="104"/>
      <c r="C366" s="104"/>
      <c r="D366" s="105"/>
      <c r="E366" s="106"/>
      <c r="F366" s="107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6"/>
    </row>
    <row r="367" ht="15.75" customHeight="1">
      <c r="A367" s="109"/>
      <c r="B367" s="104"/>
      <c r="C367" s="104"/>
      <c r="D367" s="105"/>
      <c r="E367" s="106"/>
      <c r="F367" s="107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6"/>
    </row>
    <row r="368" ht="15.75" customHeight="1">
      <c r="A368" s="109"/>
      <c r="B368" s="104"/>
      <c r="C368" s="104"/>
      <c r="D368" s="105"/>
      <c r="E368" s="106"/>
      <c r="F368" s="107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6"/>
    </row>
    <row r="369" ht="15.75" customHeight="1">
      <c r="A369" s="109"/>
      <c r="B369" s="104"/>
      <c r="C369" s="104"/>
      <c r="D369" s="105"/>
      <c r="E369" s="106"/>
      <c r="F369" s="107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6"/>
    </row>
    <row r="370" ht="15.75" customHeight="1">
      <c r="A370" s="109"/>
      <c r="B370" s="104"/>
      <c r="C370" s="104"/>
      <c r="D370" s="105"/>
      <c r="E370" s="106"/>
      <c r="F370" s="107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6"/>
    </row>
    <row r="371" ht="15.75" customHeight="1">
      <c r="A371" s="109"/>
      <c r="B371" s="104"/>
      <c r="C371" s="104"/>
      <c r="D371" s="105"/>
      <c r="E371" s="106"/>
      <c r="F371" s="107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6"/>
    </row>
    <row r="372" ht="15.75" customHeight="1">
      <c r="A372" s="109"/>
      <c r="B372" s="104"/>
      <c r="C372" s="104"/>
      <c r="D372" s="105"/>
      <c r="E372" s="106"/>
      <c r="F372" s="107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6"/>
    </row>
    <row r="373" ht="15.75" customHeight="1">
      <c r="A373" s="109"/>
      <c r="B373" s="104"/>
      <c r="C373" s="104"/>
      <c r="D373" s="105"/>
      <c r="E373" s="106"/>
      <c r="F373" s="107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6"/>
    </row>
    <row r="374" ht="15.75" customHeight="1">
      <c r="A374" s="109"/>
      <c r="B374" s="104"/>
      <c r="C374" s="104"/>
      <c r="D374" s="105"/>
      <c r="E374" s="106"/>
      <c r="F374" s="107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6"/>
    </row>
    <row r="375" ht="15.75" customHeight="1">
      <c r="A375" s="109"/>
      <c r="B375" s="104"/>
      <c r="C375" s="104"/>
      <c r="D375" s="105"/>
      <c r="E375" s="106"/>
      <c r="F375" s="107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6"/>
    </row>
    <row r="376" ht="15.75" customHeight="1">
      <c r="A376" s="109"/>
      <c r="B376" s="104"/>
      <c r="C376" s="104"/>
      <c r="D376" s="105"/>
      <c r="E376" s="106"/>
      <c r="F376" s="107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6"/>
    </row>
    <row r="377" ht="15.75" customHeight="1">
      <c r="A377" s="109"/>
      <c r="B377" s="104"/>
      <c r="C377" s="104"/>
      <c r="D377" s="105"/>
      <c r="E377" s="106"/>
      <c r="F377" s="107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6"/>
    </row>
    <row r="378" ht="15.75" customHeight="1">
      <c r="A378" s="109"/>
      <c r="B378" s="104"/>
      <c r="C378" s="104"/>
      <c r="D378" s="105"/>
      <c r="E378" s="106"/>
      <c r="F378" s="107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6"/>
    </row>
    <row r="379" ht="15.75" customHeight="1">
      <c r="A379" s="109"/>
      <c r="B379" s="104"/>
      <c r="C379" s="104"/>
      <c r="D379" s="105"/>
      <c r="E379" s="106"/>
      <c r="F379" s="107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6"/>
    </row>
    <row r="380" ht="15.75" customHeight="1">
      <c r="A380" s="109"/>
      <c r="B380" s="104"/>
      <c r="C380" s="104"/>
      <c r="D380" s="105"/>
      <c r="E380" s="106"/>
      <c r="F380" s="107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6"/>
    </row>
    <row r="381" ht="15.75" customHeight="1">
      <c r="A381" s="109"/>
      <c r="B381" s="104"/>
      <c r="C381" s="104"/>
      <c r="D381" s="105"/>
      <c r="E381" s="106"/>
      <c r="F381" s="107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6"/>
    </row>
    <row r="382" ht="15.75" customHeight="1">
      <c r="A382" s="109"/>
      <c r="B382" s="104"/>
      <c r="C382" s="104"/>
      <c r="D382" s="105"/>
      <c r="E382" s="106"/>
      <c r="F382" s="107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6"/>
    </row>
    <row r="383" ht="15.75" customHeight="1">
      <c r="A383" s="109"/>
      <c r="B383" s="104"/>
      <c r="C383" s="104"/>
      <c r="D383" s="105"/>
      <c r="E383" s="106"/>
      <c r="F383" s="107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6"/>
    </row>
    <row r="384" ht="15.75" customHeight="1">
      <c r="A384" s="109"/>
      <c r="B384" s="104"/>
      <c r="C384" s="104"/>
      <c r="D384" s="105"/>
      <c r="E384" s="106"/>
      <c r="F384" s="107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6"/>
    </row>
    <row r="385" ht="15.75" customHeight="1">
      <c r="A385" s="109"/>
      <c r="B385" s="104"/>
      <c r="C385" s="104"/>
      <c r="D385" s="105"/>
      <c r="E385" s="106"/>
      <c r="F385" s="107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6"/>
    </row>
    <row r="386" ht="15.75" customHeight="1">
      <c r="A386" s="109"/>
      <c r="B386" s="104"/>
      <c r="C386" s="104"/>
      <c r="D386" s="105"/>
      <c r="E386" s="106"/>
      <c r="F386" s="107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6"/>
    </row>
    <row r="387" ht="15.75" customHeight="1">
      <c r="A387" s="109"/>
      <c r="B387" s="104"/>
      <c r="C387" s="104"/>
      <c r="D387" s="105"/>
      <c r="E387" s="106"/>
      <c r="F387" s="107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6"/>
    </row>
    <row r="388" ht="15.75" customHeight="1">
      <c r="A388" s="109"/>
      <c r="B388" s="104"/>
      <c r="C388" s="104"/>
      <c r="D388" s="105"/>
      <c r="E388" s="106"/>
      <c r="F388" s="107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6"/>
    </row>
    <row r="389" ht="15.75" customHeight="1">
      <c r="A389" s="109"/>
      <c r="B389" s="104"/>
      <c r="C389" s="104"/>
      <c r="D389" s="105"/>
      <c r="E389" s="106"/>
      <c r="F389" s="107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6"/>
    </row>
    <row r="390" ht="15.75" customHeight="1">
      <c r="A390" s="109"/>
      <c r="B390" s="104"/>
      <c r="C390" s="104"/>
      <c r="D390" s="105"/>
      <c r="E390" s="106"/>
      <c r="F390" s="107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6"/>
    </row>
    <row r="391" ht="15.75" customHeight="1">
      <c r="A391" s="109"/>
      <c r="B391" s="104"/>
      <c r="C391" s="104"/>
      <c r="D391" s="105"/>
      <c r="E391" s="106"/>
      <c r="F391" s="107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6"/>
    </row>
    <row r="392" ht="15.75" customHeight="1">
      <c r="A392" s="109"/>
      <c r="B392" s="104"/>
      <c r="C392" s="104"/>
      <c r="D392" s="105"/>
      <c r="E392" s="106"/>
      <c r="F392" s="107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6"/>
    </row>
    <row r="393" ht="15.75" customHeight="1">
      <c r="A393" s="109"/>
      <c r="B393" s="104"/>
      <c r="C393" s="104"/>
      <c r="D393" s="105"/>
      <c r="E393" s="106"/>
      <c r="F393" s="107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6"/>
    </row>
    <row r="394" ht="15.75" customHeight="1">
      <c r="A394" s="109"/>
      <c r="B394" s="104"/>
      <c r="C394" s="104"/>
      <c r="D394" s="105"/>
      <c r="E394" s="106"/>
      <c r="F394" s="107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6"/>
    </row>
    <row r="395" ht="15.75" customHeight="1">
      <c r="A395" s="109"/>
      <c r="B395" s="104"/>
      <c r="C395" s="104"/>
      <c r="D395" s="105"/>
      <c r="E395" s="106"/>
      <c r="F395" s="107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6"/>
    </row>
    <row r="396" ht="15.75" customHeight="1">
      <c r="A396" s="109"/>
      <c r="B396" s="104"/>
      <c r="C396" s="104"/>
      <c r="D396" s="105"/>
      <c r="E396" s="106"/>
      <c r="F396" s="107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6"/>
    </row>
    <row r="397" ht="15.75" customHeight="1">
      <c r="A397" s="109"/>
      <c r="B397" s="104"/>
      <c r="C397" s="104"/>
      <c r="D397" s="105"/>
      <c r="E397" s="106"/>
      <c r="F397" s="107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6"/>
    </row>
    <row r="398" ht="15.75" customHeight="1">
      <c r="A398" s="109"/>
      <c r="B398" s="104"/>
      <c r="C398" s="104"/>
      <c r="D398" s="105"/>
      <c r="E398" s="106"/>
      <c r="F398" s="107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6"/>
    </row>
    <row r="399" ht="15.75" customHeight="1">
      <c r="A399" s="109"/>
      <c r="B399" s="104"/>
      <c r="C399" s="104"/>
      <c r="D399" s="105"/>
      <c r="E399" s="106"/>
      <c r="F399" s="107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6"/>
    </row>
    <row r="400" ht="15.75" customHeight="1">
      <c r="A400" s="109"/>
      <c r="B400" s="104"/>
      <c r="C400" s="104"/>
      <c r="D400" s="105"/>
      <c r="E400" s="106"/>
      <c r="F400" s="107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6"/>
    </row>
    <row r="401" ht="15.75" customHeight="1">
      <c r="A401" s="109"/>
      <c r="B401" s="104"/>
      <c r="C401" s="104"/>
      <c r="D401" s="105"/>
      <c r="E401" s="106"/>
      <c r="F401" s="107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6"/>
    </row>
    <row r="402" ht="15.75" customHeight="1">
      <c r="A402" s="109"/>
      <c r="B402" s="104"/>
      <c r="C402" s="104"/>
      <c r="D402" s="105"/>
      <c r="E402" s="106"/>
      <c r="F402" s="107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6"/>
    </row>
    <row r="403" ht="15.75" customHeight="1">
      <c r="A403" s="109"/>
      <c r="B403" s="104"/>
      <c r="C403" s="104"/>
      <c r="D403" s="105"/>
      <c r="E403" s="106"/>
      <c r="F403" s="107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6"/>
    </row>
    <row r="404" ht="15.75" customHeight="1">
      <c r="A404" s="109"/>
      <c r="B404" s="104"/>
      <c r="C404" s="104"/>
      <c r="D404" s="105"/>
      <c r="E404" s="106"/>
      <c r="F404" s="107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6"/>
    </row>
    <row r="405" ht="15.75" customHeight="1">
      <c r="A405" s="109"/>
      <c r="B405" s="104"/>
      <c r="C405" s="104"/>
      <c r="D405" s="105"/>
      <c r="E405" s="106"/>
      <c r="F405" s="107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6"/>
    </row>
    <row r="406" ht="15.75" customHeight="1">
      <c r="A406" s="109"/>
      <c r="B406" s="104"/>
      <c r="C406" s="104"/>
      <c r="D406" s="105"/>
      <c r="E406" s="106"/>
      <c r="F406" s="107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6"/>
    </row>
    <row r="407" ht="15.75" customHeight="1">
      <c r="A407" s="109"/>
      <c r="B407" s="104"/>
      <c r="C407" s="104"/>
      <c r="D407" s="105"/>
      <c r="E407" s="106"/>
      <c r="F407" s="107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6"/>
    </row>
    <row r="408" ht="15.75" customHeight="1">
      <c r="A408" s="109"/>
      <c r="B408" s="104"/>
      <c r="C408" s="104"/>
      <c r="D408" s="105"/>
      <c r="E408" s="106"/>
      <c r="F408" s="107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6"/>
    </row>
    <row r="409" ht="15.75" customHeight="1">
      <c r="A409" s="109"/>
      <c r="B409" s="104"/>
      <c r="C409" s="104"/>
      <c r="D409" s="105"/>
      <c r="E409" s="106"/>
      <c r="F409" s="107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6"/>
    </row>
    <row r="410" ht="15.75" customHeight="1">
      <c r="A410" s="109"/>
      <c r="B410" s="104"/>
      <c r="C410" s="104"/>
      <c r="D410" s="105"/>
      <c r="E410" s="106"/>
      <c r="F410" s="107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6"/>
    </row>
    <row r="411" ht="15.75" customHeight="1">
      <c r="A411" s="109"/>
      <c r="B411" s="104"/>
      <c r="C411" s="104"/>
      <c r="D411" s="105"/>
      <c r="E411" s="106"/>
      <c r="F411" s="107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6"/>
    </row>
    <row r="412" ht="15.75" customHeight="1">
      <c r="A412" s="109"/>
      <c r="B412" s="104"/>
      <c r="C412" s="104"/>
      <c r="D412" s="105"/>
      <c r="E412" s="106"/>
      <c r="F412" s="107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6"/>
    </row>
    <row r="413" ht="15.75" customHeight="1">
      <c r="A413" s="109"/>
      <c r="B413" s="104"/>
      <c r="C413" s="104"/>
      <c r="D413" s="105"/>
      <c r="E413" s="106"/>
      <c r="F413" s="107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6"/>
    </row>
    <row r="414" ht="15.75" customHeight="1">
      <c r="A414" s="109"/>
      <c r="B414" s="104"/>
      <c r="C414" s="104"/>
      <c r="D414" s="105"/>
      <c r="E414" s="106"/>
      <c r="F414" s="107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6"/>
    </row>
    <row r="415" ht="15.75" customHeight="1">
      <c r="A415" s="109"/>
      <c r="B415" s="104"/>
      <c r="C415" s="104"/>
      <c r="D415" s="105"/>
      <c r="E415" s="106"/>
      <c r="F415" s="107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6"/>
    </row>
    <row r="416" ht="15.75" customHeight="1">
      <c r="A416" s="109"/>
      <c r="B416" s="104"/>
      <c r="C416" s="104"/>
      <c r="D416" s="105"/>
      <c r="E416" s="106"/>
      <c r="F416" s="107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6"/>
    </row>
    <row r="417" ht="15.75" customHeight="1">
      <c r="A417" s="109"/>
      <c r="B417" s="104"/>
      <c r="C417" s="104"/>
      <c r="D417" s="105"/>
      <c r="E417" s="106"/>
      <c r="F417" s="107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6"/>
    </row>
    <row r="418" ht="15.75" customHeight="1">
      <c r="A418" s="109"/>
      <c r="B418" s="104"/>
      <c r="C418" s="104"/>
      <c r="D418" s="105"/>
      <c r="E418" s="106"/>
      <c r="F418" s="107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6"/>
    </row>
    <row r="419" ht="15.75" customHeight="1">
      <c r="A419" s="109"/>
      <c r="B419" s="104"/>
      <c r="C419" s="104"/>
      <c r="D419" s="105"/>
      <c r="E419" s="106"/>
      <c r="F419" s="107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6"/>
    </row>
    <row r="420" ht="15.75" customHeight="1">
      <c r="A420" s="109"/>
      <c r="B420" s="104"/>
      <c r="C420" s="104"/>
      <c r="D420" s="105"/>
      <c r="E420" s="106"/>
      <c r="F420" s="107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6"/>
    </row>
    <row r="421" ht="15.75" customHeight="1">
      <c r="A421" s="109"/>
      <c r="B421" s="104"/>
      <c r="C421" s="104"/>
      <c r="D421" s="105"/>
      <c r="E421" s="106"/>
      <c r="F421" s="107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6"/>
    </row>
    <row r="422" ht="15.75" customHeight="1">
      <c r="A422" s="109"/>
      <c r="B422" s="104"/>
      <c r="C422" s="104"/>
      <c r="D422" s="105"/>
      <c r="E422" s="106"/>
      <c r="F422" s="107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6"/>
    </row>
    <row r="423" ht="15.75" customHeight="1">
      <c r="A423" s="109"/>
      <c r="B423" s="104"/>
      <c r="C423" s="104"/>
      <c r="D423" s="105"/>
      <c r="E423" s="106"/>
      <c r="F423" s="107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6"/>
    </row>
    <row r="424" ht="15.75" customHeight="1">
      <c r="A424" s="109"/>
      <c r="B424" s="104"/>
      <c r="C424" s="104"/>
      <c r="D424" s="105"/>
      <c r="E424" s="106"/>
      <c r="F424" s="107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6"/>
    </row>
    <row r="425" ht="15.75" customHeight="1">
      <c r="A425" s="109"/>
      <c r="B425" s="104"/>
      <c r="C425" s="104"/>
      <c r="D425" s="105"/>
      <c r="E425" s="106"/>
      <c r="F425" s="107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6"/>
    </row>
    <row r="426" ht="15.75" customHeight="1">
      <c r="A426" s="109"/>
      <c r="B426" s="104"/>
      <c r="C426" s="104"/>
      <c r="D426" s="105"/>
      <c r="E426" s="106"/>
      <c r="F426" s="107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6"/>
    </row>
    <row r="427" ht="15.75" customHeight="1">
      <c r="A427" s="109"/>
      <c r="B427" s="104"/>
      <c r="C427" s="104"/>
      <c r="D427" s="105"/>
      <c r="E427" s="106"/>
      <c r="F427" s="107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6"/>
    </row>
    <row r="428" ht="15.75" customHeight="1">
      <c r="A428" s="109"/>
      <c r="B428" s="104"/>
      <c r="C428" s="104"/>
      <c r="D428" s="105"/>
      <c r="E428" s="106"/>
      <c r="F428" s="107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6"/>
    </row>
    <row r="429" ht="15.75" customHeight="1">
      <c r="A429" s="109"/>
      <c r="B429" s="104"/>
      <c r="C429" s="104"/>
      <c r="D429" s="105"/>
      <c r="E429" s="106"/>
      <c r="F429" s="107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6"/>
    </row>
    <row r="430" ht="15.75" customHeight="1">
      <c r="A430" s="109"/>
      <c r="B430" s="104"/>
      <c r="C430" s="104"/>
      <c r="D430" s="105"/>
      <c r="E430" s="106"/>
      <c r="F430" s="107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6"/>
    </row>
    <row r="431" ht="15.75" customHeight="1">
      <c r="A431" s="109"/>
      <c r="B431" s="104"/>
      <c r="C431" s="104"/>
      <c r="D431" s="105"/>
      <c r="E431" s="106"/>
      <c r="F431" s="107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6"/>
    </row>
    <row r="432" ht="15.75" customHeight="1">
      <c r="A432" s="109"/>
      <c r="B432" s="104"/>
      <c r="C432" s="104"/>
      <c r="D432" s="105"/>
      <c r="E432" s="106"/>
      <c r="F432" s="107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6"/>
    </row>
    <row r="433" ht="15.75" customHeight="1">
      <c r="A433" s="109"/>
      <c r="B433" s="104"/>
      <c r="C433" s="104"/>
      <c r="D433" s="105"/>
      <c r="E433" s="106"/>
      <c r="F433" s="107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6"/>
    </row>
    <row r="434" ht="15.75" customHeight="1">
      <c r="A434" s="109"/>
      <c r="B434" s="104"/>
      <c r="C434" s="104"/>
      <c r="D434" s="105"/>
      <c r="E434" s="106"/>
      <c r="F434" s="107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6"/>
    </row>
    <row r="435" ht="15.75" customHeight="1">
      <c r="A435" s="109"/>
      <c r="B435" s="104"/>
      <c r="C435" s="104"/>
      <c r="D435" s="105"/>
      <c r="E435" s="106"/>
      <c r="F435" s="107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6"/>
    </row>
    <row r="436" ht="15.75" customHeight="1">
      <c r="A436" s="109"/>
      <c r="B436" s="104"/>
      <c r="C436" s="104"/>
      <c r="D436" s="105"/>
      <c r="E436" s="106"/>
      <c r="F436" s="107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6"/>
    </row>
    <row r="437" ht="15.75" customHeight="1">
      <c r="A437" s="109"/>
      <c r="B437" s="104"/>
      <c r="C437" s="104"/>
      <c r="D437" s="105"/>
      <c r="E437" s="106"/>
      <c r="F437" s="107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6"/>
    </row>
    <row r="438" ht="15.75" customHeight="1">
      <c r="A438" s="109"/>
      <c r="B438" s="104"/>
      <c r="C438" s="104"/>
      <c r="D438" s="105"/>
      <c r="E438" s="106"/>
      <c r="F438" s="107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6"/>
    </row>
    <row r="439" ht="15.75" customHeight="1">
      <c r="A439" s="109"/>
      <c r="B439" s="104"/>
      <c r="C439" s="104"/>
      <c r="D439" s="105"/>
      <c r="E439" s="106"/>
      <c r="F439" s="107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6"/>
    </row>
    <row r="440" ht="15.75" customHeight="1">
      <c r="A440" s="109"/>
      <c r="B440" s="104"/>
      <c r="C440" s="104"/>
      <c r="D440" s="105"/>
      <c r="E440" s="106"/>
      <c r="F440" s="107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6"/>
    </row>
    <row r="441" ht="15.75" customHeight="1">
      <c r="A441" s="109"/>
      <c r="B441" s="104"/>
      <c r="C441" s="104"/>
      <c r="D441" s="105"/>
      <c r="E441" s="106"/>
      <c r="F441" s="107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6"/>
    </row>
    <row r="442" ht="15.75" customHeight="1">
      <c r="A442" s="109"/>
      <c r="B442" s="104"/>
      <c r="C442" s="104"/>
      <c r="D442" s="105"/>
      <c r="E442" s="106"/>
      <c r="F442" s="107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6"/>
    </row>
    <row r="443" ht="15.75" customHeight="1">
      <c r="A443" s="109"/>
      <c r="B443" s="104"/>
      <c r="C443" s="104"/>
      <c r="D443" s="105"/>
      <c r="E443" s="106"/>
      <c r="F443" s="107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6"/>
    </row>
    <row r="444" ht="15.75" customHeight="1">
      <c r="A444" s="109"/>
      <c r="B444" s="104"/>
      <c r="C444" s="104"/>
      <c r="D444" s="105"/>
      <c r="E444" s="106"/>
      <c r="F444" s="107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6"/>
    </row>
    <row r="445" ht="15.75" customHeight="1">
      <c r="A445" s="109"/>
      <c r="B445" s="104"/>
      <c r="C445" s="104"/>
      <c r="D445" s="105"/>
      <c r="E445" s="106"/>
      <c r="F445" s="107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6"/>
    </row>
    <row r="446" ht="15.75" customHeight="1">
      <c r="A446" s="109"/>
      <c r="B446" s="104"/>
      <c r="C446" s="104"/>
      <c r="D446" s="105"/>
      <c r="E446" s="106"/>
      <c r="F446" s="107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6"/>
    </row>
    <row r="447" ht="15.75" customHeight="1">
      <c r="A447" s="109"/>
      <c r="B447" s="104"/>
      <c r="C447" s="104"/>
      <c r="D447" s="105"/>
      <c r="E447" s="106"/>
      <c r="F447" s="107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6"/>
    </row>
    <row r="448" ht="15.75" customHeight="1">
      <c r="A448" s="109"/>
      <c r="B448" s="104"/>
      <c r="C448" s="104"/>
      <c r="D448" s="105"/>
      <c r="E448" s="106"/>
      <c r="F448" s="107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6"/>
    </row>
    <row r="449" ht="15.75" customHeight="1">
      <c r="A449" s="109"/>
      <c r="B449" s="104"/>
      <c r="C449" s="104"/>
      <c r="D449" s="105"/>
      <c r="E449" s="106"/>
      <c r="F449" s="107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6"/>
    </row>
    <row r="450" ht="15.75" customHeight="1">
      <c r="A450" s="109"/>
      <c r="B450" s="104"/>
      <c r="C450" s="104"/>
      <c r="D450" s="105"/>
      <c r="E450" s="106"/>
      <c r="F450" s="107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6"/>
    </row>
    <row r="451" ht="15.75" customHeight="1">
      <c r="A451" s="109"/>
      <c r="B451" s="104"/>
      <c r="C451" s="104"/>
      <c r="D451" s="105"/>
      <c r="E451" s="106"/>
      <c r="F451" s="107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6"/>
    </row>
    <row r="452" ht="15.75" customHeight="1">
      <c r="A452" s="109"/>
      <c r="B452" s="104"/>
      <c r="C452" s="104"/>
      <c r="D452" s="105"/>
      <c r="E452" s="106"/>
      <c r="F452" s="107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6"/>
    </row>
    <row r="453" ht="15.75" customHeight="1">
      <c r="A453" s="109"/>
      <c r="B453" s="104"/>
      <c r="C453" s="104"/>
      <c r="D453" s="105"/>
      <c r="E453" s="106"/>
      <c r="F453" s="107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6"/>
    </row>
    <row r="454" ht="15.75" customHeight="1">
      <c r="A454" s="109"/>
      <c r="B454" s="104"/>
      <c r="C454" s="104"/>
      <c r="D454" s="105"/>
      <c r="E454" s="106"/>
      <c r="F454" s="107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6"/>
    </row>
    <row r="455" ht="15.75" customHeight="1">
      <c r="A455" s="109"/>
      <c r="B455" s="104"/>
      <c r="C455" s="104"/>
      <c r="D455" s="105"/>
      <c r="E455" s="106"/>
      <c r="F455" s="107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6"/>
    </row>
    <row r="456" ht="15.75" customHeight="1">
      <c r="A456" s="109"/>
      <c r="B456" s="104"/>
      <c r="C456" s="104"/>
      <c r="D456" s="105"/>
      <c r="E456" s="106"/>
      <c r="F456" s="107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6"/>
    </row>
    <row r="457" ht="15.75" customHeight="1">
      <c r="A457" s="109"/>
      <c r="B457" s="104"/>
      <c r="C457" s="104"/>
      <c r="D457" s="105"/>
      <c r="E457" s="106"/>
      <c r="F457" s="107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6"/>
    </row>
    <row r="458" ht="15.75" customHeight="1">
      <c r="A458" s="109"/>
      <c r="B458" s="104"/>
      <c r="C458" s="104"/>
      <c r="D458" s="105"/>
      <c r="E458" s="106"/>
      <c r="F458" s="107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6"/>
    </row>
    <row r="459" ht="15.75" customHeight="1">
      <c r="A459" s="109"/>
      <c r="B459" s="104"/>
      <c r="C459" s="104"/>
      <c r="D459" s="105"/>
      <c r="E459" s="106"/>
      <c r="F459" s="107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6"/>
    </row>
    <row r="460" ht="15.75" customHeight="1">
      <c r="A460" s="109"/>
      <c r="B460" s="104"/>
      <c r="C460" s="104"/>
      <c r="D460" s="105"/>
      <c r="E460" s="106"/>
      <c r="F460" s="107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6"/>
    </row>
    <row r="461" ht="15.75" customHeight="1">
      <c r="A461" s="109"/>
      <c r="B461" s="104"/>
      <c r="C461" s="104"/>
      <c r="D461" s="105"/>
      <c r="E461" s="106"/>
      <c r="F461" s="107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6"/>
    </row>
    <row r="462" ht="15.75" customHeight="1">
      <c r="A462" s="109"/>
      <c r="B462" s="104"/>
      <c r="C462" s="104"/>
      <c r="D462" s="105"/>
      <c r="E462" s="106"/>
      <c r="F462" s="107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6"/>
    </row>
    <row r="463" ht="15.75" customHeight="1">
      <c r="A463" s="109"/>
      <c r="B463" s="104"/>
      <c r="C463" s="104"/>
      <c r="D463" s="105"/>
      <c r="E463" s="106"/>
      <c r="F463" s="107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6"/>
    </row>
    <row r="464" ht="15.75" customHeight="1">
      <c r="A464" s="109"/>
      <c r="B464" s="104"/>
      <c r="C464" s="104"/>
      <c r="D464" s="105"/>
      <c r="E464" s="106"/>
      <c r="F464" s="107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6"/>
    </row>
    <row r="465" ht="15.75" customHeight="1">
      <c r="A465" s="109"/>
      <c r="B465" s="104"/>
      <c r="C465" s="104"/>
      <c r="D465" s="105"/>
      <c r="E465" s="106"/>
      <c r="F465" s="107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6"/>
    </row>
    <row r="466" ht="15.75" customHeight="1">
      <c r="A466" s="109"/>
      <c r="B466" s="104"/>
      <c r="C466" s="104"/>
      <c r="D466" s="105"/>
      <c r="E466" s="106"/>
      <c r="F466" s="107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6"/>
    </row>
    <row r="467" ht="15.75" customHeight="1">
      <c r="A467" s="109"/>
      <c r="B467" s="104"/>
      <c r="C467" s="104"/>
      <c r="D467" s="105"/>
      <c r="E467" s="106"/>
      <c r="F467" s="107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6"/>
    </row>
    <row r="468" ht="15.75" customHeight="1">
      <c r="A468" s="109"/>
      <c r="B468" s="104"/>
      <c r="C468" s="104"/>
      <c r="D468" s="105"/>
      <c r="E468" s="106"/>
      <c r="F468" s="107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6"/>
    </row>
    <row r="469" ht="15.75" customHeight="1">
      <c r="A469" s="109"/>
      <c r="B469" s="104"/>
      <c r="C469" s="104"/>
      <c r="D469" s="105"/>
      <c r="E469" s="106"/>
      <c r="F469" s="107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6"/>
    </row>
    <row r="470" ht="15.75" customHeight="1">
      <c r="A470" s="109"/>
      <c r="B470" s="104"/>
      <c r="C470" s="104"/>
      <c r="D470" s="105"/>
      <c r="E470" s="106"/>
      <c r="F470" s="107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6"/>
    </row>
    <row r="471" ht="15.75" customHeight="1">
      <c r="A471" s="109"/>
      <c r="B471" s="104"/>
      <c r="C471" s="104"/>
      <c r="D471" s="105"/>
      <c r="E471" s="106"/>
      <c r="F471" s="107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6"/>
    </row>
    <row r="472" ht="15.75" customHeight="1">
      <c r="A472" s="109"/>
      <c r="B472" s="104"/>
      <c r="C472" s="104"/>
      <c r="D472" s="105"/>
      <c r="E472" s="106"/>
      <c r="F472" s="107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6"/>
    </row>
    <row r="473" ht="15.75" customHeight="1">
      <c r="A473" s="109"/>
      <c r="B473" s="104"/>
      <c r="C473" s="104"/>
      <c r="D473" s="105"/>
      <c r="E473" s="106"/>
      <c r="F473" s="107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6"/>
    </row>
    <row r="474" ht="15.75" customHeight="1">
      <c r="A474" s="109"/>
      <c r="B474" s="104"/>
      <c r="C474" s="104"/>
      <c r="D474" s="105"/>
      <c r="E474" s="106"/>
      <c r="F474" s="107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6"/>
    </row>
    <row r="475" ht="15.75" customHeight="1">
      <c r="A475" s="109"/>
      <c r="B475" s="104"/>
      <c r="C475" s="104"/>
      <c r="D475" s="105"/>
      <c r="E475" s="106"/>
      <c r="F475" s="107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6"/>
    </row>
    <row r="476" ht="15.75" customHeight="1">
      <c r="A476" s="109"/>
      <c r="B476" s="104"/>
      <c r="C476" s="104"/>
      <c r="D476" s="105"/>
      <c r="E476" s="106"/>
      <c r="F476" s="107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6"/>
    </row>
    <row r="477" ht="15.75" customHeight="1">
      <c r="A477" s="109"/>
      <c r="B477" s="104"/>
      <c r="C477" s="104"/>
      <c r="D477" s="105"/>
      <c r="E477" s="106"/>
      <c r="F477" s="107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6"/>
    </row>
    <row r="478" ht="15.75" customHeight="1">
      <c r="A478" s="109"/>
      <c r="B478" s="104"/>
      <c r="C478" s="104"/>
      <c r="D478" s="105"/>
      <c r="E478" s="106"/>
      <c r="F478" s="107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6"/>
    </row>
    <row r="479" ht="15.75" customHeight="1">
      <c r="A479" s="109"/>
      <c r="B479" s="104"/>
      <c r="C479" s="104"/>
      <c r="D479" s="105"/>
      <c r="E479" s="106"/>
      <c r="F479" s="107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6"/>
    </row>
    <row r="480" ht="15.75" customHeight="1">
      <c r="A480" s="109"/>
      <c r="B480" s="104"/>
      <c r="C480" s="104"/>
      <c r="D480" s="105"/>
      <c r="E480" s="106"/>
      <c r="F480" s="107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6"/>
    </row>
    <row r="481" ht="15.75" customHeight="1">
      <c r="A481" s="109"/>
      <c r="B481" s="104"/>
      <c r="C481" s="104"/>
      <c r="D481" s="105"/>
      <c r="E481" s="106"/>
      <c r="F481" s="107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6"/>
    </row>
    <row r="482" ht="15.75" customHeight="1">
      <c r="A482" s="109"/>
      <c r="B482" s="104"/>
      <c r="C482" s="104"/>
      <c r="D482" s="105"/>
      <c r="E482" s="106"/>
      <c r="F482" s="107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6"/>
    </row>
    <row r="483" ht="15.75" customHeight="1">
      <c r="A483" s="109"/>
      <c r="B483" s="104"/>
      <c r="C483" s="104"/>
      <c r="D483" s="105"/>
      <c r="E483" s="106"/>
      <c r="F483" s="107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6"/>
    </row>
    <row r="484" ht="15.75" customHeight="1">
      <c r="A484" s="109"/>
      <c r="B484" s="104"/>
      <c r="C484" s="104"/>
      <c r="D484" s="105"/>
      <c r="E484" s="106"/>
      <c r="F484" s="107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6"/>
    </row>
    <row r="485" ht="15.75" customHeight="1">
      <c r="A485" s="109"/>
      <c r="B485" s="104"/>
      <c r="C485" s="104"/>
      <c r="D485" s="105"/>
      <c r="E485" s="106"/>
      <c r="F485" s="107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6"/>
    </row>
    <row r="486" ht="15.75" customHeight="1">
      <c r="A486" s="109"/>
      <c r="B486" s="104"/>
      <c r="C486" s="104"/>
      <c r="D486" s="105"/>
      <c r="E486" s="106"/>
      <c r="F486" s="107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6"/>
    </row>
    <row r="487" ht="15.75" customHeight="1">
      <c r="A487" s="109"/>
      <c r="B487" s="104"/>
      <c r="C487" s="104"/>
      <c r="D487" s="105"/>
      <c r="E487" s="106"/>
      <c r="F487" s="107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6"/>
    </row>
    <row r="488" ht="15.75" customHeight="1">
      <c r="A488" s="109"/>
      <c r="B488" s="104"/>
      <c r="C488" s="104"/>
      <c r="D488" s="105"/>
      <c r="E488" s="106"/>
      <c r="F488" s="107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6"/>
    </row>
    <row r="489" ht="15.75" customHeight="1">
      <c r="A489" s="109"/>
      <c r="B489" s="104"/>
      <c r="C489" s="104"/>
      <c r="D489" s="105"/>
      <c r="E489" s="106"/>
      <c r="F489" s="107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6"/>
    </row>
    <row r="490" ht="15.75" customHeight="1">
      <c r="A490" s="109"/>
      <c r="B490" s="104"/>
      <c r="C490" s="104"/>
      <c r="D490" s="105"/>
      <c r="E490" s="106"/>
      <c r="F490" s="107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6"/>
    </row>
    <row r="491" ht="15.75" customHeight="1">
      <c r="A491" s="109"/>
      <c r="B491" s="104"/>
      <c r="C491" s="104"/>
      <c r="D491" s="105"/>
      <c r="E491" s="106"/>
      <c r="F491" s="107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6"/>
    </row>
    <row r="492" ht="15.75" customHeight="1">
      <c r="A492" s="109"/>
      <c r="B492" s="104"/>
      <c r="C492" s="104"/>
      <c r="D492" s="105"/>
      <c r="E492" s="106"/>
      <c r="F492" s="107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6"/>
    </row>
    <row r="493" ht="15.75" customHeight="1">
      <c r="A493" s="109"/>
      <c r="B493" s="104"/>
      <c r="C493" s="104"/>
      <c r="D493" s="105"/>
      <c r="E493" s="106"/>
      <c r="F493" s="107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6"/>
    </row>
    <row r="494" ht="15.75" customHeight="1">
      <c r="A494" s="109"/>
      <c r="B494" s="104"/>
      <c r="C494" s="104"/>
      <c r="D494" s="105"/>
      <c r="E494" s="106"/>
      <c r="F494" s="107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6"/>
    </row>
    <row r="495" ht="15.75" customHeight="1">
      <c r="A495" s="109"/>
      <c r="B495" s="104"/>
      <c r="C495" s="104"/>
      <c r="D495" s="105"/>
      <c r="E495" s="106"/>
      <c r="F495" s="107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6"/>
    </row>
    <row r="496" ht="15.75" customHeight="1">
      <c r="A496" s="109"/>
      <c r="B496" s="104"/>
      <c r="C496" s="104"/>
      <c r="D496" s="105"/>
      <c r="E496" s="106"/>
      <c r="F496" s="107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6"/>
    </row>
    <row r="497" ht="15.75" customHeight="1">
      <c r="A497" s="109"/>
      <c r="B497" s="104"/>
      <c r="C497" s="104"/>
      <c r="D497" s="105"/>
      <c r="E497" s="106"/>
      <c r="F497" s="107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6"/>
    </row>
    <row r="498" ht="15.75" customHeight="1">
      <c r="A498" s="109"/>
      <c r="B498" s="104"/>
      <c r="C498" s="104"/>
      <c r="D498" s="105"/>
      <c r="E498" s="106"/>
      <c r="F498" s="107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6"/>
    </row>
    <row r="499" ht="15.75" customHeight="1">
      <c r="A499" s="109"/>
      <c r="B499" s="104"/>
      <c r="C499" s="104"/>
      <c r="D499" s="105"/>
      <c r="E499" s="106"/>
      <c r="F499" s="107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6"/>
    </row>
    <row r="500" ht="15.75" customHeight="1">
      <c r="A500" s="109"/>
      <c r="B500" s="104"/>
      <c r="C500" s="104"/>
      <c r="D500" s="105"/>
      <c r="E500" s="106"/>
      <c r="F500" s="107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6"/>
    </row>
    <row r="501" ht="15.75" customHeight="1">
      <c r="A501" s="109"/>
      <c r="B501" s="104"/>
      <c r="C501" s="104"/>
      <c r="D501" s="105"/>
      <c r="E501" s="106"/>
      <c r="F501" s="107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6"/>
    </row>
    <row r="502" ht="15.75" customHeight="1">
      <c r="A502" s="109"/>
      <c r="B502" s="104"/>
      <c r="C502" s="104"/>
      <c r="D502" s="105"/>
      <c r="E502" s="106"/>
      <c r="F502" s="107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6"/>
    </row>
    <row r="503" ht="15.75" customHeight="1">
      <c r="A503" s="109"/>
      <c r="B503" s="104"/>
      <c r="C503" s="104"/>
      <c r="D503" s="105"/>
      <c r="E503" s="106"/>
      <c r="F503" s="107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6"/>
    </row>
    <row r="504" ht="15.75" customHeight="1">
      <c r="A504" s="109"/>
      <c r="B504" s="104"/>
      <c r="C504" s="104"/>
      <c r="D504" s="105"/>
      <c r="E504" s="106"/>
      <c r="F504" s="107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6"/>
    </row>
    <row r="505" ht="15.75" customHeight="1">
      <c r="A505" s="109"/>
      <c r="B505" s="104"/>
      <c r="C505" s="104"/>
      <c r="D505" s="105"/>
      <c r="E505" s="106"/>
      <c r="F505" s="107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6"/>
    </row>
    <row r="506" ht="15.75" customHeight="1">
      <c r="A506" s="109"/>
      <c r="B506" s="104"/>
      <c r="C506" s="104"/>
      <c r="D506" s="105"/>
      <c r="E506" s="106"/>
      <c r="F506" s="107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6"/>
    </row>
    <row r="507" ht="15.75" customHeight="1">
      <c r="A507" s="109"/>
      <c r="B507" s="104"/>
      <c r="C507" s="104"/>
      <c r="D507" s="105"/>
      <c r="E507" s="106"/>
      <c r="F507" s="107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6"/>
    </row>
    <row r="508" ht="15.75" customHeight="1">
      <c r="A508" s="109"/>
      <c r="B508" s="104"/>
      <c r="C508" s="104"/>
      <c r="D508" s="105"/>
      <c r="E508" s="106"/>
      <c r="F508" s="107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6"/>
    </row>
    <row r="509" ht="15.75" customHeight="1">
      <c r="A509" s="109"/>
      <c r="B509" s="104"/>
      <c r="C509" s="104"/>
      <c r="D509" s="105"/>
      <c r="E509" s="106"/>
      <c r="F509" s="107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6"/>
    </row>
    <row r="510" ht="15.75" customHeight="1">
      <c r="A510" s="109"/>
      <c r="B510" s="104"/>
      <c r="C510" s="104"/>
      <c r="D510" s="105"/>
      <c r="E510" s="106"/>
      <c r="F510" s="107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6"/>
    </row>
    <row r="511" ht="15.75" customHeight="1">
      <c r="A511" s="109"/>
      <c r="B511" s="104"/>
      <c r="C511" s="104"/>
      <c r="D511" s="105"/>
      <c r="E511" s="106"/>
      <c r="F511" s="107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6"/>
    </row>
    <row r="512" ht="15.75" customHeight="1">
      <c r="A512" s="109"/>
      <c r="B512" s="104"/>
      <c r="C512" s="104"/>
      <c r="D512" s="105"/>
      <c r="E512" s="106"/>
      <c r="F512" s="107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6"/>
    </row>
    <row r="513" ht="15.75" customHeight="1">
      <c r="A513" s="109"/>
      <c r="B513" s="104"/>
      <c r="C513" s="104"/>
      <c r="D513" s="105"/>
      <c r="E513" s="106"/>
      <c r="F513" s="107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6"/>
    </row>
    <row r="514" ht="15.75" customHeight="1">
      <c r="A514" s="109"/>
      <c r="B514" s="104"/>
      <c r="C514" s="104"/>
      <c r="D514" s="105"/>
      <c r="E514" s="106"/>
      <c r="F514" s="107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6"/>
    </row>
    <row r="515" ht="15.75" customHeight="1">
      <c r="A515" s="109"/>
      <c r="B515" s="104"/>
      <c r="C515" s="104"/>
      <c r="D515" s="105"/>
      <c r="E515" s="106"/>
      <c r="F515" s="107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6"/>
    </row>
    <row r="516" ht="15.75" customHeight="1">
      <c r="A516" s="109"/>
      <c r="B516" s="104"/>
      <c r="C516" s="104"/>
      <c r="D516" s="105"/>
      <c r="E516" s="106"/>
      <c r="F516" s="107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6"/>
    </row>
    <row r="517" ht="15.75" customHeight="1">
      <c r="A517" s="109"/>
      <c r="B517" s="104"/>
      <c r="C517" s="104"/>
      <c r="D517" s="105"/>
      <c r="E517" s="106"/>
      <c r="F517" s="107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6"/>
    </row>
    <row r="518" ht="15.75" customHeight="1">
      <c r="A518" s="109"/>
      <c r="B518" s="104"/>
      <c r="C518" s="104"/>
      <c r="D518" s="105"/>
      <c r="E518" s="106"/>
      <c r="F518" s="107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6"/>
    </row>
    <row r="519" ht="15.75" customHeight="1">
      <c r="A519" s="109"/>
      <c r="B519" s="104"/>
      <c r="C519" s="104"/>
      <c r="D519" s="105"/>
      <c r="E519" s="106"/>
      <c r="F519" s="107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6"/>
    </row>
    <row r="520" ht="15.75" customHeight="1">
      <c r="A520" s="109"/>
      <c r="B520" s="104"/>
      <c r="C520" s="104"/>
      <c r="D520" s="105"/>
      <c r="E520" s="106"/>
      <c r="F520" s="107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6"/>
    </row>
    <row r="521" ht="15.75" customHeight="1">
      <c r="A521" s="109"/>
      <c r="B521" s="104"/>
      <c r="C521" s="104"/>
      <c r="D521" s="105"/>
      <c r="E521" s="106"/>
      <c r="F521" s="107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6"/>
    </row>
    <row r="522" ht="15.75" customHeight="1">
      <c r="A522" s="109"/>
      <c r="B522" s="104"/>
      <c r="C522" s="104"/>
      <c r="D522" s="105"/>
      <c r="E522" s="106"/>
      <c r="F522" s="107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6"/>
    </row>
    <row r="523" ht="15.75" customHeight="1">
      <c r="A523" s="109"/>
      <c r="B523" s="104"/>
      <c r="C523" s="104"/>
      <c r="D523" s="105"/>
      <c r="E523" s="106"/>
      <c r="F523" s="107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6"/>
    </row>
    <row r="524" ht="15.75" customHeight="1">
      <c r="A524" s="109"/>
      <c r="B524" s="104"/>
      <c r="C524" s="104"/>
      <c r="D524" s="105"/>
      <c r="E524" s="106"/>
      <c r="F524" s="107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6"/>
    </row>
    <row r="525" ht="15.75" customHeight="1">
      <c r="A525" s="109"/>
      <c r="B525" s="104"/>
      <c r="C525" s="104"/>
      <c r="D525" s="105"/>
      <c r="E525" s="106"/>
      <c r="F525" s="107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6"/>
    </row>
    <row r="526" ht="15.75" customHeight="1">
      <c r="A526" s="109"/>
      <c r="B526" s="104"/>
      <c r="C526" s="104"/>
      <c r="D526" s="105"/>
      <c r="E526" s="106"/>
      <c r="F526" s="107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6"/>
    </row>
    <row r="527" ht="15.75" customHeight="1">
      <c r="A527" s="109"/>
      <c r="B527" s="104"/>
      <c r="C527" s="104"/>
      <c r="D527" s="105"/>
      <c r="E527" s="106"/>
      <c r="F527" s="107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6"/>
    </row>
    <row r="528" ht="15.75" customHeight="1">
      <c r="A528" s="109"/>
      <c r="B528" s="104"/>
      <c r="C528" s="104"/>
      <c r="D528" s="105"/>
      <c r="E528" s="106"/>
      <c r="F528" s="107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6"/>
    </row>
    <row r="529" ht="15.75" customHeight="1">
      <c r="A529" s="109"/>
      <c r="B529" s="104"/>
      <c r="C529" s="104"/>
      <c r="D529" s="105"/>
      <c r="E529" s="106"/>
      <c r="F529" s="107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6"/>
    </row>
    <row r="530" ht="15.75" customHeight="1">
      <c r="A530" s="109"/>
      <c r="B530" s="104"/>
      <c r="C530" s="104"/>
      <c r="D530" s="105"/>
      <c r="E530" s="106"/>
      <c r="F530" s="107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6"/>
    </row>
    <row r="531" ht="15.75" customHeight="1">
      <c r="A531" s="109"/>
      <c r="B531" s="104"/>
      <c r="C531" s="104"/>
      <c r="D531" s="105"/>
      <c r="E531" s="106"/>
      <c r="F531" s="107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6"/>
    </row>
    <row r="532" ht="15.75" customHeight="1">
      <c r="A532" s="109"/>
      <c r="B532" s="104"/>
      <c r="C532" s="104"/>
      <c r="D532" s="105"/>
      <c r="E532" s="106"/>
      <c r="F532" s="107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6"/>
    </row>
    <row r="533" ht="15.75" customHeight="1">
      <c r="A533" s="109"/>
      <c r="B533" s="104"/>
      <c r="C533" s="104"/>
      <c r="D533" s="105"/>
      <c r="E533" s="106"/>
      <c r="F533" s="107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6"/>
    </row>
    <row r="534" ht="15.75" customHeight="1">
      <c r="A534" s="109"/>
      <c r="B534" s="104"/>
      <c r="C534" s="104"/>
      <c r="D534" s="105"/>
      <c r="E534" s="106"/>
      <c r="F534" s="107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6"/>
    </row>
    <row r="535" ht="15.75" customHeight="1">
      <c r="A535" s="109"/>
      <c r="B535" s="104"/>
      <c r="C535" s="104"/>
      <c r="D535" s="105"/>
      <c r="E535" s="106"/>
      <c r="F535" s="107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6"/>
    </row>
    <row r="536" ht="15.75" customHeight="1">
      <c r="A536" s="109"/>
      <c r="B536" s="104"/>
      <c r="C536" s="104"/>
      <c r="D536" s="105"/>
      <c r="E536" s="106"/>
      <c r="F536" s="107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6"/>
    </row>
    <row r="537" ht="15.75" customHeight="1">
      <c r="A537" s="109"/>
      <c r="B537" s="104"/>
      <c r="C537" s="104"/>
      <c r="D537" s="105"/>
      <c r="E537" s="106"/>
      <c r="F537" s="107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6"/>
    </row>
    <row r="538" ht="15.75" customHeight="1">
      <c r="A538" s="109"/>
      <c r="B538" s="104"/>
      <c r="C538" s="104"/>
      <c r="D538" s="105"/>
      <c r="E538" s="106"/>
      <c r="F538" s="107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6"/>
    </row>
    <row r="539" ht="15.75" customHeight="1">
      <c r="A539" s="109"/>
      <c r="B539" s="104"/>
      <c r="C539" s="104"/>
      <c r="D539" s="105"/>
      <c r="E539" s="106"/>
      <c r="F539" s="107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6"/>
    </row>
    <row r="540" ht="15.75" customHeight="1">
      <c r="A540" s="109"/>
      <c r="B540" s="104"/>
      <c r="C540" s="104"/>
      <c r="D540" s="105"/>
      <c r="E540" s="106"/>
      <c r="F540" s="107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6"/>
    </row>
    <row r="541" ht="15.75" customHeight="1">
      <c r="A541" s="109"/>
      <c r="B541" s="104"/>
      <c r="C541" s="104"/>
      <c r="D541" s="105"/>
      <c r="E541" s="106"/>
      <c r="F541" s="107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6"/>
    </row>
    <row r="542" ht="15.75" customHeight="1">
      <c r="A542" s="109"/>
      <c r="B542" s="104"/>
      <c r="C542" s="104"/>
      <c r="D542" s="105"/>
      <c r="E542" s="106"/>
      <c r="F542" s="107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6"/>
    </row>
    <row r="543" ht="15.75" customHeight="1">
      <c r="A543" s="109"/>
      <c r="B543" s="104"/>
      <c r="C543" s="104"/>
      <c r="D543" s="105"/>
      <c r="E543" s="106"/>
      <c r="F543" s="107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6"/>
    </row>
    <row r="544" ht="15.75" customHeight="1">
      <c r="A544" s="109"/>
      <c r="B544" s="104"/>
      <c r="C544" s="104"/>
      <c r="D544" s="105"/>
      <c r="E544" s="106"/>
      <c r="F544" s="107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6"/>
    </row>
    <row r="545" ht="15.75" customHeight="1">
      <c r="A545" s="109"/>
      <c r="B545" s="104"/>
      <c r="C545" s="104"/>
      <c r="D545" s="105"/>
      <c r="E545" s="106"/>
      <c r="F545" s="107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6"/>
    </row>
    <row r="546" ht="15.75" customHeight="1">
      <c r="A546" s="109"/>
      <c r="B546" s="104"/>
      <c r="C546" s="104"/>
      <c r="D546" s="105"/>
      <c r="E546" s="106"/>
      <c r="F546" s="107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6"/>
    </row>
    <row r="547" ht="15.75" customHeight="1">
      <c r="A547" s="109"/>
      <c r="B547" s="104"/>
      <c r="C547" s="104"/>
      <c r="D547" s="105"/>
      <c r="E547" s="106"/>
      <c r="F547" s="107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6"/>
    </row>
    <row r="548" ht="15.75" customHeight="1">
      <c r="A548" s="109"/>
      <c r="B548" s="104"/>
      <c r="C548" s="104"/>
      <c r="D548" s="105"/>
      <c r="E548" s="106"/>
      <c r="F548" s="107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6"/>
    </row>
    <row r="549" ht="15.75" customHeight="1">
      <c r="A549" s="109"/>
      <c r="B549" s="104"/>
      <c r="C549" s="104"/>
      <c r="D549" s="105"/>
      <c r="E549" s="106"/>
      <c r="F549" s="107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6"/>
    </row>
    <row r="550" ht="15.75" customHeight="1">
      <c r="A550" s="109"/>
      <c r="B550" s="104"/>
      <c r="C550" s="104"/>
      <c r="D550" s="105"/>
      <c r="E550" s="106"/>
      <c r="F550" s="107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6"/>
    </row>
    <row r="551" ht="15.75" customHeight="1">
      <c r="A551" s="109"/>
      <c r="B551" s="104"/>
      <c r="C551" s="104"/>
      <c r="D551" s="105"/>
      <c r="E551" s="106"/>
      <c r="F551" s="107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6"/>
    </row>
    <row r="552" ht="15.75" customHeight="1">
      <c r="A552" s="109"/>
      <c r="B552" s="104"/>
      <c r="C552" s="104"/>
      <c r="D552" s="105"/>
      <c r="E552" s="106"/>
      <c r="F552" s="107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6"/>
    </row>
    <row r="553" ht="15.75" customHeight="1">
      <c r="A553" s="109"/>
      <c r="B553" s="104"/>
      <c r="C553" s="104"/>
      <c r="D553" s="105"/>
      <c r="E553" s="106"/>
      <c r="F553" s="107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6"/>
    </row>
    <row r="554" ht="15.75" customHeight="1">
      <c r="A554" s="109"/>
      <c r="B554" s="104"/>
      <c r="C554" s="104"/>
      <c r="D554" s="105"/>
      <c r="E554" s="106"/>
      <c r="F554" s="107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6"/>
    </row>
    <row r="555" ht="15.75" customHeight="1">
      <c r="A555" s="109"/>
      <c r="B555" s="104"/>
      <c r="C555" s="104"/>
      <c r="D555" s="105"/>
      <c r="E555" s="106"/>
      <c r="F555" s="107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6"/>
    </row>
    <row r="556" ht="15.75" customHeight="1">
      <c r="A556" s="109"/>
      <c r="B556" s="104"/>
      <c r="C556" s="104"/>
      <c r="D556" s="105"/>
      <c r="E556" s="106"/>
      <c r="F556" s="107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6"/>
    </row>
    <row r="557" ht="15.75" customHeight="1">
      <c r="A557" s="109"/>
      <c r="B557" s="104"/>
      <c r="C557" s="104"/>
      <c r="D557" s="105"/>
      <c r="E557" s="106"/>
      <c r="F557" s="107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6"/>
    </row>
    <row r="558" ht="15.75" customHeight="1">
      <c r="A558" s="109"/>
      <c r="B558" s="104"/>
      <c r="C558" s="104"/>
      <c r="D558" s="105"/>
      <c r="E558" s="106"/>
      <c r="F558" s="107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6"/>
    </row>
    <row r="559" ht="15.75" customHeight="1">
      <c r="A559" s="109"/>
      <c r="B559" s="104"/>
      <c r="C559" s="104"/>
      <c r="D559" s="105"/>
      <c r="E559" s="106"/>
      <c r="F559" s="107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6"/>
    </row>
    <row r="560" ht="15.75" customHeight="1">
      <c r="A560" s="109"/>
      <c r="B560" s="104"/>
      <c r="C560" s="104"/>
      <c r="D560" s="105"/>
      <c r="E560" s="106"/>
      <c r="F560" s="107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6"/>
    </row>
    <row r="561" ht="15.75" customHeight="1">
      <c r="A561" s="109"/>
      <c r="B561" s="104"/>
      <c r="C561" s="104"/>
      <c r="D561" s="105"/>
      <c r="E561" s="106"/>
      <c r="F561" s="107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6"/>
    </row>
    <row r="562" ht="15.75" customHeight="1">
      <c r="A562" s="109"/>
      <c r="B562" s="104"/>
      <c r="C562" s="104"/>
      <c r="D562" s="105"/>
      <c r="E562" s="106"/>
      <c r="F562" s="107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6"/>
    </row>
    <row r="563" ht="15.75" customHeight="1">
      <c r="A563" s="109"/>
      <c r="B563" s="104"/>
      <c r="C563" s="104"/>
      <c r="D563" s="105"/>
      <c r="E563" s="106"/>
      <c r="F563" s="107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6"/>
    </row>
    <row r="564" ht="15.75" customHeight="1">
      <c r="A564" s="109"/>
      <c r="B564" s="104"/>
      <c r="C564" s="104"/>
      <c r="D564" s="105"/>
      <c r="E564" s="106"/>
      <c r="F564" s="107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6"/>
    </row>
    <row r="565" ht="15.75" customHeight="1">
      <c r="A565" s="109"/>
      <c r="B565" s="104"/>
      <c r="C565" s="104"/>
      <c r="D565" s="105"/>
      <c r="E565" s="106"/>
      <c r="F565" s="107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6"/>
    </row>
    <row r="566" ht="15.75" customHeight="1">
      <c r="A566" s="109"/>
      <c r="B566" s="104"/>
      <c r="C566" s="104"/>
      <c r="D566" s="105"/>
      <c r="E566" s="106"/>
      <c r="F566" s="107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6"/>
    </row>
    <row r="567" ht="15.75" customHeight="1">
      <c r="A567" s="109"/>
      <c r="B567" s="104"/>
      <c r="C567" s="104"/>
      <c r="D567" s="105"/>
      <c r="E567" s="106"/>
      <c r="F567" s="107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6"/>
    </row>
    <row r="568" ht="15.75" customHeight="1">
      <c r="A568" s="109"/>
      <c r="B568" s="104"/>
      <c r="C568" s="104"/>
      <c r="D568" s="105"/>
      <c r="E568" s="106"/>
      <c r="F568" s="107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6"/>
    </row>
    <row r="569" ht="15.75" customHeight="1">
      <c r="A569" s="109"/>
      <c r="B569" s="104"/>
      <c r="C569" s="104"/>
      <c r="D569" s="105"/>
      <c r="E569" s="106"/>
      <c r="F569" s="107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6"/>
    </row>
    <row r="570" ht="15.75" customHeight="1">
      <c r="A570" s="109"/>
      <c r="B570" s="104"/>
      <c r="C570" s="104"/>
      <c r="D570" s="105"/>
      <c r="E570" s="106"/>
      <c r="F570" s="107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6"/>
    </row>
    <row r="571" ht="15.75" customHeight="1">
      <c r="A571" s="109"/>
      <c r="B571" s="104"/>
      <c r="C571" s="104"/>
      <c r="D571" s="105"/>
      <c r="E571" s="106"/>
      <c r="F571" s="107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6"/>
    </row>
    <row r="572" ht="15.75" customHeight="1">
      <c r="A572" s="109"/>
      <c r="B572" s="104"/>
      <c r="C572" s="104"/>
      <c r="D572" s="105"/>
      <c r="E572" s="106"/>
      <c r="F572" s="107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6"/>
    </row>
    <row r="573" ht="15.75" customHeight="1">
      <c r="A573" s="109"/>
      <c r="B573" s="104"/>
      <c r="C573" s="104"/>
      <c r="D573" s="105"/>
      <c r="E573" s="106"/>
      <c r="F573" s="107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6"/>
    </row>
    <row r="574" ht="15.75" customHeight="1">
      <c r="A574" s="109"/>
      <c r="B574" s="104"/>
      <c r="C574" s="104"/>
      <c r="D574" s="105"/>
      <c r="E574" s="106"/>
      <c r="F574" s="107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6"/>
    </row>
    <row r="575" ht="15.75" customHeight="1">
      <c r="A575" s="109"/>
      <c r="B575" s="104"/>
      <c r="C575" s="104"/>
      <c r="D575" s="105"/>
      <c r="E575" s="106"/>
      <c r="F575" s="107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6"/>
    </row>
    <row r="576" ht="15.75" customHeight="1">
      <c r="A576" s="109"/>
      <c r="B576" s="104"/>
      <c r="C576" s="104"/>
      <c r="D576" s="105"/>
      <c r="E576" s="106"/>
      <c r="F576" s="107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6"/>
    </row>
    <row r="577" ht="15.75" customHeight="1">
      <c r="A577" s="109"/>
      <c r="B577" s="104"/>
      <c r="C577" s="104"/>
      <c r="D577" s="105"/>
      <c r="E577" s="106"/>
      <c r="F577" s="107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6"/>
    </row>
    <row r="578" ht="15.75" customHeight="1">
      <c r="A578" s="109"/>
      <c r="B578" s="104"/>
      <c r="C578" s="104"/>
      <c r="D578" s="105"/>
      <c r="E578" s="106"/>
      <c r="F578" s="107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6"/>
    </row>
    <row r="579" ht="15.75" customHeight="1">
      <c r="A579" s="109"/>
      <c r="B579" s="104"/>
      <c r="C579" s="104"/>
      <c r="D579" s="105"/>
      <c r="E579" s="106"/>
      <c r="F579" s="107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6"/>
    </row>
    <row r="580" ht="15.75" customHeight="1">
      <c r="A580" s="109"/>
      <c r="B580" s="104"/>
      <c r="C580" s="104"/>
      <c r="D580" s="105"/>
      <c r="E580" s="106"/>
      <c r="F580" s="107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6"/>
    </row>
    <row r="581" ht="15.75" customHeight="1">
      <c r="A581" s="109"/>
      <c r="B581" s="104"/>
      <c r="C581" s="104"/>
      <c r="D581" s="105"/>
      <c r="E581" s="106"/>
      <c r="F581" s="107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6"/>
    </row>
    <row r="582" ht="15.75" customHeight="1">
      <c r="A582" s="109"/>
      <c r="B582" s="104"/>
      <c r="C582" s="104"/>
      <c r="D582" s="105"/>
      <c r="E582" s="106"/>
      <c r="F582" s="107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6"/>
    </row>
    <row r="583" ht="15.75" customHeight="1">
      <c r="A583" s="109"/>
      <c r="B583" s="104"/>
      <c r="C583" s="104"/>
      <c r="D583" s="105"/>
      <c r="E583" s="106"/>
      <c r="F583" s="107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6"/>
    </row>
    <row r="584" ht="15.75" customHeight="1">
      <c r="A584" s="109"/>
      <c r="B584" s="104"/>
      <c r="C584" s="104"/>
      <c r="D584" s="105"/>
      <c r="E584" s="106"/>
      <c r="F584" s="107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6"/>
    </row>
    <row r="585" ht="15.75" customHeight="1">
      <c r="A585" s="109"/>
      <c r="B585" s="104"/>
      <c r="C585" s="104"/>
      <c r="D585" s="105"/>
      <c r="E585" s="106"/>
      <c r="F585" s="107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6"/>
    </row>
    <row r="586" ht="15.75" customHeight="1">
      <c r="A586" s="109"/>
      <c r="B586" s="104"/>
      <c r="C586" s="104"/>
      <c r="D586" s="105"/>
      <c r="E586" s="106"/>
      <c r="F586" s="107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6"/>
    </row>
    <row r="587" ht="15.75" customHeight="1">
      <c r="A587" s="109"/>
      <c r="B587" s="104"/>
      <c r="C587" s="104"/>
      <c r="D587" s="105"/>
      <c r="E587" s="106"/>
      <c r="F587" s="107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6"/>
    </row>
    <row r="588" ht="15.75" customHeight="1">
      <c r="A588" s="109"/>
      <c r="B588" s="104"/>
      <c r="C588" s="104"/>
      <c r="D588" s="105"/>
      <c r="E588" s="106"/>
      <c r="F588" s="107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6"/>
    </row>
    <row r="589" ht="15.75" customHeight="1">
      <c r="A589" s="109"/>
      <c r="B589" s="104"/>
      <c r="C589" s="104"/>
      <c r="D589" s="105"/>
      <c r="E589" s="106"/>
      <c r="F589" s="107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6"/>
    </row>
    <row r="590" ht="15.75" customHeight="1">
      <c r="A590" s="109"/>
      <c r="B590" s="104"/>
      <c r="C590" s="104"/>
      <c r="D590" s="105"/>
      <c r="E590" s="106"/>
      <c r="F590" s="107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6"/>
    </row>
    <row r="591" ht="15.75" customHeight="1">
      <c r="A591" s="109"/>
      <c r="B591" s="104"/>
      <c r="C591" s="104"/>
      <c r="D591" s="105"/>
      <c r="E591" s="106"/>
      <c r="F591" s="107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6"/>
    </row>
    <row r="592" ht="15.75" customHeight="1">
      <c r="A592" s="109"/>
      <c r="B592" s="104"/>
      <c r="C592" s="104"/>
      <c r="D592" s="105"/>
      <c r="E592" s="106"/>
      <c r="F592" s="107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6"/>
    </row>
    <row r="593" ht="15.75" customHeight="1">
      <c r="A593" s="109"/>
      <c r="B593" s="104"/>
      <c r="C593" s="104"/>
      <c r="D593" s="105"/>
      <c r="E593" s="106"/>
      <c r="F593" s="107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6"/>
    </row>
    <row r="594" ht="15.75" customHeight="1">
      <c r="A594" s="109"/>
      <c r="B594" s="104"/>
      <c r="C594" s="104"/>
      <c r="D594" s="105"/>
      <c r="E594" s="106"/>
      <c r="F594" s="107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6"/>
    </row>
    <row r="595" ht="15.75" customHeight="1">
      <c r="A595" s="109"/>
      <c r="B595" s="104"/>
      <c r="C595" s="104"/>
      <c r="D595" s="105"/>
      <c r="E595" s="106"/>
      <c r="F595" s="107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6"/>
    </row>
    <row r="596" ht="15.75" customHeight="1">
      <c r="A596" s="109"/>
      <c r="B596" s="104"/>
      <c r="C596" s="104"/>
      <c r="D596" s="105"/>
      <c r="E596" s="106"/>
      <c r="F596" s="107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6"/>
    </row>
    <row r="597" ht="15.75" customHeight="1">
      <c r="A597" s="109"/>
      <c r="B597" s="104"/>
      <c r="C597" s="104"/>
      <c r="D597" s="105"/>
      <c r="E597" s="106"/>
      <c r="F597" s="107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6"/>
    </row>
    <row r="598" ht="15.75" customHeight="1">
      <c r="A598" s="109"/>
      <c r="B598" s="104"/>
      <c r="C598" s="104"/>
      <c r="D598" s="105"/>
      <c r="E598" s="106"/>
      <c r="F598" s="107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6"/>
    </row>
    <row r="599" ht="15.75" customHeight="1">
      <c r="A599" s="109"/>
      <c r="B599" s="104"/>
      <c r="C599" s="104"/>
      <c r="D599" s="105"/>
      <c r="E599" s="106"/>
      <c r="F599" s="107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6"/>
    </row>
    <row r="600" ht="15.75" customHeight="1">
      <c r="A600" s="109"/>
      <c r="B600" s="104"/>
      <c r="C600" s="104"/>
      <c r="D600" s="105"/>
      <c r="E600" s="106"/>
      <c r="F600" s="107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6"/>
    </row>
    <row r="601" ht="15.75" customHeight="1">
      <c r="A601" s="109"/>
      <c r="B601" s="104"/>
      <c r="C601" s="104"/>
      <c r="D601" s="105"/>
      <c r="E601" s="106"/>
      <c r="F601" s="107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6"/>
    </row>
    <row r="602" ht="15.75" customHeight="1">
      <c r="A602" s="109"/>
      <c r="B602" s="104"/>
      <c r="C602" s="104"/>
      <c r="D602" s="105"/>
      <c r="E602" s="106"/>
      <c r="F602" s="107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6"/>
    </row>
    <row r="603" ht="15.75" customHeight="1">
      <c r="A603" s="109"/>
      <c r="B603" s="104"/>
      <c r="C603" s="104"/>
      <c r="D603" s="105"/>
      <c r="E603" s="106"/>
      <c r="F603" s="107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6"/>
    </row>
    <row r="604" ht="15.75" customHeight="1">
      <c r="A604" s="109"/>
      <c r="B604" s="104"/>
      <c r="C604" s="104"/>
      <c r="D604" s="105"/>
      <c r="E604" s="106"/>
      <c r="F604" s="107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6"/>
    </row>
    <row r="605" ht="15.75" customHeight="1">
      <c r="A605" s="109"/>
      <c r="B605" s="104"/>
      <c r="C605" s="104"/>
      <c r="D605" s="105"/>
      <c r="E605" s="106"/>
      <c r="F605" s="107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6"/>
    </row>
    <row r="606" ht="15.75" customHeight="1">
      <c r="A606" s="109"/>
      <c r="B606" s="104"/>
      <c r="C606" s="104"/>
      <c r="D606" s="105"/>
      <c r="E606" s="106"/>
      <c r="F606" s="107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6"/>
    </row>
    <row r="607" ht="15.75" customHeight="1">
      <c r="A607" s="109"/>
      <c r="B607" s="104"/>
      <c r="C607" s="104"/>
      <c r="D607" s="105"/>
      <c r="E607" s="106"/>
      <c r="F607" s="107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6"/>
    </row>
    <row r="608" ht="15.75" customHeight="1">
      <c r="A608" s="109"/>
      <c r="B608" s="104"/>
      <c r="C608" s="104"/>
      <c r="D608" s="105"/>
      <c r="E608" s="106"/>
      <c r="F608" s="107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6"/>
    </row>
    <row r="609" ht="15.75" customHeight="1">
      <c r="A609" s="109"/>
      <c r="B609" s="104"/>
      <c r="C609" s="104"/>
      <c r="D609" s="105"/>
      <c r="E609" s="106"/>
      <c r="F609" s="107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6"/>
    </row>
    <row r="610" ht="15.75" customHeight="1">
      <c r="A610" s="109"/>
      <c r="B610" s="104"/>
      <c r="C610" s="104"/>
      <c r="D610" s="105"/>
      <c r="E610" s="106"/>
      <c r="F610" s="107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6"/>
    </row>
    <row r="611" ht="15.75" customHeight="1">
      <c r="A611" s="109"/>
      <c r="B611" s="104"/>
      <c r="C611" s="104"/>
      <c r="D611" s="105"/>
      <c r="E611" s="106"/>
      <c r="F611" s="107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6"/>
    </row>
    <row r="612" ht="15.75" customHeight="1">
      <c r="A612" s="109"/>
      <c r="B612" s="104"/>
      <c r="C612" s="104"/>
      <c r="D612" s="105"/>
      <c r="E612" s="106"/>
      <c r="F612" s="107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6"/>
    </row>
    <row r="613" ht="15.75" customHeight="1">
      <c r="A613" s="109"/>
      <c r="B613" s="104"/>
      <c r="C613" s="104"/>
      <c r="D613" s="105"/>
      <c r="E613" s="106"/>
      <c r="F613" s="107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6"/>
    </row>
    <row r="614" ht="15.75" customHeight="1">
      <c r="A614" s="109"/>
      <c r="B614" s="104"/>
      <c r="C614" s="104"/>
      <c r="D614" s="105"/>
      <c r="E614" s="106"/>
      <c r="F614" s="107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6"/>
    </row>
    <row r="615" ht="15.75" customHeight="1">
      <c r="A615" s="109"/>
      <c r="B615" s="104"/>
      <c r="C615" s="104"/>
      <c r="D615" s="105"/>
      <c r="E615" s="106"/>
      <c r="F615" s="107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6"/>
    </row>
    <row r="616" ht="15.75" customHeight="1">
      <c r="A616" s="109"/>
      <c r="B616" s="104"/>
      <c r="C616" s="104"/>
      <c r="D616" s="105"/>
      <c r="E616" s="106"/>
      <c r="F616" s="107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6"/>
    </row>
    <row r="617" ht="15.75" customHeight="1">
      <c r="A617" s="109"/>
      <c r="B617" s="104"/>
      <c r="C617" s="104"/>
      <c r="D617" s="105"/>
      <c r="E617" s="106"/>
      <c r="F617" s="107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6"/>
    </row>
    <row r="618" ht="15.75" customHeight="1">
      <c r="A618" s="109"/>
      <c r="B618" s="104"/>
      <c r="C618" s="104"/>
      <c r="D618" s="105"/>
      <c r="E618" s="106"/>
      <c r="F618" s="107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6"/>
    </row>
    <row r="619" ht="15.75" customHeight="1">
      <c r="A619" s="109"/>
      <c r="B619" s="104"/>
      <c r="C619" s="104"/>
      <c r="D619" s="105"/>
      <c r="E619" s="106"/>
      <c r="F619" s="107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6"/>
    </row>
    <row r="620" ht="15.75" customHeight="1">
      <c r="A620" s="109"/>
      <c r="B620" s="104"/>
      <c r="C620" s="104"/>
      <c r="D620" s="105"/>
      <c r="E620" s="106"/>
      <c r="F620" s="107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6"/>
    </row>
    <row r="621" ht="15.75" customHeight="1">
      <c r="A621" s="109"/>
      <c r="B621" s="104"/>
      <c r="C621" s="104"/>
      <c r="D621" s="105"/>
      <c r="E621" s="106"/>
      <c r="F621" s="107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6"/>
    </row>
    <row r="622" ht="15.75" customHeight="1">
      <c r="A622" s="109"/>
      <c r="B622" s="104"/>
      <c r="C622" s="104"/>
      <c r="D622" s="105"/>
      <c r="E622" s="106"/>
      <c r="F622" s="107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6"/>
    </row>
    <row r="623" ht="15.75" customHeight="1">
      <c r="A623" s="109"/>
      <c r="B623" s="104"/>
      <c r="C623" s="104"/>
      <c r="D623" s="105"/>
      <c r="E623" s="106"/>
      <c r="F623" s="107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6"/>
    </row>
    <row r="624" ht="15.75" customHeight="1">
      <c r="A624" s="109"/>
      <c r="B624" s="104"/>
      <c r="C624" s="104"/>
      <c r="D624" s="105"/>
      <c r="E624" s="106"/>
      <c r="F624" s="107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6"/>
    </row>
    <row r="625" ht="15.75" customHeight="1">
      <c r="A625" s="109"/>
      <c r="B625" s="104"/>
      <c r="C625" s="104"/>
      <c r="D625" s="105"/>
      <c r="E625" s="106"/>
      <c r="F625" s="107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6"/>
    </row>
    <row r="626" ht="15.75" customHeight="1">
      <c r="A626" s="109"/>
      <c r="B626" s="104"/>
      <c r="C626" s="104"/>
      <c r="D626" s="105"/>
      <c r="E626" s="106"/>
      <c r="F626" s="107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6"/>
    </row>
    <row r="627" ht="15.75" customHeight="1">
      <c r="A627" s="109"/>
      <c r="B627" s="104"/>
      <c r="C627" s="104"/>
      <c r="D627" s="105"/>
      <c r="E627" s="106"/>
      <c r="F627" s="107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6"/>
    </row>
    <row r="628" ht="15.75" customHeight="1">
      <c r="A628" s="109"/>
      <c r="B628" s="104"/>
      <c r="C628" s="104"/>
      <c r="D628" s="105"/>
      <c r="E628" s="106"/>
      <c r="F628" s="107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6"/>
    </row>
    <row r="629" ht="15.75" customHeight="1">
      <c r="A629" s="109"/>
      <c r="B629" s="104"/>
      <c r="C629" s="104"/>
      <c r="D629" s="105"/>
      <c r="E629" s="106"/>
      <c r="F629" s="107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6"/>
    </row>
    <row r="630" ht="15.75" customHeight="1">
      <c r="A630" s="109"/>
      <c r="B630" s="104"/>
      <c r="C630" s="104"/>
      <c r="D630" s="105"/>
      <c r="E630" s="106"/>
      <c r="F630" s="107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6"/>
    </row>
    <row r="631" ht="15.75" customHeight="1">
      <c r="A631" s="109"/>
      <c r="B631" s="104"/>
      <c r="C631" s="104"/>
      <c r="D631" s="105"/>
      <c r="E631" s="106"/>
      <c r="F631" s="107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6"/>
    </row>
    <row r="632" ht="15.75" customHeight="1">
      <c r="A632" s="109"/>
      <c r="B632" s="104"/>
      <c r="C632" s="104"/>
      <c r="D632" s="105"/>
      <c r="E632" s="106"/>
      <c r="F632" s="107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6"/>
    </row>
    <row r="633" ht="15.75" customHeight="1">
      <c r="A633" s="109"/>
      <c r="B633" s="104"/>
      <c r="C633" s="104"/>
      <c r="D633" s="105"/>
      <c r="E633" s="106"/>
      <c r="F633" s="107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6"/>
    </row>
    <row r="634" ht="15.75" customHeight="1">
      <c r="A634" s="109"/>
      <c r="B634" s="104"/>
      <c r="C634" s="104"/>
      <c r="D634" s="105"/>
      <c r="E634" s="106"/>
      <c r="F634" s="107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6"/>
    </row>
    <row r="635" ht="15.75" customHeight="1">
      <c r="A635" s="109"/>
      <c r="B635" s="104"/>
      <c r="C635" s="104"/>
      <c r="D635" s="105"/>
      <c r="E635" s="106"/>
      <c r="F635" s="107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6"/>
    </row>
    <row r="636" ht="15.75" customHeight="1">
      <c r="A636" s="109"/>
      <c r="B636" s="104"/>
      <c r="C636" s="104"/>
      <c r="D636" s="105"/>
      <c r="E636" s="106"/>
      <c r="F636" s="107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6"/>
    </row>
    <row r="637" ht="15.75" customHeight="1">
      <c r="A637" s="109"/>
      <c r="B637" s="104"/>
      <c r="C637" s="104"/>
      <c r="D637" s="105"/>
      <c r="E637" s="106"/>
      <c r="F637" s="107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6"/>
    </row>
    <row r="638" ht="15.75" customHeight="1">
      <c r="A638" s="109"/>
      <c r="B638" s="104"/>
      <c r="C638" s="104"/>
      <c r="D638" s="105"/>
      <c r="E638" s="106"/>
      <c r="F638" s="107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6"/>
    </row>
    <row r="639" ht="15.75" customHeight="1">
      <c r="A639" s="109"/>
      <c r="B639" s="104"/>
      <c r="C639" s="104"/>
      <c r="D639" s="105"/>
      <c r="E639" s="106"/>
      <c r="F639" s="107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6"/>
    </row>
    <row r="640" ht="15.75" customHeight="1">
      <c r="A640" s="109"/>
      <c r="B640" s="104"/>
      <c r="C640" s="104"/>
      <c r="D640" s="105"/>
      <c r="E640" s="106"/>
      <c r="F640" s="107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6"/>
    </row>
    <row r="641" ht="15.75" customHeight="1">
      <c r="A641" s="109"/>
      <c r="B641" s="104"/>
      <c r="C641" s="104"/>
      <c r="D641" s="105"/>
      <c r="E641" s="106"/>
      <c r="F641" s="107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6"/>
    </row>
    <row r="642" ht="15.75" customHeight="1">
      <c r="A642" s="109"/>
      <c r="B642" s="104"/>
      <c r="C642" s="104"/>
      <c r="D642" s="105"/>
      <c r="E642" s="106"/>
      <c r="F642" s="107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6"/>
    </row>
    <row r="643" ht="15.75" customHeight="1">
      <c r="A643" s="109"/>
      <c r="B643" s="104"/>
      <c r="C643" s="104"/>
      <c r="D643" s="105"/>
      <c r="E643" s="106"/>
      <c r="F643" s="107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6"/>
    </row>
    <row r="644" ht="15.75" customHeight="1">
      <c r="A644" s="109"/>
      <c r="B644" s="104"/>
      <c r="C644" s="104"/>
      <c r="D644" s="105"/>
      <c r="E644" s="106"/>
      <c r="F644" s="107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6"/>
    </row>
    <row r="645" ht="15.75" customHeight="1">
      <c r="A645" s="109"/>
      <c r="B645" s="104"/>
      <c r="C645" s="104"/>
      <c r="D645" s="105"/>
      <c r="E645" s="106"/>
      <c r="F645" s="107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6"/>
    </row>
    <row r="646" ht="15.75" customHeight="1">
      <c r="A646" s="109"/>
      <c r="B646" s="104"/>
      <c r="C646" s="104"/>
      <c r="D646" s="105"/>
      <c r="E646" s="106"/>
      <c r="F646" s="107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6"/>
    </row>
    <row r="647" ht="15.75" customHeight="1">
      <c r="A647" s="109"/>
      <c r="B647" s="104"/>
      <c r="C647" s="104"/>
      <c r="D647" s="105"/>
      <c r="E647" s="106"/>
      <c r="F647" s="107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6"/>
    </row>
    <row r="648" ht="15.75" customHeight="1">
      <c r="A648" s="109"/>
      <c r="B648" s="104"/>
      <c r="C648" s="104"/>
      <c r="D648" s="105"/>
      <c r="E648" s="106"/>
      <c r="F648" s="107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6"/>
    </row>
    <row r="649" ht="15.75" customHeight="1">
      <c r="A649" s="109"/>
      <c r="B649" s="104"/>
      <c r="C649" s="104"/>
      <c r="D649" s="105"/>
      <c r="E649" s="106"/>
      <c r="F649" s="107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6"/>
    </row>
    <row r="650" ht="15.75" customHeight="1">
      <c r="A650" s="109"/>
      <c r="B650" s="104"/>
      <c r="C650" s="104"/>
      <c r="D650" s="105"/>
      <c r="E650" s="106"/>
      <c r="F650" s="107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6"/>
    </row>
    <row r="651" ht="15.75" customHeight="1">
      <c r="A651" s="109"/>
      <c r="B651" s="104"/>
      <c r="C651" s="104"/>
      <c r="D651" s="105"/>
      <c r="E651" s="106"/>
      <c r="F651" s="107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6"/>
    </row>
    <row r="652" ht="15.75" customHeight="1">
      <c r="A652" s="109"/>
      <c r="B652" s="104"/>
      <c r="C652" s="104"/>
      <c r="D652" s="105"/>
      <c r="E652" s="106"/>
      <c r="F652" s="107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6"/>
    </row>
    <row r="653" ht="15.75" customHeight="1">
      <c r="A653" s="109"/>
      <c r="B653" s="104"/>
      <c r="C653" s="104"/>
      <c r="D653" s="105"/>
      <c r="E653" s="106"/>
      <c r="F653" s="107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6"/>
    </row>
    <row r="654" ht="15.75" customHeight="1">
      <c r="A654" s="109"/>
      <c r="B654" s="104"/>
      <c r="C654" s="104"/>
      <c r="D654" s="105"/>
      <c r="E654" s="106"/>
      <c r="F654" s="107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6"/>
    </row>
    <row r="655" ht="15.75" customHeight="1">
      <c r="A655" s="109"/>
      <c r="B655" s="104"/>
      <c r="C655" s="104"/>
      <c r="D655" s="105"/>
      <c r="E655" s="106"/>
      <c r="F655" s="107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6"/>
    </row>
    <row r="656" ht="15.75" customHeight="1">
      <c r="A656" s="109"/>
      <c r="B656" s="104"/>
      <c r="C656" s="104"/>
      <c r="D656" s="105"/>
      <c r="E656" s="106"/>
      <c r="F656" s="107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6"/>
    </row>
    <row r="657" ht="15.75" customHeight="1">
      <c r="A657" s="109"/>
      <c r="B657" s="104"/>
      <c r="C657" s="104"/>
      <c r="D657" s="105"/>
      <c r="E657" s="106"/>
      <c r="F657" s="107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6"/>
    </row>
    <row r="658" ht="15.75" customHeight="1">
      <c r="A658" s="109"/>
      <c r="B658" s="104"/>
      <c r="C658" s="104"/>
      <c r="D658" s="105"/>
      <c r="E658" s="106"/>
      <c r="F658" s="107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6"/>
    </row>
    <row r="659" ht="15.75" customHeight="1">
      <c r="A659" s="109"/>
      <c r="B659" s="104"/>
      <c r="C659" s="104"/>
      <c r="D659" s="105"/>
      <c r="E659" s="106"/>
      <c r="F659" s="107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6"/>
    </row>
    <row r="660" ht="15.75" customHeight="1">
      <c r="A660" s="109"/>
      <c r="B660" s="104"/>
      <c r="C660" s="104"/>
      <c r="D660" s="105"/>
      <c r="E660" s="106"/>
      <c r="F660" s="107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6"/>
    </row>
    <row r="661" ht="15.75" customHeight="1">
      <c r="A661" s="109"/>
      <c r="B661" s="104"/>
      <c r="C661" s="104"/>
      <c r="D661" s="105"/>
      <c r="E661" s="106"/>
      <c r="F661" s="107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6"/>
    </row>
    <row r="662" ht="15.75" customHeight="1">
      <c r="A662" s="109"/>
      <c r="B662" s="104"/>
      <c r="C662" s="104"/>
      <c r="D662" s="105"/>
      <c r="E662" s="106"/>
      <c r="F662" s="107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6"/>
    </row>
    <row r="663" ht="15.75" customHeight="1">
      <c r="A663" s="109"/>
      <c r="B663" s="104"/>
      <c r="C663" s="104"/>
      <c r="D663" s="105"/>
      <c r="E663" s="106"/>
      <c r="F663" s="107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6"/>
    </row>
    <row r="664" ht="15.75" customHeight="1">
      <c r="A664" s="109"/>
      <c r="B664" s="104"/>
      <c r="C664" s="104"/>
      <c r="D664" s="105"/>
      <c r="E664" s="106"/>
      <c r="F664" s="107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6"/>
    </row>
    <row r="665" ht="15.75" customHeight="1">
      <c r="A665" s="109"/>
      <c r="B665" s="104"/>
      <c r="C665" s="104"/>
      <c r="D665" s="105"/>
      <c r="E665" s="106"/>
      <c r="F665" s="107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6"/>
    </row>
    <row r="666" ht="15.75" customHeight="1">
      <c r="A666" s="109"/>
      <c r="B666" s="104"/>
      <c r="C666" s="104"/>
      <c r="D666" s="105"/>
      <c r="E666" s="106"/>
      <c r="F666" s="107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6"/>
    </row>
    <row r="667" ht="15.75" customHeight="1">
      <c r="A667" s="109"/>
      <c r="B667" s="104"/>
      <c r="C667" s="104"/>
      <c r="D667" s="105"/>
      <c r="E667" s="106"/>
      <c r="F667" s="107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6"/>
    </row>
    <row r="668" ht="15.75" customHeight="1">
      <c r="A668" s="109"/>
      <c r="B668" s="104"/>
      <c r="C668" s="104"/>
      <c r="D668" s="105"/>
      <c r="E668" s="106"/>
      <c r="F668" s="107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6"/>
    </row>
    <row r="669" ht="15.75" customHeight="1">
      <c r="A669" s="109"/>
      <c r="B669" s="104"/>
      <c r="C669" s="104"/>
      <c r="D669" s="105"/>
      <c r="E669" s="106"/>
      <c r="F669" s="107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6"/>
    </row>
    <row r="670" ht="15.75" customHeight="1">
      <c r="A670" s="109"/>
      <c r="B670" s="104"/>
      <c r="C670" s="104"/>
      <c r="D670" s="105"/>
      <c r="E670" s="106"/>
      <c r="F670" s="107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6"/>
    </row>
    <row r="671" ht="15.75" customHeight="1">
      <c r="A671" s="109"/>
      <c r="B671" s="104"/>
      <c r="C671" s="104"/>
      <c r="D671" s="105"/>
      <c r="E671" s="106"/>
      <c r="F671" s="107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6"/>
    </row>
    <row r="672" ht="15.75" customHeight="1">
      <c r="A672" s="109"/>
      <c r="B672" s="104"/>
      <c r="C672" s="104"/>
      <c r="D672" s="105"/>
      <c r="E672" s="106"/>
      <c r="F672" s="107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6"/>
    </row>
    <row r="673" ht="15.75" customHeight="1">
      <c r="A673" s="109"/>
      <c r="B673" s="104"/>
      <c r="C673" s="104"/>
      <c r="D673" s="105"/>
      <c r="E673" s="106"/>
      <c r="F673" s="107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6"/>
    </row>
    <row r="674" ht="15.75" customHeight="1">
      <c r="A674" s="109"/>
      <c r="B674" s="104"/>
      <c r="C674" s="104"/>
      <c r="D674" s="105"/>
      <c r="E674" s="106"/>
      <c r="F674" s="107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6"/>
    </row>
    <row r="675" ht="15.75" customHeight="1">
      <c r="A675" s="109"/>
      <c r="B675" s="104"/>
      <c r="C675" s="104"/>
      <c r="D675" s="105"/>
      <c r="E675" s="106"/>
      <c r="F675" s="107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6"/>
    </row>
    <row r="676" ht="15.75" customHeight="1">
      <c r="A676" s="109"/>
      <c r="B676" s="104"/>
      <c r="C676" s="104"/>
      <c r="D676" s="105"/>
      <c r="E676" s="106"/>
      <c r="F676" s="107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6"/>
    </row>
    <row r="677" ht="15.75" customHeight="1">
      <c r="A677" s="109"/>
      <c r="B677" s="104"/>
      <c r="C677" s="104"/>
      <c r="D677" s="105"/>
      <c r="E677" s="106"/>
      <c r="F677" s="107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6"/>
    </row>
    <row r="678" ht="15.75" customHeight="1">
      <c r="A678" s="109"/>
      <c r="B678" s="104"/>
      <c r="C678" s="104"/>
      <c r="D678" s="105"/>
      <c r="E678" s="106"/>
      <c r="F678" s="107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6"/>
    </row>
    <row r="679" ht="15.75" customHeight="1">
      <c r="A679" s="109"/>
      <c r="B679" s="104"/>
      <c r="C679" s="104"/>
      <c r="D679" s="105"/>
      <c r="E679" s="106"/>
      <c r="F679" s="107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6"/>
    </row>
    <row r="680" ht="15.75" customHeight="1">
      <c r="A680" s="109"/>
      <c r="B680" s="104"/>
      <c r="C680" s="104"/>
      <c r="D680" s="105"/>
      <c r="E680" s="106"/>
      <c r="F680" s="107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6"/>
    </row>
    <row r="681" ht="15.75" customHeight="1">
      <c r="A681" s="109"/>
      <c r="B681" s="104"/>
      <c r="C681" s="104"/>
      <c r="D681" s="105"/>
      <c r="E681" s="106"/>
      <c r="F681" s="107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6"/>
    </row>
    <row r="682" ht="15.75" customHeight="1">
      <c r="A682" s="109"/>
      <c r="B682" s="104"/>
      <c r="C682" s="104"/>
      <c r="D682" s="105"/>
      <c r="E682" s="106"/>
      <c r="F682" s="107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6"/>
    </row>
    <row r="683" ht="15.75" customHeight="1">
      <c r="A683" s="109"/>
      <c r="B683" s="104"/>
      <c r="C683" s="104"/>
      <c r="D683" s="105"/>
      <c r="E683" s="106"/>
      <c r="F683" s="107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6"/>
    </row>
    <row r="684" ht="15.75" customHeight="1">
      <c r="A684" s="109"/>
      <c r="B684" s="104"/>
      <c r="C684" s="104"/>
      <c r="D684" s="105"/>
      <c r="E684" s="106"/>
      <c r="F684" s="107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6"/>
    </row>
    <row r="685" ht="15.75" customHeight="1">
      <c r="A685" s="109"/>
      <c r="B685" s="104"/>
      <c r="C685" s="104"/>
      <c r="D685" s="105"/>
      <c r="E685" s="106"/>
      <c r="F685" s="107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6"/>
    </row>
    <row r="686" ht="15.75" customHeight="1">
      <c r="A686" s="109"/>
      <c r="B686" s="104"/>
      <c r="C686" s="104"/>
      <c r="D686" s="105"/>
      <c r="E686" s="106"/>
      <c r="F686" s="107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6"/>
    </row>
    <row r="687" ht="15.75" customHeight="1">
      <c r="A687" s="109"/>
      <c r="B687" s="104"/>
      <c r="C687" s="104"/>
      <c r="D687" s="105"/>
      <c r="E687" s="106"/>
      <c r="F687" s="107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6"/>
    </row>
    <row r="688" ht="15.75" customHeight="1">
      <c r="A688" s="109"/>
      <c r="B688" s="104"/>
      <c r="C688" s="104"/>
      <c r="D688" s="105"/>
      <c r="E688" s="106"/>
      <c r="F688" s="107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6"/>
    </row>
    <row r="689" ht="15.75" customHeight="1">
      <c r="A689" s="109"/>
      <c r="B689" s="104"/>
      <c r="C689" s="104"/>
      <c r="D689" s="105"/>
      <c r="E689" s="106"/>
      <c r="F689" s="107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6"/>
    </row>
    <row r="690" ht="15.75" customHeight="1">
      <c r="A690" s="109"/>
      <c r="B690" s="104"/>
      <c r="C690" s="104"/>
      <c r="D690" s="105"/>
      <c r="E690" s="106"/>
      <c r="F690" s="107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6"/>
    </row>
    <row r="691" ht="15.75" customHeight="1">
      <c r="A691" s="109"/>
      <c r="B691" s="104"/>
      <c r="C691" s="104"/>
      <c r="D691" s="105"/>
      <c r="E691" s="106"/>
      <c r="F691" s="107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6"/>
    </row>
    <row r="692" ht="15.75" customHeight="1">
      <c r="A692" s="109"/>
      <c r="B692" s="104"/>
      <c r="C692" s="104"/>
      <c r="D692" s="105"/>
      <c r="E692" s="106"/>
      <c r="F692" s="107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6"/>
    </row>
    <row r="693" ht="15.75" customHeight="1">
      <c r="A693" s="109"/>
      <c r="B693" s="104"/>
      <c r="C693" s="104"/>
      <c r="D693" s="105"/>
      <c r="E693" s="106"/>
      <c r="F693" s="107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6"/>
    </row>
    <row r="694" ht="15.75" customHeight="1">
      <c r="A694" s="109"/>
      <c r="B694" s="104"/>
      <c r="C694" s="104"/>
      <c r="D694" s="105"/>
      <c r="E694" s="106"/>
      <c r="F694" s="107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6"/>
    </row>
    <row r="695" ht="15.75" customHeight="1">
      <c r="A695" s="109"/>
      <c r="B695" s="104"/>
      <c r="C695" s="104"/>
      <c r="D695" s="105"/>
      <c r="E695" s="106"/>
      <c r="F695" s="107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6"/>
    </row>
    <row r="696" ht="15.75" customHeight="1">
      <c r="A696" s="109"/>
      <c r="B696" s="104"/>
      <c r="C696" s="104"/>
      <c r="D696" s="105"/>
      <c r="E696" s="106"/>
      <c r="F696" s="107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6"/>
    </row>
    <row r="697" ht="15.75" customHeight="1">
      <c r="A697" s="109"/>
      <c r="B697" s="104"/>
      <c r="C697" s="104"/>
      <c r="D697" s="105"/>
      <c r="E697" s="106"/>
      <c r="F697" s="107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6"/>
    </row>
    <row r="698" ht="15.75" customHeight="1">
      <c r="A698" s="109"/>
      <c r="B698" s="104"/>
      <c r="C698" s="104"/>
      <c r="D698" s="105"/>
      <c r="E698" s="106"/>
      <c r="F698" s="107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6"/>
    </row>
    <row r="699" ht="15.75" customHeight="1">
      <c r="A699" s="109"/>
      <c r="B699" s="104"/>
      <c r="C699" s="104"/>
      <c r="D699" s="105"/>
      <c r="E699" s="106"/>
      <c r="F699" s="107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6"/>
    </row>
    <row r="700" ht="15.75" customHeight="1">
      <c r="A700" s="109"/>
      <c r="B700" s="104"/>
      <c r="C700" s="104"/>
      <c r="D700" s="105"/>
      <c r="E700" s="106"/>
      <c r="F700" s="107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6"/>
    </row>
    <row r="701" ht="15.75" customHeight="1">
      <c r="A701" s="109"/>
      <c r="B701" s="104"/>
      <c r="C701" s="104"/>
      <c r="D701" s="105"/>
      <c r="E701" s="106"/>
      <c r="F701" s="107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6"/>
    </row>
    <row r="702" ht="15.75" customHeight="1">
      <c r="A702" s="109"/>
      <c r="B702" s="104"/>
      <c r="C702" s="104"/>
      <c r="D702" s="105"/>
      <c r="E702" s="106"/>
      <c r="F702" s="107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6"/>
    </row>
    <row r="703" ht="15.75" customHeight="1">
      <c r="A703" s="109"/>
      <c r="B703" s="104"/>
      <c r="C703" s="104"/>
      <c r="D703" s="105"/>
      <c r="E703" s="106"/>
      <c r="F703" s="107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6"/>
    </row>
    <row r="704" ht="15.75" customHeight="1">
      <c r="A704" s="109"/>
      <c r="B704" s="104"/>
      <c r="C704" s="104"/>
      <c r="D704" s="105"/>
      <c r="E704" s="106"/>
      <c r="F704" s="107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6"/>
    </row>
    <row r="705" ht="15.75" customHeight="1">
      <c r="A705" s="109"/>
      <c r="B705" s="104"/>
      <c r="C705" s="104"/>
      <c r="D705" s="105"/>
      <c r="E705" s="106"/>
      <c r="F705" s="107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6"/>
    </row>
    <row r="706" ht="15.75" customHeight="1">
      <c r="A706" s="109"/>
      <c r="B706" s="104"/>
      <c r="C706" s="104"/>
      <c r="D706" s="105"/>
      <c r="E706" s="106"/>
      <c r="F706" s="107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6"/>
    </row>
    <row r="707" ht="15.75" customHeight="1">
      <c r="A707" s="109"/>
      <c r="B707" s="104"/>
      <c r="C707" s="104"/>
      <c r="D707" s="105"/>
      <c r="E707" s="106"/>
      <c r="F707" s="107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6"/>
    </row>
    <row r="708" ht="15.75" customHeight="1">
      <c r="A708" s="109"/>
      <c r="B708" s="104"/>
      <c r="C708" s="104"/>
      <c r="D708" s="105"/>
      <c r="E708" s="106"/>
      <c r="F708" s="107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6"/>
    </row>
    <row r="709" ht="15.75" customHeight="1">
      <c r="A709" s="109"/>
      <c r="B709" s="104"/>
      <c r="C709" s="104"/>
      <c r="D709" s="105"/>
      <c r="E709" s="106"/>
      <c r="F709" s="107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6"/>
    </row>
    <row r="710" ht="15.75" customHeight="1">
      <c r="A710" s="109"/>
      <c r="B710" s="104"/>
      <c r="C710" s="104"/>
      <c r="D710" s="105"/>
      <c r="E710" s="106"/>
      <c r="F710" s="107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6"/>
    </row>
    <row r="711" ht="15.75" customHeight="1">
      <c r="A711" s="109"/>
      <c r="B711" s="104"/>
      <c r="C711" s="104"/>
      <c r="D711" s="105"/>
      <c r="E711" s="106"/>
      <c r="F711" s="107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6"/>
    </row>
    <row r="712" ht="15.75" customHeight="1">
      <c r="A712" s="109"/>
      <c r="B712" s="104"/>
      <c r="C712" s="104"/>
      <c r="D712" s="105"/>
      <c r="E712" s="106"/>
      <c r="F712" s="107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6"/>
    </row>
    <row r="713" ht="15.75" customHeight="1">
      <c r="A713" s="109"/>
      <c r="B713" s="104"/>
      <c r="C713" s="104"/>
      <c r="D713" s="105"/>
      <c r="E713" s="106"/>
      <c r="F713" s="107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6"/>
    </row>
    <row r="714" ht="15.75" customHeight="1">
      <c r="A714" s="109"/>
      <c r="B714" s="104"/>
      <c r="C714" s="104"/>
      <c r="D714" s="105"/>
      <c r="E714" s="106"/>
      <c r="F714" s="107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6"/>
    </row>
    <row r="715" ht="15.75" customHeight="1">
      <c r="A715" s="109"/>
      <c r="B715" s="104"/>
      <c r="C715" s="104"/>
      <c r="D715" s="105"/>
      <c r="E715" s="106"/>
      <c r="F715" s="107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6"/>
    </row>
    <row r="716" ht="15.75" customHeight="1">
      <c r="A716" s="109"/>
      <c r="B716" s="104"/>
      <c r="C716" s="104"/>
      <c r="D716" s="105"/>
      <c r="E716" s="106"/>
      <c r="F716" s="107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6"/>
    </row>
    <row r="717" ht="15.75" customHeight="1">
      <c r="A717" s="109"/>
      <c r="B717" s="104"/>
      <c r="C717" s="104"/>
      <c r="D717" s="105"/>
      <c r="E717" s="106"/>
      <c r="F717" s="107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6"/>
    </row>
    <row r="718" ht="15.75" customHeight="1">
      <c r="A718" s="109"/>
      <c r="B718" s="104"/>
      <c r="C718" s="104"/>
      <c r="D718" s="105"/>
      <c r="E718" s="106"/>
      <c r="F718" s="107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6"/>
    </row>
    <row r="719" ht="15.75" customHeight="1">
      <c r="A719" s="109"/>
      <c r="B719" s="104"/>
      <c r="C719" s="104"/>
      <c r="D719" s="105"/>
      <c r="E719" s="106"/>
      <c r="F719" s="107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6"/>
    </row>
    <row r="720" ht="15.75" customHeight="1">
      <c r="A720" s="109"/>
      <c r="B720" s="104"/>
      <c r="C720" s="104"/>
      <c r="D720" s="105"/>
      <c r="E720" s="106"/>
      <c r="F720" s="107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6"/>
    </row>
    <row r="721" ht="15.75" customHeight="1">
      <c r="A721" s="109"/>
      <c r="B721" s="104"/>
      <c r="C721" s="104"/>
      <c r="D721" s="105"/>
      <c r="E721" s="106"/>
      <c r="F721" s="107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6"/>
    </row>
    <row r="722" ht="15.75" customHeight="1">
      <c r="A722" s="109"/>
      <c r="B722" s="104"/>
      <c r="C722" s="104"/>
      <c r="D722" s="105"/>
      <c r="E722" s="106"/>
      <c r="F722" s="107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6"/>
    </row>
    <row r="723" ht="15.75" customHeight="1">
      <c r="A723" s="109"/>
      <c r="B723" s="104"/>
      <c r="C723" s="104"/>
      <c r="D723" s="105"/>
      <c r="E723" s="106"/>
      <c r="F723" s="107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6"/>
    </row>
    <row r="724" ht="15.75" customHeight="1">
      <c r="A724" s="109"/>
      <c r="B724" s="104"/>
      <c r="C724" s="104"/>
      <c r="D724" s="105"/>
      <c r="E724" s="106"/>
      <c r="F724" s="107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6"/>
    </row>
    <row r="725" ht="15.75" customHeight="1">
      <c r="A725" s="109"/>
      <c r="B725" s="104"/>
      <c r="C725" s="104"/>
      <c r="D725" s="105"/>
      <c r="E725" s="106"/>
      <c r="F725" s="107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6"/>
    </row>
    <row r="726" ht="15.75" customHeight="1">
      <c r="A726" s="109"/>
      <c r="B726" s="104"/>
      <c r="C726" s="104"/>
      <c r="D726" s="105"/>
      <c r="E726" s="106"/>
      <c r="F726" s="107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6"/>
    </row>
    <row r="727" ht="15.75" customHeight="1">
      <c r="A727" s="109"/>
      <c r="B727" s="104"/>
      <c r="C727" s="104"/>
      <c r="D727" s="105"/>
      <c r="E727" s="106"/>
      <c r="F727" s="107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6"/>
    </row>
    <row r="728" ht="15.75" customHeight="1">
      <c r="A728" s="109"/>
      <c r="B728" s="104"/>
      <c r="C728" s="104"/>
      <c r="D728" s="105"/>
      <c r="E728" s="106"/>
      <c r="F728" s="107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6"/>
    </row>
    <row r="729" ht="15.75" customHeight="1">
      <c r="A729" s="109"/>
      <c r="B729" s="104"/>
      <c r="C729" s="104"/>
      <c r="D729" s="105"/>
      <c r="E729" s="106"/>
      <c r="F729" s="107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6"/>
    </row>
    <row r="730" ht="15.75" customHeight="1">
      <c r="A730" s="109"/>
      <c r="B730" s="104"/>
      <c r="C730" s="104"/>
      <c r="D730" s="105"/>
      <c r="E730" s="106"/>
      <c r="F730" s="107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6"/>
    </row>
    <row r="731" ht="15.75" customHeight="1">
      <c r="A731" s="109"/>
      <c r="B731" s="104"/>
      <c r="C731" s="104"/>
      <c r="D731" s="105"/>
      <c r="E731" s="106"/>
      <c r="F731" s="107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6"/>
    </row>
    <row r="732" ht="15.75" customHeight="1">
      <c r="A732" s="109"/>
      <c r="B732" s="104"/>
      <c r="C732" s="104"/>
      <c r="D732" s="105"/>
      <c r="E732" s="106"/>
      <c r="F732" s="107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6"/>
    </row>
    <row r="733" ht="15.75" customHeight="1">
      <c r="A733" s="109"/>
      <c r="B733" s="104"/>
      <c r="C733" s="104"/>
      <c r="D733" s="105"/>
      <c r="E733" s="106"/>
      <c r="F733" s="107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6"/>
    </row>
    <row r="734" ht="15.75" customHeight="1">
      <c r="A734" s="109"/>
      <c r="B734" s="104"/>
      <c r="C734" s="104"/>
      <c r="D734" s="105"/>
      <c r="E734" s="106"/>
      <c r="F734" s="107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6"/>
    </row>
    <row r="735" ht="15.75" customHeight="1">
      <c r="A735" s="109"/>
      <c r="B735" s="104"/>
      <c r="C735" s="104"/>
      <c r="D735" s="105"/>
      <c r="E735" s="106"/>
      <c r="F735" s="107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6"/>
    </row>
    <row r="736" ht="15.75" customHeight="1">
      <c r="A736" s="109"/>
      <c r="B736" s="104"/>
      <c r="C736" s="104"/>
      <c r="D736" s="105"/>
      <c r="E736" s="106"/>
      <c r="F736" s="107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6"/>
    </row>
    <row r="737" ht="15.75" customHeight="1">
      <c r="A737" s="109"/>
      <c r="B737" s="104"/>
      <c r="C737" s="104"/>
      <c r="D737" s="105"/>
      <c r="E737" s="106"/>
      <c r="F737" s="107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6"/>
    </row>
    <row r="738" ht="15.75" customHeight="1">
      <c r="A738" s="109"/>
      <c r="B738" s="104"/>
      <c r="C738" s="104"/>
      <c r="D738" s="105"/>
      <c r="E738" s="106"/>
      <c r="F738" s="107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6"/>
    </row>
    <row r="739" ht="15.75" customHeight="1">
      <c r="A739" s="109"/>
      <c r="B739" s="104"/>
      <c r="C739" s="104"/>
      <c r="D739" s="105"/>
      <c r="E739" s="106"/>
      <c r="F739" s="107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6"/>
    </row>
    <row r="740" ht="15.75" customHeight="1">
      <c r="A740" s="109"/>
      <c r="B740" s="104"/>
      <c r="C740" s="104"/>
      <c r="D740" s="105"/>
      <c r="E740" s="106"/>
      <c r="F740" s="107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6"/>
    </row>
    <row r="741" ht="15.75" customHeight="1">
      <c r="A741" s="109"/>
      <c r="B741" s="104"/>
      <c r="C741" s="104"/>
      <c r="D741" s="105"/>
      <c r="E741" s="106"/>
      <c r="F741" s="107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6"/>
    </row>
    <row r="742" ht="15.75" customHeight="1">
      <c r="A742" s="109"/>
      <c r="B742" s="104"/>
      <c r="C742" s="104"/>
      <c r="D742" s="105"/>
      <c r="E742" s="106"/>
      <c r="F742" s="107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6"/>
    </row>
    <row r="743" ht="15.75" customHeight="1">
      <c r="A743" s="109"/>
      <c r="B743" s="104"/>
      <c r="C743" s="104"/>
      <c r="D743" s="105"/>
      <c r="E743" s="106"/>
      <c r="F743" s="107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6"/>
    </row>
    <row r="744" ht="15.75" customHeight="1">
      <c r="A744" s="109"/>
      <c r="B744" s="104"/>
      <c r="C744" s="104"/>
      <c r="D744" s="105"/>
      <c r="E744" s="106"/>
      <c r="F744" s="107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6"/>
    </row>
    <row r="745" ht="15.75" customHeight="1">
      <c r="A745" s="109"/>
      <c r="B745" s="104"/>
      <c r="C745" s="104"/>
      <c r="D745" s="105"/>
      <c r="E745" s="106"/>
      <c r="F745" s="107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6"/>
    </row>
    <row r="746" ht="15.75" customHeight="1">
      <c r="A746" s="109"/>
      <c r="B746" s="104"/>
      <c r="C746" s="104"/>
      <c r="D746" s="105"/>
      <c r="E746" s="106"/>
      <c r="F746" s="107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6"/>
    </row>
    <row r="747" ht="15.75" customHeight="1">
      <c r="A747" s="109"/>
      <c r="B747" s="104"/>
      <c r="C747" s="104"/>
      <c r="D747" s="105"/>
      <c r="E747" s="106"/>
      <c r="F747" s="107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6"/>
    </row>
    <row r="748" ht="15.75" customHeight="1">
      <c r="A748" s="109"/>
      <c r="B748" s="104"/>
      <c r="C748" s="104"/>
      <c r="D748" s="105"/>
      <c r="E748" s="106"/>
      <c r="F748" s="107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6"/>
    </row>
    <row r="749" ht="15.75" customHeight="1">
      <c r="A749" s="109"/>
      <c r="B749" s="104"/>
      <c r="C749" s="104"/>
      <c r="D749" s="105"/>
      <c r="E749" s="106"/>
      <c r="F749" s="107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6"/>
    </row>
    <row r="750" ht="15.75" customHeight="1">
      <c r="A750" s="109"/>
      <c r="B750" s="104"/>
      <c r="C750" s="104"/>
      <c r="D750" s="105"/>
      <c r="E750" s="106"/>
      <c r="F750" s="107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6"/>
    </row>
    <row r="751" ht="15.75" customHeight="1">
      <c r="A751" s="109"/>
      <c r="B751" s="104"/>
      <c r="C751" s="104"/>
      <c r="D751" s="105"/>
      <c r="E751" s="106"/>
      <c r="F751" s="107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6"/>
    </row>
    <row r="752" ht="15.75" customHeight="1">
      <c r="A752" s="109"/>
      <c r="B752" s="104"/>
      <c r="C752" s="104"/>
      <c r="D752" s="105"/>
      <c r="E752" s="106"/>
      <c r="F752" s="107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6"/>
    </row>
    <row r="753" ht="15.75" customHeight="1">
      <c r="A753" s="109"/>
      <c r="B753" s="104"/>
      <c r="C753" s="104"/>
      <c r="D753" s="105"/>
      <c r="E753" s="106"/>
      <c r="F753" s="107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6"/>
    </row>
    <row r="754" ht="15.75" customHeight="1">
      <c r="A754" s="109"/>
      <c r="B754" s="104"/>
      <c r="C754" s="104"/>
      <c r="D754" s="105"/>
      <c r="E754" s="106"/>
      <c r="F754" s="107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6"/>
    </row>
    <row r="755" ht="15.75" customHeight="1">
      <c r="A755" s="109"/>
      <c r="B755" s="104"/>
      <c r="C755" s="104"/>
      <c r="D755" s="105"/>
      <c r="E755" s="106"/>
      <c r="F755" s="107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6"/>
    </row>
    <row r="756" ht="15.75" customHeight="1">
      <c r="A756" s="109"/>
      <c r="B756" s="104"/>
      <c r="C756" s="104"/>
      <c r="D756" s="105"/>
      <c r="E756" s="106"/>
      <c r="F756" s="107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6"/>
    </row>
    <row r="757" ht="15.75" customHeight="1">
      <c r="A757" s="109"/>
      <c r="B757" s="104"/>
      <c r="C757" s="104"/>
      <c r="D757" s="105"/>
      <c r="E757" s="106"/>
      <c r="F757" s="107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6"/>
    </row>
    <row r="758" ht="15.75" customHeight="1">
      <c r="A758" s="109"/>
      <c r="B758" s="104"/>
      <c r="C758" s="104"/>
      <c r="D758" s="105"/>
      <c r="E758" s="106"/>
      <c r="F758" s="107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6"/>
    </row>
    <row r="759" ht="15.75" customHeight="1">
      <c r="A759" s="109"/>
      <c r="B759" s="104"/>
      <c r="C759" s="104"/>
      <c r="D759" s="105"/>
      <c r="E759" s="106"/>
      <c r="F759" s="107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6"/>
    </row>
    <row r="760" ht="15.75" customHeight="1">
      <c r="A760" s="109"/>
      <c r="B760" s="104"/>
      <c r="C760" s="104"/>
      <c r="D760" s="105"/>
      <c r="E760" s="106"/>
      <c r="F760" s="107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6"/>
    </row>
    <row r="761" ht="15.75" customHeight="1">
      <c r="A761" s="109"/>
      <c r="B761" s="104"/>
      <c r="C761" s="104"/>
      <c r="D761" s="105"/>
      <c r="E761" s="106"/>
      <c r="F761" s="107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6"/>
    </row>
    <row r="762" ht="15.75" customHeight="1">
      <c r="A762" s="109"/>
      <c r="B762" s="104"/>
      <c r="C762" s="104"/>
      <c r="D762" s="105"/>
      <c r="E762" s="106"/>
      <c r="F762" s="107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6"/>
    </row>
    <row r="763" ht="15.75" customHeight="1">
      <c r="A763" s="109"/>
      <c r="B763" s="104"/>
      <c r="C763" s="104"/>
      <c r="D763" s="105"/>
      <c r="E763" s="106"/>
      <c r="F763" s="107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6"/>
    </row>
    <row r="764" ht="15.75" customHeight="1">
      <c r="A764" s="109"/>
      <c r="B764" s="104"/>
      <c r="C764" s="104"/>
      <c r="D764" s="105"/>
      <c r="E764" s="106"/>
      <c r="F764" s="107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6"/>
    </row>
    <row r="765" ht="15.75" customHeight="1">
      <c r="A765" s="109"/>
      <c r="B765" s="104"/>
      <c r="C765" s="104"/>
      <c r="D765" s="105"/>
      <c r="E765" s="106"/>
      <c r="F765" s="107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6"/>
    </row>
    <row r="766" ht="15.75" customHeight="1">
      <c r="A766" s="109"/>
      <c r="B766" s="104"/>
      <c r="C766" s="104"/>
      <c r="D766" s="105"/>
      <c r="E766" s="106"/>
      <c r="F766" s="107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6"/>
    </row>
    <row r="767" ht="15.75" customHeight="1">
      <c r="A767" s="109"/>
      <c r="B767" s="104"/>
      <c r="C767" s="104"/>
      <c r="D767" s="105"/>
      <c r="E767" s="106"/>
      <c r="F767" s="107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6"/>
    </row>
    <row r="768" ht="15.75" customHeight="1">
      <c r="A768" s="109"/>
      <c r="B768" s="104"/>
      <c r="C768" s="104"/>
      <c r="D768" s="105"/>
      <c r="E768" s="106"/>
      <c r="F768" s="107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6"/>
    </row>
    <row r="769" ht="15.75" customHeight="1">
      <c r="A769" s="109"/>
      <c r="B769" s="104"/>
      <c r="C769" s="104"/>
      <c r="D769" s="105"/>
      <c r="E769" s="106"/>
      <c r="F769" s="107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6"/>
    </row>
    <row r="770" ht="15.75" customHeight="1">
      <c r="A770" s="109"/>
      <c r="B770" s="104"/>
      <c r="C770" s="104"/>
      <c r="D770" s="105"/>
      <c r="E770" s="106"/>
      <c r="F770" s="107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6"/>
    </row>
    <row r="771" ht="15.75" customHeight="1">
      <c r="A771" s="109"/>
      <c r="B771" s="104"/>
      <c r="C771" s="104"/>
      <c r="D771" s="105"/>
      <c r="E771" s="106"/>
      <c r="F771" s="107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6"/>
    </row>
    <row r="772" ht="15.75" customHeight="1">
      <c r="A772" s="109"/>
      <c r="B772" s="104"/>
      <c r="C772" s="104"/>
      <c r="D772" s="105"/>
      <c r="E772" s="106"/>
      <c r="F772" s="107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6"/>
    </row>
    <row r="773" ht="15.75" customHeight="1">
      <c r="A773" s="109"/>
      <c r="B773" s="104"/>
      <c r="C773" s="104"/>
      <c r="D773" s="105"/>
      <c r="E773" s="106"/>
      <c r="F773" s="107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6"/>
    </row>
    <row r="774" ht="15.75" customHeight="1">
      <c r="A774" s="109"/>
      <c r="B774" s="104"/>
      <c r="C774" s="104"/>
      <c r="D774" s="105"/>
      <c r="E774" s="106"/>
      <c r="F774" s="107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6"/>
    </row>
    <row r="775" ht="15.75" customHeight="1">
      <c r="A775" s="109"/>
      <c r="B775" s="104"/>
      <c r="C775" s="104"/>
      <c r="D775" s="105"/>
      <c r="E775" s="106"/>
      <c r="F775" s="107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6"/>
    </row>
    <row r="776" ht="15.75" customHeight="1">
      <c r="A776" s="109"/>
      <c r="B776" s="104"/>
      <c r="C776" s="104"/>
      <c r="D776" s="105"/>
      <c r="E776" s="106"/>
      <c r="F776" s="107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6"/>
    </row>
    <row r="777" ht="15.75" customHeight="1">
      <c r="A777" s="109"/>
      <c r="B777" s="104"/>
      <c r="C777" s="104"/>
      <c r="D777" s="105"/>
      <c r="E777" s="106"/>
      <c r="F777" s="107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6"/>
    </row>
    <row r="778" ht="15.75" customHeight="1">
      <c r="A778" s="109"/>
      <c r="B778" s="104"/>
      <c r="C778" s="104"/>
      <c r="D778" s="105"/>
      <c r="E778" s="106"/>
      <c r="F778" s="107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6"/>
    </row>
    <row r="779" ht="15.75" customHeight="1">
      <c r="A779" s="109"/>
      <c r="B779" s="104"/>
      <c r="C779" s="104"/>
      <c r="D779" s="105"/>
      <c r="E779" s="106"/>
      <c r="F779" s="107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6"/>
    </row>
    <row r="780" ht="15.75" customHeight="1">
      <c r="A780" s="109"/>
      <c r="B780" s="104"/>
      <c r="C780" s="104"/>
      <c r="D780" s="105"/>
      <c r="E780" s="106"/>
      <c r="F780" s="107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6"/>
    </row>
    <row r="781" ht="15.75" customHeight="1">
      <c r="A781" s="109"/>
      <c r="B781" s="104"/>
      <c r="C781" s="104"/>
      <c r="D781" s="105"/>
      <c r="E781" s="106"/>
      <c r="F781" s="107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6"/>
    </row>
    <row r="782" ht="15.75" customHeight="1">
      <c r="A782" s="109"/>
      <c r="B782" s="104"/>
      <c r="C782" s="104"/>
      <c r="D782" s="105"/>
      <c r="E782" s="106"/>
      <c r="F782" s="107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6"/>
    </row>
    <row r="783" ht="15.75" customHeight="1">
      <c r="A783" s="109"/>
      <c r="B783" s="104"/>
      <c r="C783" s="104"/>
      <c r="D783" s="105"/>
      <c r="E783" s="106"/>
      <c r="F783" s="107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6"/>
    </row>
    <row r="784" ht="15.75" customHeight="1">
      <c r="A784" s="109"/>
      <c r="B784" s="104"/>
      <c r="C784" s="104"/>
      <c r="D784" s="105"/>
      <c r="E784" s="106"/>
      <c r="F784" s="107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6"/>
    </row>
    <row r="785" ht="15.75" customHeight="1">
      <c r="A785" s="109"/>
      <c r="B785" s="104"/>
      <c r="C785" s="104"/>
      <c r="D785" s="105"/>
      <c r="E785" s="106"/>
      <c r="F785" s="107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6"/>
    </row>
    <row r="786" ht="15.75" customHeight="1">
      <c r="A786" s="109"/>
      <c r="B786" s="104"/>
      <c r="C786" s="104"/>
      <c r="D786" s="105"/>
      <c r="E786" s="106"/>
      <c r="F786" s="107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6"/>
    </row>
    <row r="787" ht="15.75" customHeight="1">
      <c r="A787" s="109"/>
      <c r="B787" s="104"/>
      <c r="C787" s="104"/>
      <c r="D787" s="105"/>
      <c r="E787" s="106"/>
      <c r="F787" s="107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6"/>
    </row>
    <row r="788" ht="15.75" customHeight="1">
      <c r="A788" s="109"/>
      <c r="B788" s="104"/>
      <c r="C788" s="104"/>
      <c r="D788" s="105"/>
      <c r="E788" s="106"/>
      <c r="F788" s="107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6"/>
    </row>
    <row r="789" ht="15.75" customHeight="1">
      <c r="A789" s="109"/>
      <c r="B789" s="104"/>
      <c r="C789" s="104"/>
      <c r="D789" s="105"/>
      <c r="E789" s="106"/>
      <c r="F789" s="107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6"/>
    </row>
    <row r="790" ht="15.75" customHeight="1">
      <c r="A790" s="109"/>
      <c r="B790" s="104"/>
      <c r="C790" s="104"/>
      <c r="D790" s="105"/>
      <c r="E790" s="106"/>
      <c r="F790" s="107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6"/>
    </row>
    <row r="791" ht="15.75" customHeight="1">
      <c r="A791" s="109"/>
      <c r="B791" s="104"/>
      <c r="C791" s="104"/>
      <c r="D791" s="105"/>
      <c r="E791" s="106"/>
      <c r="F791" s="107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6"/>
    </row>
    <row r="792" ht="15.75" customHeight="1">
      <c r="A792" s="109"/>
      <c r="B792" s="104"/>
      <c r="C792" s="104"/>
      <c r="D792" s="105"/>
      <c r="E792" s="106"/>
      <c r="F792" s="107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6"/>
    </row>
    <row r="793" ht="15.75" customHeight="1">
      <c r="A793" s="109"/>
      <c r="B793" s="104"/>
      <c r="C793" s="104"/>
      <c r="D793" s="105"/>
      <c r="E793" s="106"/>
      <c r="F793" s="107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6"/>
    </row>
    <row r="794" ht="15.75" customHeight="1">
      <c r="A794" s="109"/>
      <c r="B794" s="104"/>
      <c r="C794" s="104"/>
      <c r="D794" s="105"/>
      <c r="E794" s="106"/>
      <c r="F794" s="107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6"/>
    </row>
    <row r="795" ht="15.75" customHeight="1">
      <c r="A795" s="109"/>
      <c r="B795" s="104"/>
      <c r="C795" s="104"/>
      <c r="D795" s="105"/>
      <c r="E795" s="106"/>
      <c r="F795" s="107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6"/>
    </row>
    <row r="796" ht="15.75" customHeight="1">
      <c r="A796" s="109"/>
      <c r="B796" s="104"/>
      <c r="C796" s="104"/>
      <c r="D796" s="105"/>
      <c r="E796" s="106"/>
      <c r="F796" s="107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6"/>
    </row>
    <row r="797" ht="15.75" customHeight="1">
      <c r="A797" s="109"/>
      <c r="B797" s="104"/>
      <c r="C797" s="104"/>
      <c r="D797" s="105"/>
      <c r="E797" s="106"/>
      <c r="F797" s="107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6"/>
    </row>
    <row r="798" ht="15.75" customHeight="1">
      <c r="A798" s="109"/>
      <c r="B798" s="104"/>
      <c r="C798" s="104"/>
      <c r="D798" s="105"/>
      <c r="E798" s="106"/>
      <c r="F798" s="107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6"/>
    </row>
    <row r="799" ht="15.75" customHeight="1">
      <c r="A799" s="109"/>
      <c r="B799" s="104"/>
      <c r="C799" s="104"/>
      <c r="D799" s="105"/>
      <c r="E799" s="106"/>
      <c r="F799" s="107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6"/>
    </row>
    <row r="800" ht="15.75" customHeight="1">
      <c r="A800" s="109"/>
      <c r="B800" s="104"/>
      <c r="C800" s="104"/>
      <c r="D800" s="105"/>
      <c r="E800" s="106"/>
      <c r="F800" s="107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6"/>
    </row>
    <row r="801" ht="15.75" customHeight="1">
      <c r="A801" s="109"/>
      <c r="B801" s="104"/>
      <c r="C801" s="104"/>
      <c r="D801" s="105"/>
      <c r="E801" s="106"/>
      <c r="F801" s="107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6"/>
    </row>
    <row r="802" ht="15.75" customHeight="1">
      <c r="A802" s="109"/>
      <c r="B802" s="104"/>
      <c r="C802" s="104"/>
      <c r="D802" s="105"/>
      <c r="E802" s="106"/>
      <c r="F802" s="107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6"/>
    </row>
    <row r="803" ht="15.75" customHeight="1">
      <c r="A803" s="109"/>
      <c r="B803" s="104"/>
      <c r="C803" s="104"/>
      <c r="D803" s="105"/>
      <c r="E803" s="106"/>
      <c r="F803" s="107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6"/>
    </row>
    <row r="804" ht="15.75" customHeight="1">
      <c r="A804" s="109"/>
      <c r="B804" s="104"/>
      <c r="C804" s="104"/>
      <c r="D804" s="105"/>
      <c r="E804" s="106"/>
      <c r="F804" s="107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6"/>
    </row>
    <row r="805" ht="15.75" customHeight="1">
      <c r="A805" s="109"/>
      <c r="B805" s="104"/>
      <c r="C805" s="104"/>
      <c r="D805" s="105"/>
      <c r="E805" s="106"/>
      <c r="F805" s="107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6"/>
    </row>
    <row r="806" ht="15.75" customHeight="1">
      <c r="A806" s="109"/>
      <c r="B806" s="104"/>
      <c r="C806" s="104"/>
      <c r="D806" s="105"/>
      <c r="E806" s="106"/>
      <c r="F806" s="107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6"/>
    </row>
    <row r="807" ht="15.75" customHeight="1">
      <c r="A807" s="109"/>
      <c r="B807" s="104"/>
      <c r="C807" s="104"/>
      <c r="D807" s="105"/>
      <c r="E807" s="106"/>
      <c r="F807" s="107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6"/>
    </row>
    <row r="808" ht="15.75" customHeight="1">
      <c r="A808" s="109"/>
      <c r="B808" s="104"/>
      <c r="C808" s="104"/>
      <c r="D808" s="105"/>
      <c r="E808" s="106"/>
      <c r="F808" s="107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6"/>
    </row>
    <row r="809" ht="15.75" customHeight="1">
      <c r="A809" s="109"/>
      <c r="B809" s="104"/>
      <c r="C809" s="104"/>
      <c r="D809" s="105"/>
      <c r="E809" s="106"/>
      <c r="F809" s="107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6"/>
    </row>
    <row r="810" ht="15.75" customHeight="1">
      <c r="A810" s="109"/>
      <c r="B810" s="104"/>
      <c r="C810" s="104"/>
      <c r="D810" s="105"/>
      <c r="E810" s="106"/>
      <c r="F810" s="107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6"/>
    </row>
    <row r="811" ht="15.75" customHeight="1">
      <c r="A811" s="109"/>
      <c r="B811" s="104"/>
      <c r="C811" s="104"/>
      <c r="D811" s="105"/>
      <c r="E811" s="106"/>
      <c r="F811" s="107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6"/>
    </row>
    <row r="812" ht="15.75" customHeight="1">
      <c r="A812" s="109"/>
      <c r="B812" s="104"/>
      <c r="C812" s="104"/>
      <c r="D812" s="105"/>
      <c r="E812" s="106"/>
      <c r="F812" s="107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6"/>
    </row>
    <row r="813" ht="15.75" customHeight="1">
      <c r="A813" s="109"/>
      <c r="B813" s="104"/>
      <c r="C813" s="104"/>
      <c r="D813" s="105"/>
      <c r="E813" s="106"/>
      <c r="F813" s="107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6"/>
    </row>
    <row r="814" ht="15.75" customHeight="1">
      <c r="A814" s="109"/>
      <c r="B814" s="104"/>
      <c r="C814" s="104"/>
      <c r="D814" s="105"/>
      <c r="E814" s="106"/>
      <c r="F814" s="107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6"/>
    </row>
    <row r="815" ht="15.75" customHeight="1">
      <c r="A815" s="109"/>
      <c r="B815" s="104"/>
      <c r="C815" s="104"/>
      <c r="D815" s="105"/>
      <c r="E815" s="106"/>
      <c r="F815" s="107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6"/>
    </row>
    <row r="816" ht="15.75" customHeight="1">
      <c r="A816" s="109"/>
      <c r="B816" s="104"/>
      <c r="C816" s="104"/>
      <c r="D816" s="105"/>
      <c r="E816" s="106"/>
      <c r="F816" s="107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6"/>
    </row>
    <row r="817" ht="15.75" customHeight="1">
      <c r="A817" s="109"/>
      <c r="B817" s="104"/>
      <c r="C817" s="104"/>
      <c r="D817" s="105"/>
      <c r="E817" s="106"/>
      <c r="F817" s="107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6"/>
    </row>
    <row r="818" ht="15.75" customHeight="1">
      <c r="A818" s="109"/>
      <c r="B818" s="104"/>
      <c r="C818" s="104"/>
      <c r="D818" s="105"/>
      <c r="E818" s="106"/>
      <c r="F818" s="107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6"/>
    </row>
    <row r="819" ht="15.75" customHeight="1">
      <c r="A819" s="109"/>
      <c r="B819" s="104"/>
      <c r="C819" s="104"/>
      <c r="D819" s="105"/>
      <c r="E819" s="106"/>
      <c r="F819" s="107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6"/>
    </row>
    <row r="820" ht="15.75" customHeight="1">
      <c r="A820" s="109"/>
      <c r="B820" s="104"/>
      <c r="C820" s="104"/>
      <c r="D820" s="105"/>
      <c r="E820" s="106"/>
      <c r="F820" s="107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6"/>
    </row>
    <row r="821" ht="15.75" customHeight="1">
      <c r="A821" s="109"/>
      <c r="B821" s="104"/>
      <c r="C821" s="104"/>
      <c r="D821" s="105"/>
      <c r="E821" s="106"/>
      <c r="F821" s="107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6"/>
    </row>
    <row r="822" ht="15.75" customHeight="1">
      <c r="A822" s="109"/>
      <c r="B822" s="104"/>
      <c r="C822" s="104"/>
      <c r="D822" s="105"/>
      <c r="E822" s="106"/>
      <c r="F822" s="107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6"/>
    </row>
    <row r="823" ht="15.75" customHeight="1">
      <c r="A823" s="109"/>
      <c r="B823" s="104"/>
      <c r="C823" s="104"/>
      <c r="D823" s="105"/>
      <c r="E823" s="106"/>
      <c r="F823" s="107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6"/>
    </row>
    <row r="824" ht="15.75" customHeight="1">
      <c r="A824" s="109"/>
      <c r="B824" s="104"/>
      <c r="C824" s="104"/>
      <c r="D824" s="105"/>
      <c r="E824" s="106"/>
      <c r="F824" s="107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6"/>
    </row>
    <row r="825" ht="15.75" customHeight="1">
      <c r="A825" s="109"/>
      <c r="B825" s="104"/>
      <c r="C825" s="104"/>
      <c r="D825" s="105"/>
      <c r="E825" s="106"/>
      <c r="F825" s="107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6"/>
    </row>
    <row r="826" ht="15.75" customHeight="1">
      <c r="A826" s="109"/>
      <c r="B826" s="104"/>
      <c r="C826" s="104"/>
      <c r="D826" s="105"/>
      <c r="E826" s="106"/>
      <c r="F826" s="107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6"/>
    </row>
    <row r="827" ht="15.75" customHeight="1">
      <c r="A827" s="109"/>
      <c r="B827" s="104"/>
      <c r="C827" s="104"/>
      <c r="D827" s="105"/>
      <c r="E827" s="106"/>
      <c r="F827" s="107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6"/>
    </row>
    <row r="828" ht="15.75" customHeight="1">
      <c r="A828" s="109"/>
      <c r="B828" s="104"/>
      <c r="C828" s="104"/>
      <c r="D828" s="105"/>
      <c r="E828" s="106"/>
      <c r="F828" s="107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6"/>
    </row>
    <row r="829" ht="15.75" customHeight="1">
      <c r="A829" s="109"/>
      <c r="B829" s="104"/>
      <c r="C829" s="104"/>
      <c r="D829" s="105"/>
      <c r="E829" s="106"/>
      <c r="F829" s="107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6"/>
    </row>
    <row r="830" ht="15.75" customHeight="1">
      <c r="A830" s="109"/>
      <c r="B830" s="104"/>
      <c r="C830" s="104"/>
      <c r="D830" s="105"/>
      <c r="E830" s="106"/>
      <c r="F830" s="107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6"/>
    </row>
    <row r="831" ht="15.75" customHeight="1">
      <c r="A831" s="109"/>
      <c r="B831" s="104"/>
      <c r="C831" s="104"/>
      <c r="D831" s="105"/>
      <c r="E831" s="106"/>
      <c r="F831" s="107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6"/>
    </row>
    <row r="832" ht="15.75" customHeight="1">
      <c r="A832" s="109"/>
      <c r="B832" s="104"/>
      <c r="C832" s="104"/>
      <c r="D832" s="105"/>
      <c r="E832" s="106"/>
      <c r="F832" s="107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6"/>
    </row>
    <row r="833" ht="15.75" customHeight="1">
      <c r="A833" s="109"/>
      <c r="B833" s="104"/>
      <c r="C833" s="104"/>
      <c r="D833" s="105"/>
      <c r="E833" s="106"/>
      <c r="F833" s="107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6"/>
    </row>
    <row r="834" ht="15.75" customHeight="1">
      <c r="A834" s="109"/>
      <c r="B834" s="104"/>
      <c r="C834" s="104"/>
      <c r="D834" s="105"/>
      <c r="E834" s="106"/>
      <c r="F834" s="107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6"/>
    </row>
    <row r="835" ht="15.75" customHeight="1">
      <c r="A835" s="109"/>
      <c r="B835" s="104"/>
      <c r="C835" s="104"/>
      <c r="D835" s="105"/>
      <c r="E835" s="106"/>
      <c r="F835" s="107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6"/>
    </row>
    <row r="836" ht="15.75" customHeight="1">
      <c r="A836" s="109"/>
      <c r="B836" s="104"/>
      <c r="C836" s="104"/>
      <c r="D836" s="105"/>
      <c r="E836" s="106"/>
      <c r="F836" s="107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6"/>
    </row>
    <row r="837" ht="15.75" customHeight="1">
      <c r="A837" s="109"/>
      <c r="B837" s="104"/>
      <c r="C837" s="104"/>
      <c r="D837" s="105"/>
      <c r="E837" s="106"/>
      <c r="F837" s="107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6"/>
    </row>
    <row r="838" ht="15.75" customHeight="1">
      <c r="A838" s="109"/>
      <c r="B838" s="104"/>
      <c r="C838" s="104"/>
      <c r="D838" s="105"/>
      <c r="E838" s="106"/>
      <c r="F838" s="107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6"/>
    </row>
    <row r="839" ht="15.75" customHeight="1">
      <c r="A839" s="109"/>
      <c r="B839" s="104"/>
      <c r="C839" s="104"/>
      <c r="D839" s="105"/>
      <c r="E839" s="106"/>
      <c r="F839" s="107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6"/>
    </row>
    <row r="840" ht="15.75" customHeight="1">
      <c r="A840" s="109"/>
      <c r="B840" s="104"/>
      <c r="C840" s="104"/>
      <c r="D840" s="105"/>
      <c r="E840" s="106"/>
      <c r="F840" s="107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6"/>
    </row>
    <row r="841" ht="15.75" customHeight="1">
      <c r="A841" s="109"/>
      <c r="B841" s="104"/>
      <c r="C841" s="104"/>
      <c r="D841" s="105"/>
      <c r="E841" s="106"/>
      <c r="F841" s="107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6"/>
    </row>
    <row r="842" ht="15.75" customHeight="1">
      <c r="A842" s="109"/>
      <c r="B842" s="104"/>
      <c r="C842" s="104"/>
      <c r="D842" s="105"/>
      <c r="E842" s="106"/>
      <c r="F842" s="107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6"/>
    </row>
    <row r="843" ht="15.75" customHeight="1">
      <c r="A843" s="109"/>
      <c r="B843" s="104"/>
      <c r="C843" s="104"/>
      <c r="D843" s="105"/>
      <c r="E843" s="106"/>
      <c r="F843" s="107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6"/>
    </row>
    <row r="844" ht="15.75" customHeight="1">
      <c r="A844" s="109"/>
      <c r="B844" s="104"/>
      <c r="C844" s="104"/>
      <c r="D844" s="105"/>
      <c r="E844" s="106"/>
      <c r="F844" s="107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6"/>
    </row>
    <row r="845" ht="15.75" customHeight="1">
      <c r="A845" s="109"/>
      <c r="B845" s="104"/>
      <c r="C845" s="104"/>
      <c r="D845" s="105"/>
      <c r="E845" s="106"/>
      <c r="F845" s="107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6"/>
    </row>
    <row r="846" ht="15.75" customHeight="1">
      <c r="A846" s="109"/>
      <c r="B846" s="104"/>
      <c r="C846" s="104"/>
      <c r="D846" s="105"/>
      <c r="E846" s="106"/>
      <c r="F846" s="107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6"/>
    </row>
    <row r="847" ht="15.75" customHeight="1">
      <c r="A847" s="109"/>
      <c r="B847" s="104"/>
      <c r="C847" s="104"/>
      <c r="D847" s="105"/>
      <c r="E847" s="106"/>
      <c r="F847" s="107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6"/>
    </row>
    <row r="848" ht="15.75" customHeight="1">
      <c r="A848" s="109"/>
      <c r="B848" s="104"/>
      <c r="C848" s="104"/>
      <c r="D848" s="105"/>
      <c r="E848" s="106"/>
      <c r="F848" s="107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6"/>
    </row>
    <row r="849" ht="15.75" customHeight="1">
      <c r="A849" s="109"/>
      <c r="B849" s="104"/>
      <c r="C849" s="104"/>
      <c r="D849" s="105"/>
      <c r="E849" s="106"/>
      <c r="F849" s="107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6"/>
    </row>
    <row r="850" ht="15.75" customHeight="1">
      <c r="A850" s="109"/>
      <c r="B850" s="104"/>
      <c r="C850" s="104"/>
      <c r="D850" s="105"/>
      <c r="E850" s="106"/>
      <c r="F850" s="107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6"/>
    </row>
    <row r="851" ht="15.75" customHeight="1">
      <c r="A851" s="109"/>
      <c r="B851" s="104"/>
      <c r="C851" s="104"/>
      <c r="D851" s="105"/>
      <c r="E851" s="106"/>
      <c r="F851" s="107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6"/>
    </row>
    <row r="852" ht="15.75" customHeight="1">
      <c r="A852" s="109"/>
      <c r="B852" s="104"/>
      <c r="C852" s="104"/>
      <c r="D852" s="105"/>
      <c r="E852" s="106"/>
      <c r="F852" s="107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6"/>
    </row>
    <row r="853" ht="15.75" customHeight="1">
      <c r="A853" s="109"/>
      <c r="B853" s="104"/>
      <c r="C853" s="104"/>
      <c r="D853" s="105"/>
      <c r="E853" s="106"/>
      <c r="F853" s="107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6"/>
    </row>
    <row r="854" ht="15.75" customHeight="1">
      <c r="A854" s="109"/>
      <c r="B854" s="104"/>
      <c r="C854" s="104"/>
      <c r="D854" s="105"/>
      <c r="E854" s="106"/>
      <c r="F854" s="107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6"/>
    </row>
    <row r="855" ht="15.75" customHeight="1">
      <c r="A855" s="109"/>
      <c r="B855" s="104"/>
      <c r="C855" s="104"/>
      <c r="D855" s="105"/>
      <c r="E855" s="106"/>
      <c r="F855" s="107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6"/>
    </row>
    <row r="856" ht="15.75" customHeight="1">
      <c r="A856" s="109"/>
      <c r="B856" s="104"/>
      <c r="C856" s="104"/>
      <c r="D856" s="105"/>
      <c r="E856" s="106"/>
      <c r="F856" s="107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6"/>
    </row>
    <row r="857" ht="15.75" customHeight="1">
      <c r="A857" s="109"/>
      <c r="B857" s="104"/>
      <c r="C857" s="104"/>
      <c r="D857" s="105"/>
      <c r="E857" s="106"/>
      <c r="F857" s="107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6"/>
    </row>
    <row r="858" ht="15.75" customHeight="1">
      <c r="A858" s="109"/>
      <c r="B858" s="104"/>
      <c r="C858" s="104"/>
      <c r="D858" s="105"/>
      <c r="E858" s="106"/>
      <c r="F858" s="107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6"/>
    </row>
    <row r="859" ht="15.75" customHeight="1">
      <c r="A859" s="109"/>
      <c r="B859" s="104"/>
      <c r="C859" s="104"/>
      <c r="D859" s="105"/>
      <c r="E859" s="106"/>
      <c r="F859" s="107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6"/>
    </row>
    <row r="860" ht="15.75" customHeight="1">
      <c r="A860" s="109"/>
      <c r="B860" s="104"/>
      <c r="C860" s="104"/>
      <c r="D860" s="105"/>
      <c r="E860" s="106"/>
      <c r="F860" s="107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6"/>
    </row>
    <row r="861" ht="15.75" customHeight="1">
      <c r="A861" s="109"/>
      <c r="B861" s="104"/>
      <c r="C861" s="104"/>
      <c r="D861" s="105"/>
      <c r="E861" s="106"/>
      <c r="F861" s="107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6"/>
    </row>
    <row r="862" ht="15.75" customHeight="1">
      <c r="A862" s="109"/>
      <c r="B862" s="104"/>
      <c r="C862" s="104"/>
      <c r="D862" s="105"/>
      <c r="E862" s="106"/>
      <c r="F862" s="107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6"/>
    </row>
    <row r="863" ht="15.75" customHeight="1">
      <c r="A863" s="109"/>
      <c r="B863" s="104"/>
      <c r="C863" s="104"/>
      <c r="D863" s="105"/>
      <c r="E863" s="106"/>
      <c r="F863" s="107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6"/>
    </row>
    <row r="864" ht="15.75" customHeight="1">
      <c r="A864" s="109"/>
      <c r="B864" s="104"/>
      <c r="C864" s="104"/>
      <c r="D864" s="105"/>
      <c r="E864" s="106"/>
      <c r="F864" s="107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6"/>
    </row>
    <row r="865" ht="15.75" customHeight="1">
      <c r="A865" s="109"/>
      <c r="B865" s="104"/>
      <c r="C865" s="104"/>
      <c r="D865" s="105"/>
      <c r="E865" s="106"/>
      <c r="F865" s="107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6"/>
    </row>
    <row r="866" ht="15.75" customHeight="1">
      <c r="A866" s="109"/>
      <c r="B866" s="104"/>
      <c r="C866" s="104"/>
      <c r="D866" s="105"/>
      <c r="E866" s="106"/>
      <c r="F866" s="107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6"/>
    </row>
    <row r="867" ht="15.75" customHeight="1">
      <c r="A867" s="109"/>
      <c r="B867" s="104"/>
      <c r="C867" s="104"/>
      <c r="D867" s="105"/>
      <c r="E867" s="106"/>
      <c r="F867" s="107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6"/>
    </row>
    <row r="868" ht="15.75" customHeight="1">
      <c r="A868" s="109"/>
      <c r="B868" s="104"/>
      <c r="C868" s="104"/>
      <c r="D868" s="105"/>
      <c r="E868" s="106"/>
      <c r="F868" s="107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6"/>
    </row>
    <row r="869" ht="15.75" customHeight="1">
      <c r="A869" s="109"/>
      <c r="B869" s="104"/>
      <c r="C869" s="104"/>
      <c r="D869" s="105"/>
      <c r="E869" s="106"/>
      <c r="F869" s="107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6"/>
    </row>
    <row r="870" ht="15.75" customHeight="1">
      <c r="A870" s="109"/>
      <c r="B870" s="104"/>
      <c r="C870" s="104"/>
      <c r="D870" s="105"/>
      <c r="E870" s="106"/>
      <c r="F870" s="107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6"/>
    </row>
    <row r="871" ht="15.75" customHeight="1">
      <c r="A871" s="109"/>
      <c r="B871" s="104"/>
      <c r="C871" s="104"/>
      <c r="D871" s="105"/>
      <c r="E871" s="106"/>
      <c r="F871" s="107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6"/>
    </row>
    <row r="872" ht="15.75" customHeight="1">
      <c r="A872" s="109"/>
      <c r="B872" s="104"/>
      <c r="C872" s="104"/>
      <c r="D872" s="105"/>
      <c r="E872" s="106"/>
      <c r="F872" s="107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6"/>
    </row>
    <row r="873" ht="15.75" customHeight="1">
      <c r="A873" s="109"/>
      <c r="B873" s="104"/>
      <c r="C873" s="104"/>
      <c r="D873" s="105"/>
      <c r="E873" s="106"/>
      <c r="F873" s="107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6"/>
    </row>
    <row r="874" ht="15.75" customHeight="1">
      <c r="A874" s="109"/>
      <c r="B874" s="104"/>
      <c r="C874" s="104"/>
      <c r="D874" s="105"/>
      <c r="E874" s="106"/>
      <c r="F874" s="107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6"/>
    </row>
    <row r="875" ht="15.75" customHeight="1">
      <c r="A875" s="109"/>
      <c r="B875" s="104"/>
      <c r="C875" s="104"/>
      <c r="D875" s="105"/>
      <c r="E875" s="106"/>
      <c r="F875" s="107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6"/>
    </row>
    <row r="876" ht="15.75" customHeight="1">
      <c r="A876" s="109"/>
      <c r="B876" s="104"/>
      <c r="C876" s="104"/>
      <c r="D876" s="105"/>
      <c r="E876" s="106"/>
      <c r="F876" s="107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6"/>
    </row>
    <row r="877" ht="15.75" customHeight="1">
      <c r="A877" s="109"/>
      <c r="B877" s="104"/>
      <c r="C877" s="104"/>
      <c r="D877" s="105"/>
      <c r="E877" s="106"/>
      <c r="F877" s="107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6"/>
    </row>
    <row r="878" ht="15.75" customHeight="1">
      <c r="A878" s="109"/>
      <c r="B878" s="104"/>
      <c r="C878" s="104"/>
      <c r="D878" s="105"/>
      <c r="E878" s="106"/>
      <c r="F878" s="107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6"/>
    </row>
    <row r="879" ht="15.75" customHeight="1">
      <c r="A879" s="109"/>
      <c r="B879" s="104"/>
      <c r="C879" s="104"/>
      <c r="D879" s="105"/>
      <c r="E879" s="106"/>
      <c r="F879" s="107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6"/>
    </row>
    <row r="880" ht="15.75" customHeight="1">
      <c r="A880" s="109"/>
      <c r="B880" s="104"/>
      <c r="C880" s="104"/>
      <c r="D880" s="105"/>
      <c r="E880" s="106"/>
      <c r="F880" s="107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6"/>
    </row>
    <row r="881" ht="15.75" customHeight="1">
      <c r="A881" s="109"/>
      <c r="B881" s="104"/>
      <c r="C881" s="104"/>
      <c r="D881" s="105"/>
      <c r="E881" s="106"/>
      <c r="F881" s="107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6"/>
    </row>
    <row r="882" ht="15.75" customHeight="1">
      <c r="A882" s="109"/>
      <c r="B882" s="104"/>
      <c r="C882" s="104"/>
      <c r="D882" s="105"/>
      <c r="E882" s="106"/>
      <c r="F882" s="107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6"/>
    </row>
    <row r="883" ht="15.75" customHeight="1">
      <c r="A883" s="109"/>
      <c r="B883" s="104"/>
      <c r="C883" s="104"/>
      <c r="D883" s="105"/>
      <c r="E883" s="106"/>
      <c r="F883" s="107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6"/>
    </row>
    <row r="884" ht="15.75" customHeight="1">
      <c r="A884" s="109"/>
      <c r="B884" s="104"/>
      <c r="C884" s="104"/>
      <c r="D884" s="105"/>
      <c r="E884" s="106"/>
      <c r="F884" s="107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6"/>
    </row>
    <row r="885" ht="15.75" customHeight="1">
      <c r="A885" s="109"/>
      <c r="B885" s="104"/>
      <c r="C885" s="104"/>
      <c r="D885" s="105"/>
      <c r="E885" s="106"/>
      <c r="F885" s="107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6"/>
    </row>
    <row r="886" ht="15.75" customHeight="1">
      <c r="A886" s="109"/>
      <c r="B886" s="104"/>
      <c r="C886" s="104"/>
      <c r="D886" s="105"/>
      <c r="E886" s="106"/>
      <c r="F886" s="107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6"/>
    </row>
    <row r="887" ht="15.75" customHeight="1">
      <c r="A887" s="109"/>
      <c r="B887" s="104"/>
      <c r="C887" s="104"/>
      <c r="D887" s="105"/>
      <c r="E887" s="106"/>
      <c r="F887" s="107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6"/>
    </row>
    <row r="888" ht="15.75" customHeight="1">
      <c r="A888" s="109"/>
      <c r="B888" s="104"/>
      <c r="C888" s="104"/>
      <c r="D888" s="105"/>
      <c r="E888" s="106"/>
      <c r="F888" s="107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6"/>
    </row>
    <row r="889" ht="15.75" customHeight="1">
      <c r="A889" s="109"/>
      <c r="B889" s="104"/>
      <c r="C889" s="104"/>
      <c r="D889" s="105"/>
      <c r="E889" s="106"/>
      <c r="F889" s="107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6"/>
    </row>
    <row r="890" ht="15.75" customHeight="1">
      <c r="A890" s="109"/>
      <c r="B890" s="104"/>
      <c r="C890" s="104"/>
      <c r="D890" s="105"/>
      <c r="E890" s="106"/>
      <c r="F890" s="107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6"/>
    </row>
    <row r="891" ht="15.75" customHeight="1">
      <c r="A891" s="109"/>
      <c r="B891" s="104"/>
      <c r="C891" s="104"/>
      <c r="D891" s="105"/>
      <c r="E891" s="106"/>
      <c r="F891" s="107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6"/>
    </row>
    <row r="892" ht="15.75" customHeight="1">
      <c r="A892" s="109"/>
      <c r="B892" s="104"/>
      <c r="C892" s="104"/>
      <c r="D892" s="105"/>
      <c r="E892" s="106"/>
      <c r="F892" s="107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6"/>
    </row>
    <row r="893" ht="15.75" customHeight="1">
      <c r="A893" s="109"/>
      <c r="B893" s="104"/>
      <c r="C893" s="104"/>
      <c r="D893" s="105"/>
      <c r="E893" s="106"/>
      <c r="F893" s="107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6"/>
    </row>
    <row r="894" ht="15.75" customHeight="1">
      <c r="A894" s="109"/>
      <c r="B894" s="104"/>
      <c r="C894" s="104"/>
      <c r="D894" s="105"/>
      <c r="E894" s="106"/>
      <c r="F894" s="107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6"/>
    </row>
    <row r="895" ht="15.75" customHeight="1">
      <c r="A895" s="109"/>
      <c r="B895" s="104"/>
      <c r="C895" s="104"/>
      <c r="D895" s="105"/>
      <c r="E895" s="106"/>
      <c r="F895" s="107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6"/>
    </row>
    <row r="896" ht="15.75" customHeight="1">
      <c r="A896" s="109"/>
      <c r="B896" s="104"/>
      <c r="C896" s="104"/>
      <c r="D896" s="105"/>
      <c r="E896" s="106"/>
      <c r="F896" s="107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6"/>
    </row>
    <row r="897" ht="15.75" customHeight="1">
      <c r="A897" s="109"/>
      <c r="B897" s="104"/>
      <c r="C897" s="104"/>
      <c r="D897" s="105"/>
      <c r="E897" s="106"/>
      <c r="F897" s="107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6"/>
    </row>
    <row r="898" ht="15.75" customHeight="1">
      <c r="A898" s="109"/>
      <c r="B898" s="104"/>
      <c r="C898" s="104"/>
      <c r="D898" s="105"/>
      <c r="E898" s="106"/>
      <c r="F898" s="107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6"/>
    </row>
    <row r="899" ht="15.75" customHeight="1">
      <c r="A899" s="109"/>
      <c r="B899" s="104"/>
      <c r="C899" s="104"/>
      <c r="D899" s="105"/>
      <c r="E899" s="106"/>
      <c r="F899" s="107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6"/>
    </row>
    <row r="900" ht="15.75" customHeight="1">
      <c r="A900" s="109"/>
      <c r="B900" s="104"/>
      <c r="C900" s="104"/>
      <c r="D900" s="105"/>
      <c r="E900" s="106"/>
      <c r="F900" s="107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6"/>
    </row>
    <row r="901" ht="15.75" customHeight="1">
      <c r="A901" s="109"/>
      <c r="B901" s="104"/>
      <c r="C901" s="104"/>
      <c r="D901" s="105"/>
      <c r="E901" s="106"/>
      <c r="F901" s="107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6"/>
    </row>
    <row r="902" ht="15.75" customHeight="1">
      <c r="A902" s="109"/>
      <c r="B902" s="104"/>
      <c r="C902" s="104"/>
      <c r="D902" s="105"/>
      <c r="E902" s="106"/>
      <c r="F902" s="107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6"/>
    </row>
    <row r="903" ht="15.75" customHeight="1">
      <c r="A903" s="109"/>
      <c r="B903" s="104"/>
      <c r="C903" s="104"/>
      <c r="D903" s="105"/>
      <c r="E903" s="106"/>
      <c r="F903" s="107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6"/>
    </row>
    <row r="904" ht="15.75" customHeight="1">
      <c r="A904" s="109"/>
      <c r="B904" s="104"/>
      <c r="C904" s="104"/>
      <c r="D904" s="105"/>
      <c r="E904" s="106"/>
      <c r="F904" s="107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6"/>
    </row>
    <row r="905" ht="15.75" customHeight="1">
      <c r="A905" s="109"/>
      <c r="B905" s="104"/>
      <c r="C905" s="104"/>
      <c r="D905" s="105"/>
      <c r="E905" s="106"/>
      <c r="F905" s="107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6"/>
    </row>
    <row r="906" ht="15.75" customHeight="1">
      <c r="A906" s="109"/>
      <c r="B906" s="104"/>
      <c r="C906" s="104"/>
      <c r="D906" s="105"/>
      <c r="E906" s="106"/>
      <c r="F906" s="107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6"/>
    </row>
    <row r="907" ht="15.75" customHeight="1">
      <c r="A907" s="109"/>
      <c r="B907" s="104"/>
      <c r="C907" s="104"/>
      <c r="D907" s="105"/>
      <c r="E907" s="106"/>
      <c r="F907" s="107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6"/>
    </row>
    <row r="908" ht="15.75" customHeight="1">
      <c r="A908" s="109"/>
      <c r="B908" s="104"/>
      <c r="C908" s="104"/>
      <c r="D908" s="105"/>
      <c r="E908" s="106"/>
      <c r="F908" s="107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6"/>
    </row>
    <row r="909" ht="15.75" customHeight="1">
      <c r="A909" s="109"/>
      <c r="B909" s="104"/>
      <c r="C909" s="104"/>
      <c r="D909" s="105"/>
      <c r="E909" s="106"/>
      <c r="F909" s="107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6"/>
    </row>
    <row r="910" ht="15.75" customHeight="1">
      <c r="A910" s="109"/>
      <c r="B910" s="104"/>
      <c r="C910" s="104"/>
      <c r="D910" s="105"/>
      <c r="E910" s="106"/>
      <c r="F910" s="107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6"/>
    </row>
    <row r="911" ht="15.75" customHeight="1">
      <c r="A911" s="109"/>
      <c r="B911" s="104"/>
      <c r="C911" s="104"/>
      <c r="D911" s="105"/>
      <c r="E911" s="106"/>
      <c r="F911" s="107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6"/>
    </row>
    <row r="912" ht="15.75" customHeight="1">
      <c r="A912" s="109"/>
      <c r="B912" s="104"/>
      <c r="C912" s="104"/>
      <c r="D912" s="105"/>
      <c r="E912" s="106"/>
      <c r="F912" s="107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6"/>
    </row>
    <row r="913" ht="15.75" customHeight="1">
      <c r="A913" s="109"/>
      <c r="B913" s="104"/>
      <c r="C913" s="104"/>
      <c r="D913" s="105"/>
      <c r="E913" s="106"/>
      <c r="F913" s="107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6"/>
    </row>
    <row r="914" ht="15.75" customHeight="1">
      <c r="A914" s="109"/>
      <c r="B914" s="104"/>
      <c r="C914" s="104"/>
      <c r="D914" s="105"/>
      <c r="E914" s="106"/>
      <c r="F914" s="107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6"/>
    </row>
    <row r="915" ht="15.75" customHeight="1">
      <c r="A915" s="109"/>
      <c r="B915" s="104"/>
      <c r="C915" s="104"/>
      <c r="D915" s="105"/>
      <c r="E915" s="106"/>
      <c r="F915" s="107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6"/>
    </row>
    <row r="916" ht="15.75" customHeight="1">
      <c r="A916" s="109"/>
      <c r="B916" s="104"/>
      <c r="C916" s="104"/>
      <c r="D916" s="105"/>
      <c r="E916" s="106"/>
      <c r="F916" s="107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6"/>
    </row>
    <row r="917" ht="15.75" customHeight="1">
      <c r="A917" s="109"/>
      <c r="B917" s="104"/>
      <c r="C917" s="104"/>
      <c r="D917" s="105"/>
      <c r="E917" s="106"/>
      <c r="F917" s="107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6"/>
    </row>
    <row r="918" ht="15.75" customHeight="1">
      <c r="A918" s="109"/>
      <c r="B918" s="104"/>
      <c r="C918" s="104"/>
      <c r="D918" s="105"/>
      <c r="E918" s="106"/>
      <c r="F918" s="107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6"/>
    </row>
    <row r="919" ht="15.75" customHeight="1">
      <c r="A919" s="109"/>
      <c r="B919" s="104"/>
      <c r="C919" s="104"/>
      <c r="D919" s="105"/>
      <c r="E919" s="106"/>
      <c r="F919" s="107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6"/>
    </row>
    <row r="920" ht="15.75" customHeight="1">
      <c r="A920" s="109"/>
      <c r="B920" s="104"/>
      <c r="C920" s="104"/>
      <c r="D920" s="105"/>
      <c r="E920" s="106"/>
      <c r="F920" s="107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6"/>
    </row>
    <row r="921" ht="15.75" customHeight="1">
      <c r="A921" s="109"/>
      <c r="B921" s="104"/>
      <c r="C921" s="104"/>
      <c r="D921" s="105"/>
      <c r="E921" s="106"/>
      <c r="F921" s="107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6"/>
    </row>
    <row r="922" ht="15.75" customHeight="1">
      <c r="A922" s="109"/>
      <c r="B922" s="104"/>
      <c r="C922" s="104"/>
      <c r="D922" s="105"/>
      <c r="E922" s="106"/>
      <c r="F922" s="107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6"/>
    </row>
    <row r="923" ht="15.75" customHeight="1">
      <c r="A923" s="109"/>
      <c r="B923" s="104"/>
      <c r="C923" s="104"/>
      <c r="D923" s="105"/>
      <c r="E923" s="106"/>
      <c r="F923" s="107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6"/>
    </row>
    <row r="924" ht="15.75" customHeight="1">
      <c r="A924" s="109"/>
      <c r="B924" s="104"/>
      <c r="C924" s="104"/>
      <c r="D924" s="105"/>
      <c r="E924" s="106"/>
      <c r="F924" s="107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6"/>
    </row>
    <row r="925" ht="15.75" customHeight="1">
      <c r="A925" s="109"/>
      <c r="B925" s="104"/>
      <c r="C925" s="104"/>
      <c r="D925" s="105"/>
      <c r="E925" s="106"/>
      <c r="F925" s="107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6"/>
    </row>
    <row r="926" ht="15.75" customHeight="1">
      <c r="A926" s="109"/>
      <c r="B926" s="104"/>
      <c r="C926" s="104"/>
      <c r="D926" s="105"/>
      <c r="E926" s="106"/>
      <c r="F926" s="107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6"/>
    </row>
    <row r="927" ht="15.75" customHeight="1">
      <c r="A927" s="109"/>
      <c r="B927" s="104"/>
      <c r="C927" s="104"/>
      <c r="D927" s="105"/>
      <c r="E927" s="106"/>
      <c r="F927" s="107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6"/>
    </row>
    <row r="928" ht="15.75" customHeight="1">
      <c r="A928" s="109"/>
      <c r="B928" s="104"/>
      <c r="C928" s="104"/>
      <c r="D928" s="105"/>
      <c r="E928" s="106"/>
      <c r="F928" s="107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6"/>
    </row>
    <row r="929" ht="15.75" customHeight="1">
      <c r="A929" s="109"/>
      <c r="B929" s="104"/>
      <c r="C929" s="104"/>
      <c r="D929" s="105"/>
      <c r="E929" s="106"/>
      <c r="F929" s="107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6"/>
    </row>
    <row r="930" ht="15.75" customHeight="1">
      <c r="A930" s="109"/>
      <c r="B930" s="104"/>
      <c r="C930" s="104"/>
      <c r="D930" s="105"/>
      <c r="E930" s="106"/>
      <c r="F930" s="107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6"/>
    </row>
    <row r="931" ht="15.75" customHeight="1">
      <c r="A931" s="109"/>
      <c r="B931" s="104"/>
      <c r="C931" s="104"/>
      <c r="D931" s="105"/>
      <c r="E931" s="106"/>
      <c r="F931" s="107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6"/>
    </row>
    <row r="932" ht="15.75" customHeight="1">
      <c r="A932" s="109"/>
      <c r="B932" s="104"/>
      <c r="C932" s="104"/>
      <c r="D932" s="105"/>
      <c r="E932" s="106"/>
      <c r="F932" s="107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6"/>
    </row>
    <row r="933" ht="15.75" customHeight="1">
      <c r="A933" s="109"/>
      <c r="B933" s="104"/>
      <c r="C933" s="104"/>
      <c r="D933" s="105"/>
      <c r="E933" s="106"/>
      <c r="F933" s="107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6"/>
    </row>
    <row r="934" ht="15.75" customHeight="1">
      <c r="A934" s="109"/>
      <c r="B934" s="104"/>
      <c r="C934" s="104"/>
      <c r="D934" s="105"/>
      <c r="E934" s="106"/>
      <c r="F934" s="107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6"/>
    </row>
    <row r="935" ht="15.75" customHeight="1">
      <c r="A935" s="109"/>
      <c r="B935" s="104"/>
      <c r="C935" s="104"/>
      <c r="D935" s="105"/>
      <c r="E935" s="106"/>
      <c r="F935" s="107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6"/>
    </row>
    <row r="936" ht="15.75" customHeight="1">
      <c r="A936" s="109"/>
      <c r="B936" s="104"/>
      <c r="C936" s="104"/>
      <c r="D936" s="105"/>
      <c r="E936" s="106"/>
      <c r="F936" s="107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6"/>
    </row>
    <row r="937" ht="15.75" customHeight="1">
      <c r="A937" s="109"/>
      <c r="B937" s="104"/>
      <c r="C937" s="104"/>
      <c r="D937" s="105"/>
      <c r="E937" s="106"/>
      <c r="F937" s="107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6"/>
    </row>
    <row r="938" ht="15.75" customHeight="1">
      <c r="A938" s="109"/>
      <c r="B938" s="104"/>
      <c r="C938" s="104"/>
      <c r="D938" s="105"/>
      <c r="E938" s="106"/>
      <c r="F938" s="107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6"/>
    </row>
    <row r="939" ht="15.75" customHeight="1">
      <c r="A939" s="109"/>
      <c r="B939" s="104"/>
      <c r="C939" s="104"/>
      <c r="D939" s="105"/>
      <c r="E939" s="106"/>
      <c r="F939" s="107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6"/>
    </row>
    <row r="940" ht="15.75" customHeight="1">
      <c r="A940" s="109"/>
      <c r="B940" s="104"/>
      <c r="C940" s="104"/>
      <c r="D940" s="105"/>
      <c r="E940" s="106"/>
      <c r="F940" s="107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6"/>
    </row>
    <row r="941" ht="15.75" customHeight="1">
      <c r="A941" s="109"/>
      <c r="B941" s="104"/>
      <c r="C941" s="104"/>
      <c r="D941" s="105"/>
      <c r="E941" s="106"/>
      <c r="F941" s="107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6"/>
    </row>
    <row r="942" ht="15.75" customHeight="1">
      <c r="A942" s="109"/>
      <c r="B942" s="104"/>
      <c r="C942" s="104"/>
      <c r="D942" s="105"/>
      <c r="E942" s="106"/>
      <c r="F942" s="107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6"/>
    </row>
    <row r="943" ht="15.75" customHeight="1">
      <c r="A943" s="109"/>
      <c r="B943" s="104"/>
      <c r="C943" s="104"/>
      <c r="D943" s="105"/>
      <c r="E943" s="106"/>
      <c r="F943" s="107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6"/>
    </row>
    <row r="944" ht="15.75" customHeight="1">
      <c r="A944" s="109"/>
      <c r="B944" s="104"/>
      <c r="C944" s="104"/>
      <c r="D944" s="105"/>
      <c r="E944" s="106"/>
      <c r="F944" s="107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6"/>
    </row>
    <row r="945" ht="15.75" customHeight="1">
      <c r="A945" s="109"/>
      <c r="B945" s="104"/>
      <c r="C945" s="104"/>
      <c r="D945" s="105"/>
      <c r="E945" s="106"/>
      <c r="F945" s="107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6"/>
    </row>
    <row r="946" ht="15.75" customHeight="1">
      <c r="A946" s="109"/>
      <c r="B946" s="104"/>
      <c r="C946" s="104"/>
      <c r="D946" s="105"/>
      <c r="E946" s="106"/>
      <c r="F946" s="107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6"/>
    </row>
    <row r="947" ht="15.75" customHeight="1">
      <c r="A947" s="109"/>
      <c r="B947" s="104"/>
      <c r="C947" s="104"/>
      <c r="D947" s="105"/>
      <c r="E947" s="106"/>
      <c r="F947" s="107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6"/>
    </row>
    <row r="948" ht="15.75" customHeight="1">
      <c r="A948" s="109"/>
      <c r="B948" s="104"/>
      <c r="C948" s="104"/>
      <c r="D948" s="105"/>
      <c r="E948" s="106"/>
      <c r="F948" s="107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6"/>
    </row>
    <row r="949" ht="15.75" customHeight="1">
      <c r="A949" s="109"/>
      <c r="B949" s="104"/>
      <c r="C949" s="104"/>
      <c r="D949" s="105"/>
      <c r="E949" s="106"/>
      <c r="F949" s="107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6"/>
    </row>
    <row r="950" ht="15.75" customHeight="1">
      <c r="A950" s="109"/>
      <c r="B950" s="104"/>
      <c r="C950" s="104"/>
      <c r="D950" s="105"/>
      <c r="E950" s="106"/>
      <c r="F950" s="107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6"/>
    </row>
    <row r="951" ht="15.75" customHeight="1">
      <c r="A951" s="109"/>
      <c r="B951" s="104"/>
      <c r="C951" s="104"/>
      <c r="D951" s="105"/>
      <c r="E951" s="106"/>
      <c r="F951" s="107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6"/>
    </row>
    <row r="952" ht="15.75" customHeight="1">
      <c r="A952" s="109"/>
      <c r="B952" s="104"/>
      <c r="C952" s="104"/>
      <c r="D952" s="105"/>
      <c r="E952" s="106"/>
      <c r="F952" s="107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6"/>
    </row>
    <row r="953" ht="15.75" customHeight="1">
      <c r="A953" s="109"/>
      <c r="B953" s="104"/>
      <c r="C953" s="104"/>
      <c r="D953" s="105"/>
      <c r="E953" s="106"/>
      <c r="F953" s="107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6"/>
    </row>
    <row r="954" ht="15.75" customHeight="1">
      <c r="A954" s="109"/>
      <c r="B954" s="104"/>
      <c r="C954" s="104"/>
      <c r="D954" s="105"/>
      <c r="E954" s="106"/>
      <c r="F954" s="107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6"/>
    </row>
    <row r="955" ht="15.75" customHeight="1">
      <c r="A955" s="109"/>
      <c r="B955" s="104"/>
      <c r="C955" s="104"/>
      <c r="D955" s="105"/>
      <c r="E955" s="106"/>
      <c r="F955" s="107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6"/>
    </row>
    <row r="956" ht="15.75" customHeight="1">
      <c r="A956" s="109"/>
      <c r="B956" s="104"/>
      <c r="C956" s="104"/>
      <c r="D956" s="105"/>
      <c r="E956" s="106"/>
      <c r="F956" s="107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6"/>
    </row>
    <row r="957" ht="15.75" customHeight="1">
      <c r="A957" s="109"/>
      <c r="B957" s="104"/>
      <c r="C957" s="104"/>
      <c r="D957" s="105"/>
      <c r="E957" s="106"/>
      <c r="F957" s="107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6"/>
    </row>
    <row r="958" ht="15.75" customHeight="1">
      <c r="A958" s="109"/>
      <c r="B958" s="104"/>
      <c r="C958" s="104"/>
      <c r="D958" s="105"/>
      <c r="E958" s="106"/>
      <c r="F958" s="107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6"/>
    </row>
    <row r="959" ht="15.75" customHeight="1">
      <c r="A959" s="109"/>
      <c r="B959" s="104"/>
      <c r="C959" s="104"/>
      <c r="D959" s="105"/>
      <c r="E959" s="106"/>
      <c r="F959" s="107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6"/>
    </row>
    <row r="960" ht="15.75" customHeight="1">
      <c r="A960" s="109"/>
      <c r="B960" s="104"/>
      <c r="C960" s="104"/>
      <c r="D960" s="105"/>
      <c r="E960" s="106"/>
      <c r="F960" s="107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6"/>
    </row>
    <row r="961" ht="15.75" customHeight="1">
      <c r="A961" s="109"/>
      <c r="B961" s="104"/>
      <c r="C961" s="104"/>
      <c r="D961" s="105"/>
      <c r="E961" s="106"/>
      <c r="F961" s="107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6"/>
    </row>
    <row r="962" ht="15.75" customHeight="1">
      <c r="A962" s="109"/>
      <c r="B962" s="104"/>
      <c r="C962" s="104"/>
      <c r="D962" s="105"/>
      <c r="E962" s="106"/>
      <c r="F962" s="107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6"/>
    </row>
    <row r="963" ht="15.75" customHeight="1">
      <c r="A963" s="109"/>
      <c r="B963" s="104"/>
      <c r="C963" s="104"/>
      <c r="D963" s="105"/>
      <c r="E963" s="106"/>
      <c r="F963" s="107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6"/>
    </row>
    <row r="964" ht="15.75" customHeight="1">
      <c r="A964" s="109"/>
      <c r="B964" s="104"/>
      <c r="C964" s="104"/>
      <c r="D964" s="105"/>
      <c r="E964" s="106"/>
      <c r="F964" s="107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6"/>
    </row>
    <row r="965" ht="15.75" customHeight="1">
      <c r="A965" s="109"/>
      <c r="B965" s="104"/>
      <c r="C965" s="104"/>
      <c r="D965" s="105"/>
      <c r="E965" s="106"/>
      <c r="F965" s="107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6"/>
    </row>
    <row r="966" ht="15.75" customHeight="1">
      <c r="A966" s="109"/>
      <c r="B966" s="104"/>
      <c r="C966" s="104"/>
      <c r="D966" s="105"/>
      <c r="E966" s="106"/>
      <c r="F966" s="107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6"/>
    </row>
    <row r="967" ht="15.75" customHeight="1">
      <c r="A967" s="109"/>
      <c r="B967" s="104"/>
      <c r="C967" s="104"/>
      <c r="D967" s="105"/>
      <c r="E967" s="106"/>
      <c r="F967" s="107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6"/>
    </row>
    <row r="968" ht="15.75" customHeight="1">
      <c r="A968" s="109"/>
      <c r="B968" s="104"/>
      <c r="C968" s="104"/>
      <c r="D968" s="105"/>
      <c r="E968" s="106"/>
      <c r="F968" s="107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6"/>
    </row>
    <row r="969" ht="15.75" customHeight="1">
      <c r="A969" s="109"/>
      <c r="B969" s="104"/>
      <c r="C969" s="104"/>
      <c r="D969" s="105"/>
      <c r="E969" s="106"/>
      <c r="F969" s="107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6"/>
    </row>
    <row r="970" ht="15.75" customHeight="1">
      <c r="A970" s="109"/>
      <c r="B970" s="104"/>
      <c r="C970" s="104"/>
      <c r="D970" s="105"/>
      <c r="E970" s="106"/>
      <c r="F970" s="107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6"/>
    </row>
    <row r="971" ht="15.75" customHeight="1">
      <c r="A971" s="109"/>
      <c r="B971" s="104"/>
      <c r="C971" s="104"/>
      <c r="D971" s="105"/>
      <c r="E971" s="106"/>
      <c r="F971" s="107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6"/>
    </row>
    <row r="972" ht="15.75" customHeight="1">
      <c r="A972" s="109"/>
      <c r="B972" s="104"/>
      <c r="C972" s="104"/>
      <c r="D972" s="105"/>
      <c r="E972" s="106"/>
      <c r="F972" s="107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6"/>
    </row>
    <row r="973" ht="15.75" customHeight="1">
      <c r="A973" s="109"/>
      <c r="B973" s="104"/>
      <c r="C973" s="104"/>
      <c r="D973" s="105"/>
      <c r="E973" s="106"/>
      <c r="F973" s="107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6"/>
    </row>
    <row r="974" ht="15.75" customHeight="1">
      <c r="A974" s="109"/>
      <c r="B974" s="104"/>
      <c r="C974" s="104"/>
      <c r="D974" s="105"/>
      <c r="E974" s="106"/>
      <c r="F974" s="107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6"/>
    </row>
    <row r="975" ht="15.75" customHeight="1">
      <c r="A975" s="109"/>
      <c r="B975" s="104"/>
      <c r="C975" s="104"/>
      <c r="D975" s="105"/>
      <c r="E975" s="106"/>
      <c r="F975" s="107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6"/>
    </row>
    <row r="976" ht="15.75" customHeight="1">
      <c r="A976" s="109"/>
      <c r="B976" s="104"/>
      <c r="C976" s="104"/>
      <c r="D976" s="105"/>
      <c r="E976" s="106"/>
      <c r="F976" s="107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6"/>
    </row>
    <row r="977" ht="15.75" customHeight="1">
      <c r="A977" s="109"/>
      <c r="B977" s="104"/>
      <c r="C977" s="104"/>
      <c r="D977" s="105"/>
      <c r="E977" s="106"/>
      <c r="F977" s="107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6"/>
    </row>
    <row r="978" ht="15.75" customHeight="1">
      <c r="A978" s="109"/>
      <c r="B978" s="104"/>
      <c r="C978" s="104"/>
      <c r="D978" s="105"/>
      <c r="E978" s="106"/>
      <c r="F978" s="107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6"/>
    </row>
    <row r="979" ht="15.75" customHeight="1">
      <c r="A979" s="109"/>
      <c r="B979" s="104"/>
      <c r="C979" s="104"/>
      <c r="D979" s="105"/>
      <c r="E979" s="106"/>
      <c r="F979" s="107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6"/>
    </row>
    <row r="980" ht="15.75" customHeight="1">
      <c r="A980" s="109"/>
      <c r="B980" s="104"/>
      <c r="C980" s="104"/>
      <c r="D980" s="105"/>
      <c r="E980" s="106"/>
      <c r="F980" s="107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6"/>
    </row>
    <row r="981" ht="15.75" customHeight="1">
      <c r="A981" s="109"/>
      <c r="B981" s="104"/>
      <c r="C981" s="104"/>
      <c r="D981" s="105"/>
      <c r="E981" s="106"/>
      <c r="F981" s="107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6"/>
    </row>
    <row r="982" ht="15.75" customHeight="1">
      <c r="A982" s="109"/>
      <c r="B982" s="104"/>
      <c r="C982" s="104"/>
      <c r="D982" s="105"/>
      <c r="E982" s="106"/>
      <c r="F982" s="107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6"/>
    </row>
    <row r="983" ht="15.75" customHeight="1">
      <c r="A983" s="109"/>
      <c r="B983" s="104"/>
      <c r="C983" s="104"/>
      <c r="D983" s="105"/>
      <c r="E983" s="106"/>
      <c r="F983" s="107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6"/>
    </row>
    <row r="984" ht="15.75" customHeight="1">
      <c r="A984" s="109"/>
      <c r="B984" s="104"/>
      <c r="C984" s="104"/>
      <c r="D984" s="105"/>
      <c r="E984" s="106"/>
      <c r="F984" s="107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6"/>
    </row>
    <row r="985" ht="15.75" customHeight="1">
      <c r="A985" s="109"/>
      <c r="B985" s="104"/>
      <c r="C985" s="104"/>
      <c r="D985" s="105"/>
      <c r="E985" s="106"/>
      <c r="F985" s="107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6"/>
    </row>
    <row r="986" ht="15.75" customHeight="1">
      <c r="A986" s="109"/>
      <c r="B986" s="104"/>
      <c r="C986" s="104"/>
      <c r="D986" s="105"/>
      <c r="E986" s="106"/>
      <c r="F986" s="107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6"/>
    </row>
    <row r="987" ht="15.75" customHeight="1">
      <c r="A987" s="109"/>
      <c r="B987" s="104"/>
      <c r="C987" s="104"/>
      <c r="D987" s="105"/>
      <c r="E987" s="106"/>
      <c r="F987" s="107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6"/>
    </row>
    <row r="988" ht="15.75" customHeight="1">
      <c r="A988" s="109"/>
      <c r="B988" s="104"/>
      <c r="C988" s="104"/>
      <c r="D988" s="105"/>
      <c r="E988" s="106"/>
      <c r="F988" s="107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6"/>
    </row>
    <row r="989" ht="15.75" customHeight="1">
      <c r="A989" s="109"/>
      <c r="B989" s="104"/>
      <c r="C989" s="104"/>
      <c r="D989" s="105"/>
      <c r="E989" s="106"/>
      <c r="F989" s="107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6"/>
    </row>
    <row r="990" ht="15.75" customHeight="1">
      <c r="A990" s="109"/>
      <c r="B990" s="104"/>
      <c r="C990" s="104"/>
      <c r="D990" s="105"/>
      <c r="E990" s="106"/>
      <c r="F990" s="107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6"/>
    </row>
    <row r="991" ht="15.75" customHeight="1">
      <c r="A991" s="109"/>
      <c r="B991" s="104"/>
      <c r="C991" s="104"/>
      <c r="D991" s="105"/>
      <c r="E991" s="106"/>
      <c r="F991" s="107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6"/>
    </row>
    <row r="992" ht="15.75" customHeight="1">
      <c r="A992" s="109"/>
      <c r="B992" s="104"/>
      <c r="C992" s="104"/>
      <c r="D992" s="105"/>
      <c r="E992" s="106"/>
      <c r="F992" s="107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6"/>
    </row>
    <row r="993" ht="15.75" customHeight="1">
      <c r="A993" s="109"/>
      <c r="B993" s="104"/>
      <c r="C993" s="104"/>
      <c r="D993" s="105"/>
      <c r="E993" s="106"/>
      <c r="F993" s="107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6"/>
    </row>
    <row r="994" ht="15.75" customHeight="1">
      <c r="A994" s="109"/>
      <c r="B994" s="104"/>
      <c r="C994" s="104"/>
      <c r="D994" s="105"/>
      <c r="E994" s="106"/>
      <c r="F994" s="107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6"/>
    </row>
    <row r="995" ht="15.75" customHeight="1">
      <c r="A995" s="109"/>
      <c r="B995" s="104"/>
      <c r="C995" s="104"/>
      <c r="D995" s="105"/>
      <c r="E995" s="106"/>
      <c r="F995" s="107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6"/>
    </row>
    <row r="996" ht="15.75" customHeight="1">
      <c r="A996" s="109"/>
      <c r="B996" s="104"/>
      <c r="C996" s="104"/>
      <c r="D996" s="105"/>
      <c r="E996" s="106"/>
      <c r="F996" s="107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6"/>
    </row>
    <row r="997" ht="15.75" customHeight="1">
      <c r="A997" s="109"/>
      <c r="B997" s="104"/>
      <c r="C997" s="104"/>
      <c r="D997" s="105"/>
      <c r="E997" s="106"/>
      <c r="F997" s="107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6"/>
    </row>
    <row r="998" ht="15.75" customHeight="1">
      <c r="A998" s="109"/>
      <c r="B998" s="104"/>
      <c r="C998" s="104"/>
      <c r="D998" s="105"/>
      <c r="E998" s="106"/>
      <c r="F998" s="107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6"/>
    </row>
    <row r="999" ht="15.75" customHeight="1">
      <c r="A999" s="109"/>
      <c r="B999" s="104"/>
      <c r="C999" s="104"/>
      <c r="D999" s="105"/>
      <c r="E999" s="106"/>
      <c r="F999" s="107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6"/>
    </row>
    <row r="1000" ht="15.75" customHeight="1">
      <c r="A1000" s="109"/>
      <c r="B1000" s="104"/>
      <c r="C1000" s="104"/>
      <c r="D1000" s="105"/>
      <c r="E1000" s="106"/>
      <c r="F1000" s="107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6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1.22" defaultRowHeight="15.0"/>
  <cols>
    <col customWidth="1" min="1" max="1" width="22.78"/>
    <col customWidth="1" min="2" max="2" width="16.44"/>
    <col customWidth="1" min="3" max="3" width="13.44"/>
    <col customWidth="1" min="4" max="4" width="14.11"/>
    <col customWidth="1" min="5" max="7" width="16.78"/>
    <col customWidth="1" min="8" max="8" width="17.33"/>
    <col customWidth="1" min="9" max="11" width="16.78"/>
    <col customWidth="1" min="12" max="12" width="20.0"/>
    <col customWidth="1" min="13" max="16" width="16.78"/>
    <col customWidth="1" min="17" max="17" width="26.56"/>
    <col customWidth="1" min="18" max="18" width="113.11"/>
  </cols>
  <sheetData>
    <row r="1" ht="15.75" customHeight="1">
      <c r="A1" s="25" t="s">
        <v>28</v>
      </c>
      <c r="B1" s="26"/>
      <c r="C1" s="26"/>
      <c r="D1" s="27"/>
      <c r="E1" s="127"/>
      <c r="F1" s="29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28"/>
    </row>
    <row r="2" ht="15.75" customHeight="1">
      <c r="A2" s="31" t="s">
        <v>29</v>
      </c>
      <c r="B2" s="26"/>
      <c r="C2" s="26"/>
      <c r="D2" s="27"/>
      <c r="E2" s="127"/>
      <c r="F2" s="29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28"/>
    </row>
    <row r="3" ht="15.75" customHeight="1">
      <c r="A3" s="32" t="s">
        <v>30</v>
      </c>
      <c r="B3" s="26"/>
      <c r="C3" s="26"/>
      <c r="D3" s="27"/>
      <c r="E3" s="127"/>
      <c r="F3" s="29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28"/>
    </row>
    <row r="4" ht="21.75" customHeight="1">
      <c r="A4" s="33" t="s">
        <v>31</v>
      </c>
      <c r="B4" s="136" t="s">
        <v>112</v>
      </c>
      <c r="C4" s="26"/>
      <c r="D4" s="27"/>
      <c r="E4" s="127"/>
      <c r="F4" s="29"/>
      <c r="G4" s="30"/>
      <c r="H4" s="30"/>
      <c r="I4" s="35"/>
      <c r="J4" s="30"/>
      <c r="K4" s="30"/>
      <c r="L4" s="30"/>
      <c r="M4" s="30"/>
      <c r="N4" s="30"/>
      <c r="O4" s="30"/>
      <c r="P4" s="30"/>
      <c r="Q4" s="30"/>
      <c r="R4" s="28"/>
    </row>
    <row r="5" ht="24.0" customHeight="1">
      <c r="A5" s="36"/>
      <c r="B5" s="37" t="s">
        <v>32</v>
      </c>
      <c r="C5" s="38">
        <v>19.0</v>
      </c>
      <c r="D5" s="142" t="s">
        <v>113</v>
      </c>
      <c r="E5" s="143">
        <v>21.0</v>
      </c>
      <c r="F5" s="144" t="s">
        <v>114</v>
      </c>
      <c r="G5" s="143">
        <v>22.0</v>
      </c>
      <c r="H5" s="39"/>
      <c r="I5" s="35" t="s">
        <v>33</v>
      </c>
      <c r="J5" s="30"/>
      <c r="K5" s="30"/>
      <c r="L5" s="30"/>
      <c r="M5" s="30"/>
      <c r="N5" s="30"/>
      <c r="O5" s="30"/>
      <c r="P5" s="30"/>
      <c r="Q5" s="30"/>
      <c r="R5" s="39"/>
    </row>
    <row r="6" ht="15.75" customHeight="1">
      <c r="A6" s="40"/>
      <c r="B6" s="26"/>
      <c r="C6" s="26"/>
      <c r="D6" s="27"/>
      <c r="E6" s="127"/>
      <c r="F6" s="29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28"/>
    </row>
    <row r="7" ht="15.75" customHeight="1">
      <c r="A7" s="40"/>
      <c r="B7" s="26"/>
      <c r="C7" s="26"/>
      <c r="D7" s="27"/>
      <c r="E7" s="127"/>
      <c r="F7" s="29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28"/>
    </row>
    <row r="8" ht="15.75" customHeight="1">
      <c r="A8" s="40"/>
      <c r="B8" s="26"/>
      <c r="C8" s="26"/>
      <c r="D8" s="27"/>
      <c r="E8" s="127"/>
      <c r="F8" s="29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28"/>
    </row>
    <row r="9" ht="15.75" customHeight="1">
      <c r="A9" s="40"/>
      <c r="B9" s="26"/>
      <c r="C9" s="26"/>
      <c r="D9" s="27"/>
      <c r="E9" s="127"/>
      <c r="F9" s="29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28"/>
    </row>
    <row r="10" ht="78.75" customHeight="1">
      <c r="A10" s="41" t="s">
        <v>34</v>
      </c>
      <c r="B10" s="42" t="s">
        <v>35</v>
      </c>
      <c r="C10" s="42" t="s">
        <v>36</v>
      </c>
      <c r="D10" s="42" t="s">
        <v>37</v>
      </c>
      <c r="E10" s="43" t="s">
        <v>38</v>
      </c>
      <c r="F10" s="44" t="s">
        <v>39</v>
      </c>
      <c r="G10" s="45" t="s">
        <v>40</v>
      </c>
      <c r="H10" s="45" t="s">
        <v>41</v>
      </c>
      <c r="I10" s="45" t="s">
        <v>42</v>
      </c>
      <c r="J10" s="45" t="s">
        <v>43</v>
      </c>
      <c r="K10" s="45" t="s">
        <v>44</v>
      </c>
      <c r="L10" s="45" t="s">
        <v>45</v>
      </c>
      <c r="M10" s="45" t="s">
        <v>46</v>
      </c>
      <c r="N10" s="45" t="s">
        <v>43</v>
      </c>
      <c r="O10" s="45" t="s">
        <v>44</v>
      </c>
      <c r="P10" s="46" t="s">
        <v>47</v>
      </c>
      <c r="Q10" s="46" t="s">
        <v>64</v>
      </c>
      <c r="R10" s="44" t="s">
        <v>65</v>
      </c>
    </row>
    <row r="11" ht="15.75" customHeight="1">
      <c r="A11" s="47">
        <v>45662.0</v>
      </c>
      <c r="B11" s="48">
        <v>18.0</v>
      </c>
      <c r="C11" s="49">
        <f t="shared" ref="C11:C26" si="1">IF(B11=0,"",B11/C$5)</f>
        <v>0.9473684211</v>
      </c>
      <c r="D11" s="50">
        <v>17761.0</v>
      </c>
      <c r="E11" s="130">
        <f t="shared" ref="E11:E14" si="2">IFERROR(D11/B11,"")</f>
        <v>986.7222222</v>
      </c>
      <c r="F11" s="50">
        <v>14359.0</v>
      </c>
      <c r="G11" s="52">
        <f t="shared" ref="G11:G75" si="3">IFERROR(F11/D11,"")</f>
        <v>0.808456731</v>
      </c>
      <c r="H11" s="53"/>
      <c r="I11" s="53"/>
      <c r="J11" s="54"/>
      <c r="K11" s="55"/>
      <c r="L11" s="53"/>
      <c r="M11" s="53"/>
      <c r="N11" s="55"/>
      <c r="O11" s="55"/>
      <c r="P11" s="115"/>
      <c r="Q11" s="115"/>
      <c r="R11" s="56" t="s">
        <v>115</v>
      </c>
    </row>
    <row r="12" ht="15.75" customHeight="1">
      <c r="A12" s="57">
        <f t="shared" ref="A12:A14" si="4">A11+7</f>
        <v>45669</v>
      </c>
      <c r="B12" s="48">
        <v>18.0</v>
      </c>
      <c r="C12" s="49">
        <f t="shared" si="1"/>
        <v>0.9473684211</v>
      </c>
      <c r="D12" s="50">
        <v>17772.0</v>
      </c>
      <c r="E12" s="130">
        <f t="shared" si="2"/>
        <v>987.3333333</v>
      </c>
      <c r="F12" s="50">
        <v>17761.0</v>
      </c>
      <c r="G12" s="52">
        <f t="shared" si="3"/>
        <v>0.9993810488</v>
      </c>
      <c r="H12" s="58"/>
      <c r="I12" s="58"/>
      <c r="J12" s="54"/>
      <c r="K12" s="55"/>
      <c r="L12" s="58"/>
      <c r="M12" s="58"/>
      <c r="N12" s="55"/>
      <c r="O12" s="55"/>
      <c r="P12" s="74"/>
      <c r="Q12" s="74"/>
      <c r="R12" s="59"/>
    </row>
    <row r="13" ht="15.75" customHeight="1">
      <c r="A13" s="57">
        <f t="shared" si="4"/>
        <v>45676</v>
      </c>
      <c r="B13" s="48">
        <v>18.0</v>
      </c>
      <c r="C13" s="49">
        <f t="shared" si="1"/>
        <v>0.9473684211</v>
      </c>
      <c r="D13" s="50">
        <v>18147.0</v>
      </c>
      <c r="E13" s="130">
        <f t="shared" si="2"/>
        <v>1008.166667</v>
      </c>
      <c r="F13" s="50">
        <v>17772.0</v>
      </c>
      <c r="G13" s="52">
        <f t="shared" si="3"/>
        <v>0.9793354273</v>
      </c>
      <c r="H13" s="58"/>
      <c r="I13" s="58"/>
      <c r="J13" s="54"/>
      <c r="K13" s="55"/>
      <c r="L13" s="58"/>
      <c r="M13" s="58"/>
      <c r="N13" s="55"/>
      <c r="O13" s="55"/>
      <c r="P13" s="74"/>
      <c r="Q13" s="74"/>
      <c r="R13" s="59"/>
    </row>
    <row r="14" ht="15.75" customHeight="1">
      <c r="A14" s="57">
        <f t="shared" si="4"/>
        <v>45683</v>
      </c>
      <c r="B14" s="48">
        <v>17.0</v>
      </c>
      <c r="C14" s="49">
        <f t="shared" si="1"/>
        <v>0.8947368421</v>
      </c>
      <c r="D14" s="50">
        <v>16947.0</v>
      </c>
      <c r="E14" s="130">
        <f t="shared" si="2"/>
        <v>996.8823529</v>
      </c>
      <c r="F14" s="50">
        <v>17930.0</v>
      </c>
      <c r="G14" s="52">
        <f t="shared" si="3"/>
        <v>1.058004367</v>
      </c>
      <c r="H14" s="60"/>
      <c r="I14" s="60"/>
      <c r="J14" s="54"/>
      <c r="K14" s="55"/>
      <c r="L14" s="58"/>
      <c r="M14" s="58"/>
      <c r="N14" s="55"/>
      <c r="O14" s="55"/>
      <c r="P14" s="74"/>
      <c r="Q14" s="74"/>
      <c r="R14" s="59"/>
    </row>
    <row r="15" ht="15.75" customHeight="1">
      <c r="A15" s="61" t="s">
        <v>51</v>
      </c>
      <c r="B15" s="62">
        <v>18.0</v>
      </c>
      <c r="C15" s="63">
        <f t="shared" si="1"/>
        <v>0.9473684211</v>
      </c>
      <c r="D15" s="64">
        <v>18850.0</v>
      </c>
      <c r="E15" s="131">
        <f>D15/B15</f>
        <v>1047.222222</v>
      </c>
      <c r="F15" s="64">
        <v>18850.0</v>
      </c>
      <c r="G15" s="66">
        <f t="shared" si="3"/>
        <v>1</v>
      </c>
      <c r="H15" s="67">
        <v>18824.0</v>
      </c>
      <c r="I15" s="67">
        <v>18850.0</v>
      </c>
      <c r="J15" s="68">
        <f>IF(H15=0,"",H15-I15)</f>
        <v>-26</v>
      </c>
      <c r="K15" s="69">
        <f>IFERROR((H15-I15)/H15,"")</f>
        <v>-0.00138121547</v>
      </c>
      <c r="L15" s="67">
        <v>22008.0</v>
      </c>
      <c r="M15" s="67">
        <v>17000.0</v>
      </c>
      <c r="N15" s="68">
        <f>IF(L15=0,"",L15-M15)</f>
        <v>5008</v>
      </c>
      <c r="O15" s="69">
        <f>IFERROR((L15-M15)/L15,"")</f>
        <v>0.2275536169</v>
      </c>
      <c r="P15" s="70">
        <f t="shared" ref="P15:Q15" si="5">H15-L15</f>
        <v>-3184</v>
      </c>
      <c r="Q15" s="70">
        <f t="shared" si="5"/>
        <v>1850</v>
      </c>
      <c r="R15" s="71" t="s">
        <v>116</v>
      </c>
    </row>
    <row r="16" ht="15.75" customHeight="1">
      <c r="A16" s="57">
        <f>A14+7</f>
        <v>45690</v>
      </c>
      <c r="B16" s="48">
        <v>17.0</v>
      </c>
      <c r="C16" s="49">
        <f t="shared" si="1"/>
        <v>0.8947368421</v>
      </c>
      <c r="D16" s="50">
        <v>16947.0</v>
      </c>
      <c r="E16" s="130">
        <f t="shared" ref="E16:E19" si="6">IFERROR(D16/B16,"")</f>
        <v>996.8823529</v>
      </c>
      <c r="F16" s="50">
        <v>8430.0</v>
      </c>
      <c r="G16" s="72">
        <f t="shared" si="3"/>
        <v>0.497433174</v>
      </c>
      <c r="H16" s="73"/>
      <c r="I16" s="74"/>
      <c r="J16" s="75"/>
      <c r="K16" s="76"/>
      <c r="L16" s="74"/>
      <c r="M16" s="74"/>
      <c r="N16" s="77"/>
      <c r="O16" s="55"/>
      <c r="P16" s="74"/>
      <c r="Q16" s="74"/>
      <c r="R16" s="59"/>
    </row>
    <row r="17" ht="15.75" customHeight="1">
      <c r="A17" s="57">
        <f t="shared" ref="A17:A19" si="7">A16+7</f>
        <v>45697</v>
      </c>
      <c r="B17" s="48">
        <v>16.0</v>
      </c>
      <c r="C17" s="49">
        <f t="shared" si="1"/>
        <v>0.8421052632</v>
      </c>
      <c r="D17" s="50">
        <v>17036.0</v>
      </c>
      <c r="E17" s="130">
        <f t="shared" si="6"/>
        <v>1064.75</v>
      </c>
      <c r="F17" s="50">
        <v>14415.0</v>
      </c>
      <c r="G17" s="52">
        <f t="shared" si="3"/>
        <v>0.8461493308</v>
      </c>
      <c r="H17" s="78"/>
      <c r="I17" s="78"/>
      <c r="J17" s="54"/>
      <c r="K17" s="55"/>
      <c r="L17" s="78"/>
      <c r="M17" s="78"/>
      <c r="N17" s="55"/>
      <c r="O17" s="55"/>
      <c r="P17" s="74"/>
      <c r="Q17" s="74"/>
      <c r="R17" s="59"/>
    </row>
    <row r="18" ht="15.75" customHeight="1">
      <c r="A18" s="57">
        <f t="shared" si="7"/>
        <v>45704</v>
      </c>
      <c r="B18" s="48">
        <v>16.0</v>
      </c>
      <c r="C18" s="49">
        <f t="shared" si="1"/>
        <v>0.8421052632</v>
      </c>
      <c r="D18" s="50">
        <v>17036.0</v>
      </c>
      <c r="E18" s="130">
        <f t="shared" si="6"/>
        <v>1064.75</v>
      </c>
      <c r="F18" s="50">
        <v>15665.0</v>
      </c>
      <c r="G18" s="52">
        <f t="shared" si="3"/>
        <v>0.9195233623</v>
      </c>
      <c r="H18" s="58"/>
      <c r="I18" s="58"/>
      <c r="J18" s="54"/>
      <c r="K18" s="55"/>
      <c r="L18" s="58"/>
      <c r="M18" s="58"/>
      <c r="N18" s="55"/>
      <c r="O18" s="55"/>
      <c r="P18" s="74"/>
      <c r="Q18" s="74"/>
      <c r="R18" s="59"/>
    </row>
    <row r="19" ht="15.75" customHeight="1">
      <c r="A19" s="57">
        <f t="shared" si="7"/>
        <v>45711</v>
      </c>
      <c r="B19" s="48">
        <v>16.0</v>
      </c>
      <c r="C19" s="49">
        <f t="shared" si="1"/>
        <v>0.8421052632</v>
      </c>
      <c r="D19" s="50">
        <v>17036.0</v>
      </c>
      <c r="E19" s="130">
        <f t="shared" si="6"/>
        <v>1064.75</v>
      </c>
      <c r="F19" s="50">
        <v>16565.0</v>
      </c>
      <c r="G19" s="52">
        <f t="shared" si="3"/>
        <v>0.9723526649</v>
      </c>
      <c r="H19" s="60"/>
      <c r="I19" s="60"/>
      <c r="J19" s="54"/>
      <c r="K19" s="55"/>
      <c r="L19" s="58"/>
      <c r="M19" s="58"/>
      <c r="N19" s="55"/>
      <c r="O19" s="55"/>
      <c r="P19" s="74"/>
      <c r="Q19" s="74"/>
      <c r="R19" s="59"/>
    </row>
    <row r="20" ht="15.75" customHeight="1">
      <c r="A20" s="61" t="s">
        <v>51</v>
      </c>
      <c r="B20" s="62">
        <v>18.0</v>
      </c>
      <c r="C20" s="63">
        <f t="shared" si="1"/>
        <v>0.9473684211</v>
      </c>
      <c r="D20" s="64">
        <v>18850.0</v>
      </c>
      <c r="E20" s="131">
        <f>D20/B20</f>
        <v>1047.222222</v>
      </c>
      <c r="F20" s="64">
        <v>18850.0</v>
      </c>
      <c r="G20" s="66">
        <f t="shared" si="3"/>
        <v>1</v>
      </c>
      <c r="H20" s="67">
        <v>22822.0</v>
      </c>
      <c r="I20" s="67">
        <v>18850.0</v>
      </c>
      <c r="J20" s="68">
        <f>IF(H20=0,"",H20-I20)</f>
        <v>3972</v>
      </c>
      <c r="K20" s="69">
        <f>IFERROR((H20-I20)/H20,"")</f>
        <v>0.1740425905</v>
      </c>
      <c r="L20" s="67">
        <v>19928.0</v>
      </c>
      <c r="M20" s="67">
        <v>17000.0</v>
      </c>
      <c r="N20" s="68">
        <f>IF(L20=0,"",L20-M20)</f>
        <v>2928</v>
      </c>
      <c r="O20" s="69">
        <f>IFERROR((L20-M20)/L20,"")</f>
        <v>0.1469289442</v>
      </c>
      <c r="P20" s="70">
        <f t="shared" ref="P20:Q20" si="8">H20-L20</f>
        <v>2894</v>
      </c>
      <c r="Q20" s="70">
        <f t="shared" si="8"/>
        <v>1850</v>
      </c>
      <c r="R20" s="71" t="s">
        <v>117</v>
      </c>
    </row>
    <row r="21" ht="15.75" customHeight="1">
      <c r="A21" s="57">
        <f>A19+7</f>
        <v>45718</v>
      </c>
      <c r="B21" s="48">
        <v>18.0</v>
      </c>
      <c r="C21" s="49">
        <f t="shared" si="1"/>
        <v>0.9473684211</v>
      </c>
      <c r="D21" s="50">
        <v>19761.0</v>
      </c>
      <c r="E21" s="130">
        <f t="shared" ref="E21:E25" si="9">IFERROR(D21/B21,"")</f>
        <v>1097.833333</v>
      </c>
      <c r="F21" s="50">
        <v>7694.0</v>
      </c>
      <c r="G21" s="79">
        <f t="shared" si="3"/>
        <v>0.3893527655</v>
      </c>
      <c r="H21" s="80"/>
      <c r="I21" s="81"/>
      <c r="J21" s="54"/>
      <c r="K21" s="76"/>
      <c r="L21" s="73"/>
      <c r="M21" s="74"/>
      <c r="N21" s="77"/>
      <c r="O21" s="55"/>
      <c r="P21" s="74"/>
      <c r="Q21" s="74"/>
      <c r="R21" s="59"/>
    </row>
    <row r="22" ht="15.75" customHeight="1">
      <c r="A22" s="57">
        <f t="shared" ref="A22:A25" si="10">A21+7</f>
        <v>45725</v>
      </c>
      <c r="B22" s="48">
        <v>18.0</v>
      </c>
      <c r="C22" s="49">
        <f t="shared" si="1"/>
        <v>0.9473684211</v>
      </c>
      <c r="D22" s="50">
        <v>19761.0</v>
      </c>
      <c r="E22" s="130">
        <f t="shared" si="9"/>
        <v>1097.833333</v>
      </c>
      <c r="F22" s="50">
        <v>16850.0</v>
      </c>
      <c r="G22" s="79">
        <f t="shared" si="3"/>
        <v>0.8526896412</v>
      </c>
      <c r="H22" s="78"/>
      <c r="I22" s="78"/>
      <c r="J22" s="54"/>
      <c r="K22" s="55"/>
      <c r="L22" s="78"/>
      <c r="M22" s="78"/>
      <c r="N22" s="55"/>
      <c r="O22" s="55"/>
      <c r="P22" s="74"/>
      <c r="Q22" s="74"/>
      <c r="R22" s="59"/>
    </row>
    <row r="23" ht="15.75" customHeight="1">
      <c r="A23" s="57">
        <f t="shared" si="10"/>
        <v>45732</v>
      </c>
      <c r="B23" s="48">
        <v>18.0</v>
      </c>
      <c r="C23" s="49">
        <f t="shared" si="1"/>
        <v>0.9473684211</v>
      </c>
      <c r="D23" s="50">
        <v>19761.0</v>
      </c>
      <c r="E23" s="130">
        <f t="shared" si="9"/>
        <v>1097.833333</v>
      </c>
      <c r="F23" s="50">
        <v>16850.0</v>
      </c>
      <c r="G23" s="52">
        <f t="shared" si="3"/>
        <v>0.8526896412</v>
      </c>
      <c r="H23" s="58"/>
      <c r="I23" s="58"/>
      <c r="J23" s="54"/>
      <c r="K23" s="55"/>
      <c r="L23" s="58"/>
      <c r="M23" s="58"/>
      <c r="N23" s="55"/>
      <c r="O23" s="55"/>
      <c r="P23" s="74"/>
      <c r="Q23" s="74"/>
      <c r="R23" s="59"/>
    </row>
    <row r="24" ht="15.75" customHeight="1">
      <c r="A24" s="57">
        <f t="shared" si="10"/>
        <v>45739</v>
      </c>
      <c r="B24" s="48">
        <v>18.0</v>
      </c>
      <c r="C24" s="49">
        <f t="shared" si="1"/>
        <v>0.9473684211</v>
      </c>
      <c r="D24" s="50">
        <v>19761.0</v>
      </c>
      <c r="E24" s="130">
        <f t="shared" si="9"/>
        <v>1097.833333</v>
      </c>
      <c r="F24" s="50">
        <v>18168.0</v>
      </c>
      <c r="G24" s="52">
        <f t="shared" si="3"/>
        <v>0.9193866707</v>
      </c>
      <c r="H24" s="58"/>
      <c r="I24" s="58"/>
      <c r="J24" s="54"/>
      <c r="K24" s="55"/>
      <c r="L24" s="58"/>
      <c r="M24" s="58"/>
      <c r="N24" s="55"/>
      <c r="O24" s="55"/>
      <c r="P24" s="74"/>
      <c r="Q24" s="74"/>
      <c r="R24" s="59"/>
    </row>
    <row r="25" ht="15.75" customHeight="1">
      <c r="A25" s="57">
        <f t="shared" si="10"/>
        <v>45746</v>
      </c>
      <c r="B25" s="48">
        <v>18.0</v>
      </c>
      <c r="C25" s="49">
        <f t="shared" si="1"/>
        <v>0.9473684211</v>
      </c>
      <c r="D25" s="50">
        <v>19761.0</v>
      </c>
      <c r="E25" s="130">
        <f t="shared" si="9"/>
        <v>1097.833333</v>
      </c>
      <c r="F25" s="50">
        <v>18543.0</v>
      </c>
      <c r="G25" s="52">
        <f t="shared" si="3"/>
        <v>0.9383634431</v>
      </c>
      <c r="H25" s="82"/>
      <c r="I25" s="82"/>
      <c r="J25" s="54"/>
      <c r="K25" s="55"/>
      <c r="L25" s="82"/>
      <c r="M25" s="82"/>
      <c r="N25" s="55"/>
      <c r="O25" s="55"/>
      <c r="P25" s="118"/>
      <c r="Q25" s="118"/>
      <c r="R25" s="59"/>
    </row>
    <row r="26" ht="15.75" customHeight="1">
      <c r="A26" s="61" t="s">
        <v>51</v>
      </c>
      <c r="B26" s="62">
        <v>18.0</v>
      </c>
      <c r="C26" s="63">
        <f t="shared" si="1"/>
        <v>0.9473684211</v>
      </c>
      <c r="D26" s="64">
        <v>18850.0</v>
      </c>
      <c r="E26" s="131">
        <f>D26/B26</f>
        <v>1047.222222</v>
      </c>
      <c r="F26" s="64">
        <v>18850.0</v>
      </c>
      <c r="G26" s="66">
        <f t="shared" si="3"/>
        <v>1</v>
      </c>
      <c r="H26" s="83">
        <v>18543.0</v>
      </c>
      <c r="I26" s="67">
        <v>18850.0</v>
      </c>
      <c r="J26" s="68">
        <f>IF(H26=0,"",H26-I26)</f>
        <v>-307</v>
      </c>
      <c r="K26" s="69">
        <f>IFERROR((H26-I26)/H26,"")</f>
        <v>-0.01655611282</v>
      </c>
      <c r="L26" s="83">
        <v>30094.0</v>
      </c>
      <c r="M26" s="67">
        <v>17000.0</v>
      </c>
      <c r="N26" s="68">
        <f>IF(L26=0,"",L26-M26)</f>
        <v>13094</v>
      </c>
      <c r="O26" s="69">
        <f>IFERROR((L26-M26)/L26,"")</f>
        <v>0.4351033429</v>
      </c>
      <c r="P26" s="119">
        <f t="shared" ref="P26:Q26" si="11">H26-L26</f>
        <v>-11551</v>
      </c>
      <c r="Q26" s="119">
        <f t="shared" si="11"/>
        <v>1850</v>
      </c>
      <c r="R26" s="71" t="s">
        <v>118</v>
      </c>
    </row>
    <row r="27" ht="15.75" customHeight="1">
      <c r="A27" s="57">
        <f>A25+7</f>
        <v>45753</v>
      </c>
      <c r="B27" s="48">
        <v>21.0</v>
      </c>
      <c r="C27" s="49">
        <f t="shared" ref="C27:C28" si="12">IF(B27=0,"",B27/E$5)</f>
        <v>1</v>
      </c>
      <c r="D27" s="50">
        <v>22861.0</v>
      </c>
      <c r="E27" s="130">
        <f t="shared" ref="E27:E30" si="13">IFERROR(D27/B27,"")</f>
        <v>1088.619048</v>
      </c>
      <c r="F27" s="50">
        <v>16025.0</v>
      </c>
      <c r="G27" s="52">
        <f t="shared" si="3"/>
        <v>0.7009754604</v>
      </c>
      <c r="H27" s="53"/>
      <c r="I27" s="53"/>
      <c r="J27" s="54"/>
      <c r="K27" s="55"/>
      <c r="L27" s="53"/>
      <c r="M27" s="53"/>
      <c r="N27" s="55"/>
      <c r="O27" s="55"/>
      <c r="P27" s="115"/>
      <c r="Q27" s="115"/>
      <c r="R27" s="59"/>
    </row>
    <row r="28" ht="15.75" customHeight="1">
      <c r="A28" s="57">
        <f t="shared" ref="A28:A30" si="14">A27+7</f>
        <v>45760</v>
      </c>
      <c r="B28" s="48">
        <v>21.0</v>
      </c>
      <c r="C28" s="49">
        <f t="shared" si="12"/>
        <v>1</v>
      </c>
      <c r="D28" s="50">
        <v>22861.0</v>
      </c>
      <c r="E28" s="130">
        <f t="shared" si="13"/>
        <v>1088.619048</v>
      </c>
      <c r="F28" s="50">
        <v>20275.0</v>
      </c>
      <c r="G28" s="52">
        <f t="shared" si="3"/>
        <v>0.8868815887</v>
      </c>
      <c r="H28" s="58"/>
      <c r="I28" s="58"/>
      <c r="J28" s="54"/>
      <c r="K28" s="55"/>
      <c r="L28" s="58"/>
      <c r="M28" s="58"/>
      <c r="N28" s="55"/>
      <c r="O28" s="55"/>
      <c r="P28" s="74"/>
      <c r="Q28" s="74"/>
      <c r="R28" s="59"/>
    </row>
    <row r="29" ht="15.75" customHeight="1">
      <c r="A29" s="57">
        <f t="shared" si="14"/>
        <v>45767</v>
      </c>
      <c r="B29" s="48">
        <v>22.0</v>
      </c>
      <c r="C29" s="49">
        <f t="shared" ref="C29:C30" si="15">IF(B29=0,"",B29/G$5)</f>
        <v>1</v>
      </c>
      <c r="D29" s="50">
        <v>23861.0</v>
      </c>
      <c r="E29" s="130">
        <f t="shared" si="13"/>
        <v>1084.590909</v>
      </c>
      <c r="F29" s="50">
        <v>20275.0</v>
      </c>
      <c r="G29" s="52">
        <f t="shared" si="3"/>
        <v>0.8497129207</v>
      </c>
      <c r="H29" s="58"/>
      <c r="I29" s="58"/>
      <c r="J29" s="54"/>
      <c r="K29" s="55"/>
      <c r="L29" s="58"/>
      <c r="M29" s="58"/>
      <c r="N29" s="55"/>
      <c r="O29" s="55"/>
      <c r="P29" s="74"/>
      <c r="Q29" s="74"/>
      <c r="R29" s="59"/>
    </row>
    <row r="30" ht="15.75" customHeight="1">
      <c r="A30" s="85">
        <f t="shared" si="14"/>
        <v>45774</v>
      </c>
      <c r="B30" s="48">
        <v>21.0</v>
      </c>
      <c r="C30" s="49">
        <f t="shared" si="15"/>
        <v>0.9545454545</v>
      </c>
      <c r="D30" s="50">
        <v>23811.0</v>
      </c>
      <c r="E30" s="130">
        <f t="shared" si="13"/>
        <v>1133.857143</v>
      </c>
      <c r="F30" s="50">
        <v>20563.0</v>
      </c>
      <c r="G30" s="52">
        <f t="shared" si="3"/>
        <v>0.8635924573</v>
      </c>
      <c r="H30" s="82"/>
      <c r="I30" s="82"/>
      <c r="J30" s="54"/>
      <c r="K30" s="55"/>
      <c r="L30" s="82"/>
      <c r="M30" s="82"/>
      <c r="N30" s="55"/>
      <c r="O30" s="55"/>
      <c r="P30" s="118"/>
      <c r="Q30" s="118"/>
      <c r="R30" s="59"/>
    </row>
    <row r="31" ht="15.75" customHeight="1">
      <c r="A31" s="61" t="s">
        <v>51</v>
      </c>
      <c r="B31" s="62">
        <v>18.0</v>
      </c>
      <c r="C31" s="63">
        <f>IF(B31=0,"",B31/C$5)</f>
        <v>0.9473684211</v>
      </c>
      <c r="D31" s="64">
        <v>18850.0</v>
      </c>
      <c r="E31" s="131">
        <f>D31/B31</f>
        <v>1047.222222</v>
      </c>
      <c r="F31" s="64">
        <v>18850.0</v>
      </c>
      <c r="G31" s="66">
        <f t="shared" si="3"/>
        <v>1</v>
      </c>
      <c r="H31" s="83">
        <v>17326.0</v>
      </c>
      <c r="I31" s="67">
        <v>18850.0</v>
      </c>
      <c r="J31" s="68">
        <f>IF(H31=0,"",H31-I31)</f>
        <v>-1524</v>
      </c>
      <c r="K31" s="69">
        <f>IFERROR((H31-I31)/H31,"")</f>
        <v>-0.08796029089</v>
      </c>
      <c r="L31" s="83">
        <v>33533.0</v>
      </c>
      <c r="M31" s="67">
        <v>17000.0</v>
      </c>
      <c r="N31" s="68">
        <f>IF(L31=0,"",L31-M31)</f>
        <v>16533</v>
      </c>
      <c r="O31" s="69">
        <f>IFERROR((L31-M31)/L31,"")</f>
        <v>0.4930367101</v>
      </c>
      <c r="P31" s="119">
        <f t="shared" ref="P31:Q31" si="16">H31-L31</f>
        <v>-16207</v>
      </c>
      <c r="Q31" s="119">
        <f t="shared" si="16"/>
        <v>1850</v>
      </c>
      <c r="R31" s="87"/>
    </row>
    <row r="32" ht="15.75" customHeight="1">
      <c r="A32" s="57">
        <f>A30+7</f>
        <v>45781</v>
      </c>
      <c r="B32" s="48">
        <v>19.0</v>
      </c>
      <c r="C32" s="49">
        <f t="shared" ref="C32:C35" si="17">IF(B32=0,"",B32/G$5)</f>
        <v>0.8636363636</v>
      </c>
      <c r="D32" s="50">
        <v>21661.0</v>
      </c>
      <c r="E32" s="130">
        <f t="shared" ref="E32:E35" si="18">IFERROR(D32/B32,"")</f>
        <v>1140.052632</v>
      </c>
      <c r="F32" s="50">
        <v>12106.0</v>
      </c>
      <c r="G32" s="52">
        <f t="shared" si="3"/>
        <v>0.5588846314</v>
      </c>
      <c r="H32" s="53"/>
      <c r="I32" s="53"/>
      <c r="J32" s="54"/>
      <c r="K32" s="55"/>
      <c r="L32" s="53"/>
      <c r="M32" s="53"/>
      <c r="N32" s="55"/>
      <c r="O32" s="55"/>
      <c r="P32" s="115"/>
      <c r="Q32" s="115"/>
      <c r="R32" s="59"/>
    </row>
    <row r="33" ht="15.75" customHeight="1">
      <c r="A33" s="57">
        <f t="shared" ref="A33:A35" si="19">A32+7</f>
        <v>45788</v>
      </c>
      <c r="B33" s="48">
        <v>19.0</v>
      </c>
      <c r="C33" s="49">
        <f t="shared" si="17"/>
        <v>0.8636363636</v>
      </c>
      <c r="D33" s="50">
        <v>21661.0</v>
      </c>
      <c r="E33" s="130">
        <f t="shared" si="18"/>
        <v>1140.052632</v>
      </c>
      <c r="F33" s="50">
        <v>17219.0</v>
      </c>
      <c r="G33" s="52">
        <f t="shared" si="3"/>
        <v>0.7949309819</v>
      </c>
      <c r="H33" s="58"/>
      <c r="I33" s="58"/>
      <c r="J33" s="54"/>
      <c r="K33" s="55"/>
      <c r="L33" s="58"/>
      <c r="M33" s="58"/>
      <c r="N33" s="55"/>
      <c r="O33" s="55"/>
      <c r="P33" s="74"/>
      <c r="Q33" s="74"/>
      <c r="R33" s="86"/>
    </row>
    <row r="34" ht="15.75" customHeight="1">
      <c r="A34" s="57">
        <f t="shared" si="19"/>
        <v>45795</v>
      </c>
      <c r="B34" s="48">
        <v>20.0</v>
      </c>
      <c r="C34" s="49">
        <f t="shared" si="17"/>
        <v>0.9090909091</v>
      </c>
      <c r="D34" s="50">
        <v>22436.0</v>
      </c>
      <c r="E34" s="130">
        <f t="shared" si="18"/>
        <v>1121.8</v>
      </c>
      <c r="F34" s="50">
        <v>18299.0</v>
      </c>
      <c r="G34" s="52">
        <f t="shared" si="3"/>
        <v>0.8156088429</v>
      </c>
      <c r="H34" s="58"/>
      <c r="I34" s="58"/>
      <c r="J34" s="54"/>
      <c r="K34" s="55"/>
      <c r="L34" s="58"/>
      <c r="M34" s="58"/>
      <c r="N34" s="55"/>
      <c r="O34" s="55"/>
      <c r="P34" s="74"/>
      <c r="Q34" s="74"/>
      <c r="R34" s="86"/>
    </row>
    <row r="35" ht="15.75" customHeight="1">
      <c r="A35" s="57">
        <f t="shared" si="19"/>
        <v>45802</v>
      </c>
      <c r="B35" s="48">
        <v>20.0</v>
      </c>
      <c r="C35" s="49">
        <f t="shared" si="17"/>
        <v>0.9090909091</v>
      </c>
      <c r="D35" s="50">
        <v>22436.0</v>
      </c>
      <c r="E35" s="130">
        <f t="shared" si="18"/>
        <v>1121.8</v>
      </c>
      <c r="F35" s="50">
        <v>18299.0</v>
      </c>
      <c r="G35" s="52">
        <f t="shared" si="3"/>
        <v>0.8156088429</v>
      </c>
      <c r="H35" s="60"/>
      <c r="I35" s="60"/>
      <c r="J35" s="54"/>
      <c r="K35" s="55"/>
      <c r="L35" s="58"/>
      <c r="M35" s="58"/>
      <c r="N35" s="55"/>
      <c r="O35" s="55"/>
      <c r="P35" s="74"/>
      <c r="Q35" s="74"/>
      <c r="R35" s="86"/>
    </row>
    <row r="36" ht="15.75" customHeight="1">
      <c r="A36" s="61" t="s">
        <v>51</v>
      </c>
      <c r="B36" s="62">
        <v>18.0</v>
      </c>
      <c r="C36" s="63">
        <f>IF(B36=0,"",B36/C$5)</f>
        <v>0.9473684211</v>
      </c>
      <c r="D36" s="64">
        <v>18850.0</v>
      </c>
      <c r="E36" s="131">
        <f>D36/B36</f>
        <v>1047.222222</v>
      </c>
      <c r="F36" s="64">
        <v>18850.0</v>
      </c>
      <c r="G36" s="66">
        <f t="shared" si="3"/>
        <v>1</v>
      </c>
      <c r="H36" s="67">
        <v>21451.0</v>
      </c>
      <c r="I36" s="67">
        <v>18850.0</v>
      </c>
      <c r="J36" s="68">
        <f>IF(H36=0,"",H36-I36)</f>
        <v>2601</v>
      </c>
      <c r="K36" s="69">
        <f>IFERROR((H36-I36)/H36,"")</f>
        <v>0.1212530884</v>
      </c>
      <c r="L36" s="67">
        <v>13769.0</v>
      </c>
      <c r="M36" s="67">
        <v>17000.0</v>
      </c>
      <c r="N36" s="68">
        <f>IF(L36=0,"",L36-M36)</f>
        <v>-3231</v>
      </c>
      <c r="O36" s="69">
        <f>IFERROR((L36-M36)/L36,"")</f>
        <v>-0.2346575641</v>
      </c>
      <c r="P36" s="70">
        <f t="shared" ref="P36:Q36" si="20">H36-L36</f>
        <v>7682</v>
      </c>
      <c r="Q36" s="70">
        <f t="shared" si="20"/>
        <v>1850</v>
      </c>
      <c r="R36" s="71" t="s">
        <v>119</v>
      </c>
    </row>
    <row r="37" ht="15.75" customHeight="1">
      <c r="A37" s="57">
        <f>A35+7</f>
        <v>45809</v>
      </c>
      <c r="B37" s="48">
        <v>21.0</v>
      </c>
      <c r="C37" s="49">
        <f t="shared" ref="C37:C41" si="21">IF(B37=0,"",B37/G$5)</f>
        <v>0.9545454545</v>
      </c>
      <c r="D37" s="50">
        <v>23191.0</v>
      </c>
      <c r="E37" s="130">
        <f t="shared" ref="E37:E41" si="22">IFERROR(D37/B37,"")</f>
        <v>1104.333333</v>
      </c>
      <c r="F37" s="50">
        <v>7790.0</v>
      </c>
      <c r="G37" s="72">
        <f t="shared" si="3"/>
        <v>0.3359061705</v>
      </c>
      <c r="H37" s="74"/>
      <c r="I37" s="80"/>
      <c r="J37" s="75"/>
      <c r="K37" s="55"/>
      <c r="L37" s="60"/>
      <c r="M37" s="60"/>
      <c r="N37" s="55"/>
      <c r="O37" s="55"/>
      <c r="P37" s="74"/>
      <c r="Q37" s="74"/>
      <c r="R37" s="86"/>
    </row>
    <row r="38" ht="15.75" customHeight="1">
      <c r="A38" s="57">
        <f t="shared" ref="A38:A41" si="23">A37+7</f>
        <v>45816</v>
      </c>
      <c r="B38" s="48">
        <v>20.0</v>
      </c>
      <c r="C38" s="49">
        <f t="shared" si="21"/>
        <v>0.9090909091</v>
      </c>
      <c r="D38" s="50">
        <v>21841.0</v>
      </c>
      <c r="E38" s="130">
        <f t="shared" si="22"/>
        <v>1092.05</v>
      </c>
      <c r="F38" s="50">
        <v>15335.0</v>
      </c>
      <c r="G38" s="52">
        <f t="shared" si="3"/>
        <v>0.7021198663</v>
      </c>
      <c r="H38" s="78"/>
      <c r="I38" s="78"/>
      <c r="J38" s="54"/>
      <c r="K38" s="76"/>
      <c r="L38" s="74"/>
      <c r="M38" s="74"/>
      <c r="N38" s="77"/>
      <c r="O38" s="55"/>
      <c r="P38" s="74"/>
      <c r="Q38" s="74"/>
      <c r="R38" s="86"/>
    </row>
    <row r="39" ht="15.75" customHeight="1">
      <c r="A39" s="57">
        <f t="shared" si="23"/>
        <v>45823</v>
      </c>
      <c r="B39" s="48">
        <v>20.0</v>
      </c>
      <c r="C39" s="49">
        <f t="shared" si="21"/>
        <v>0.9090909091</v>
      </c>
      <c r="D39" s="50">
        <v>21871.0</v>
      </c>
      <c r="E39" s="130">
        <f t="shared" si="22"/>
        <v>1093.55</v>
      </c>
      <c r="F39" s="50">
        <v>16335.0</v>
      </c>
      <c r="G39" s="52">
        <f t="shared" si="3"/>
        <v>0.7468794294</v>
      </c>
      <c r="H39" s="58"/>
      <c r="I39" s="58"/>
      <c r="J39" s="54"/>
      <c r="K39" s="55"/>
      <c r="L39" s="78"/>
      <c r="M39" s="78"/>
      <c r="N39" s="55"/>
      <c r="O39" s="55"/>
      <c r="P39" s="74"/>
      <c r="Q39" s="74"/>
      <c r="R39" s="86"/>
    </row>
    <row r="40" ht="15.75" customHeight="1">
      <c r="A40" s="57">
        <f t="shared" si="23"/>
        <v>45830</v>
      </c>
      <c r="B40" s="48">
        <v>20.0</v>
      </c>
      <c r="C40" s="49">
        <f t="shared" si="21"/>
        <v>0.9090909091</v>
      </c>
      <c r="D40" s="50">
        <v>21871.0</v>
      </c>
      <c r="E40" s="130">
        <f t="shared" si="22"/>
        <v>1093.55</v>
      </c>
      <c r="F40" s="50">
        <v>17535.0</v>
      </c>
      <c r="G40" s="52">
        <f t="shared" si="3"/>
        <v>0.8017466051</v>
      </c>
      <c r="H40" s="58"/>
      <c r="I40" s="58"/>
      <c r="J40" s="54"/>
      <c r="K40" s="55"/>
      <c r="L40" s="58"/>
      <c r="M40" s="58"/>
      <c r="N40" s="55"/>
      <c r="O40" s="55"/>
      <c r="P40" s="74"/>
      <c r="Q40" s="74"/>
      <c r="R40" s="86"/>
    </row>
    <row r="41" ht="15.75" customHeight="1">
      <c r="A41" s="57">
        <f t="shared" si="23"/>
        <v>45837</v>
      </c>
      <c r="B41" s="48">
        <v>20.0</v>
      </c>
      <c r="C41" s="49">
        <f t="shared" si="21"/>
        <v>0.9090909091</v>
      </c>
      <c r="D41" s="50">
        <v>21871.0</v>
      </c>
      <c r="E41" s="130">
        <f t="shared" si="22"/>
        <v>1093.55</v>
      </c>
      <c r="F41" s="50">
        <v>17535.0</v>
      </c>
      <c r="G41" s="52">
        <f t="shared" si="3"/>
        <v>0.8017466051</v>
      </c>
      <c r="H41" s="82"/>
      <c r="I41" s="82"/>
      <c r="J41" s="54"/>
      <c r="K41" s="55"/>
      <c r="L41" s="82"/>
      <c r="M41" s="82"/>
      <c r="N41" s="55"/>
      <c r="O41" s="55"/>
      <c r="P41" s="118"/>
      <c r="Q41" s="118"/>
      <c r="R41" s="86"/>
    </row>
    <row r="42" ht="15.75" customHeight="1">
      <c r="A42" s="61" t="s">
        <v>51</v>
      </c>
      <c r="B42" s="62">
        <v>18.0</v>
      </c>
      <c r="C42" s="63">
        <f>IF(B42=0,"",B42/C$5)</f>
        <v>0.9473684211</v>
      </c>
      <c r="D42" s="64">
        <v>18850.0</v>
      </c>
      <c r="E42" s="131">
        <f>D42/B42</f>
        <v>1047.222222</v>
      </c>
      <c r="F42" s="64">
        <v>18850.0</v>
      </c>
      <c r="G42" s="66">
        <f t="shared" si="3"/>
        <v>1</v>
      </c>
      <c r="H42" s="83">
        <v>20731.0</v>
      </c>
      <c r="I42" s="67">
        <v>18850.0</v>
      </c>
      <c r="J42" s="68">
        <f>IF(H42=0,"",H42-I42)</f>
        <v>1881</v>
      </c>
      <c r="K42" s="69">
        <f>IFERROR((H42-I42)/H42,"")</f>
        <v>0.09073368386</v>
      </c>
      <c r="L42" s="83">
        <v>31373.0</v>
      </c>
      <c r="M42" s="67">
        <v>16000.0</v>
      </c>
      <c r="N42" s="68">
        <f>IF(L42=0,"",L42-M42)</f>
        <v>15373</v>
      </c>
      <c r="O42" s="69">
        <f>IFERROR((L42-M42)/L42,"")</f>
        <v>0.4900073311</v>
      </c>
      <c r="P42" s="119">
        <f t="shared" ref="P42:Q42" si="24">H42-L42</f>
        <v>-10642</v>
      </c>
      <c r="Q42" s="119">
        <f t="shared" si="24"/>
        <v>2850</v>
      </c>
      <c r="R42" s="71" t="s">
        <v>120</v>
      </c>
    </row>
    <row r="43" ht="15.75" customHeight="1">
      <c r="A43" s="57">
        <f>A41+7</f>
        <v>45844</v>
      </c>
      <c r="B43" s="48">
        <v>19.0</v>
      </c>
      <c r="C43" s="49">
        <f t="shared" ref="C43:C46" si="25">IF(B43=0,"",B43/G$5)</f>
        <v>0.8636363636</v>
      </c>
      <c r="D43" s="50">
        <v>20691.0</v>
      </c>
      <c r="E43" s="130">
        <f t="shared" ref="E43:E46" si="26">IFERROR(D43/B43,"")</f>
        <v>1089</v>
      </c>
      <c r="F43" s="50">
        <v>15287.0</v>
      </c>
      <c r="G43" s="52">
        <f t="shared" si="3"/>
        <v>0.7388236431</v>
      </c>
      <c r="H43" s="53"/>
      <c r="I43" s="53"/>
      <c r="J43" s="54"/>
      <c r="K43" s="55"/>
      <c r="L43" s="53"/>
      <c r="M43" s="53"/>
      <c r="N43" s="55"/>
      <c r="O43" s="55"/>
      <c r="P43" s="115"/>
      <c r="Q43" s="115"/>
      <c r="R43" s="86"/>
    </row>
    <row r="44" ht="15.75" customHeight="1">
      <c r="A44" s="57">
        <f t="shared" ref="A44:A46" si="27">A43+7</f>
        <v>45851</v>
      </c>
      <c r="B44" s="48">
        <v>19.0</v>
      </c>
      <c r="C44" s="49">
        <f t="shared" si="25"/>
        <v>0.8636363636</v>
      </c>
      <c r="D44" s="50">
        <v>20711.0</v>
      </c>
      <c r="E44" s="130">
        <f t="shared" si="26"/>
        <v>1090.052632</v>
      </c>
      <c r="F44" s="50">
        <v>18662.0</v>
      </c>
      <c r="G44" s="52">
        <f t="shared" si="3"/>
        <v>0.9010670658</v>
      </c>
      <c r="H44" s="58"/>
      <c r="I44" s="58"/>
      <c r="J44" s="54"/>
      <c r="K44" s="55"/>
      <c r="L44" s="58"/>
      <c r="M44" s="58"/>
      <c r="N44" s="55"/>
      <c r="O44" s="55"/>
      <c r="P44" s="74"/>
      <c r="Q44" s="74"/>
      <c r="R44" s="86"/>
    </row>
    <row r="45" ht="15.75" customHeight="1">
      <c r="A45" s="57">
        <f t="shared" si="27"/>
        <v>45858</v>
      </c>
      <c r="B45" s="48">
        <v>19.0</v>
      </c>
      <c r="C45" s="49">
        <f t="shared" si="25"/>
        <v>0.8636363636</v>
      </c>
      <c r="D45" s="50">
        <v>20711.0</v>
      </c>
      <c r="E45" s="130">
        <f t="shared" si="26"/>
        <v>1090.052632</v>
      </c>
      <c r="F45" s="50">
        <v>20162.0</v>
      </c>
      <c r="G45" s="52">
        <f t="shared" si="3"/>
        <v>0.9734923471</v>
      </c>
      <c r="H45" s="58"/>
      <c r="I45" s="58"/>
      <c r="J45" s="54"/>
      <c r="K45" s="55"/>
      <c r="L45" s="58"/>
      <c r="M45" s="58"/>
      <c r="N45" s="55"/>
      <c r="O45" s="55"/>
      <c r="P45" s="74"/>
      <c r="Q45" s="74"/>
      <c r="R45" s="86"/>
    </row>
    <row r="46" ht="15.75" customHeight="1">
      <c r="A46" s="57">
        <f t="shared" si="27"/>
        <v>45865</v>
      </c>
      <c r="B46" s="48">
        <v>19.0</v>
      </c>
      <c r="C46" s="49">
        <f t="shared" si="25"/>
        <v>0.8636363636</v>
      </c>
      <c r="D46" s="50">
        <v>20711.0</v>
      </c>
      <c r="E46" s="130">
        <f t="shared" si="26"/>
        <v>1090.052632</v>
      </c>
      <c r="F46" s="50">
        <v>21584.0</v>
      </c>
      <c r="G46" s="52">
        <f t="shared" si="3"/>
        <v>1.042151514</v>
      </c>
      <c r="H46" s="82"/>
      <c r="I46" s="82"/>
      <c r="J46" s="54"/>
      <c r="K46" s="55"/>
      <c r="L46" s="82"/>
      <c r="M46" s="82"/>
      <c r="N46" s="55"/>
      <c r="O46" s="55"/>
      <c r="P46" s="118"/>
      <c r="Q46" s="118"/>
      <c r="R46" s="86"/>
    </row>
    <row r="47" ht="15.75" customHeight="1">
      <c r="A47" s="61" t="s">
        <v>51</v>
      </c>
      <c r="B47" s="62">
        <v>18.0</v>
      </c>
      <c r="C47" s="63">
        <f>IF(B47=0,"",B47/C$5)</f>
        <v>0.9473684211</v>
      </c>
      <c r="D47" s="64">
        <v>18850.0</v>
      </c>
      <c r="E47" s="131">
        <f>D47/B47</f>
        <v>1047.222222</v>
      </c>
      <c r="F47" s="64">
        <v>18850.0</v>
      </c>
      <c r="G47" s="66">
        <f t="shared" si="3"/>
        <v>1</v>
      </c>
      <c r="H47" s="83">
        <v>22041.0</v>
      </c>
      <c r="I47" s="67">
        <v>18850.0</v>
      </c>
      <c r="J47" s="68">
        <f>IF(H47=0,"",H47-I47)</f>
        <v>3191</v>
      </c>
      <c r="K47" s="69">
        <f>IFERROR((H47-I47)/H47,"")</f>
        <v>0.1447756454</v>
      </c>
      <c r="L47" s="83">
        <v>34957.0</v>
      </c>
      <c r="M47" s="67">
        <v>16000.0</v>
      </c>
      <c r="N47" s="68">
        <f>IF(L47=0,"",L47-M47)</f>
        <v>18957</v>
      </c>
      <c r="O47" s="69">
        <f>IFERROR((L47-M47)/L47,"")</f>
        <v>0.5422948193</v>
      </c>
      <c r="P47" s="119">
        <f t="shared" ref="P47:Q47" si="28">H47-L47</f>
        <v>-12916</v>
      </c>
      <c r="Q47" s="119">
        <f t="shared" si="28"/>
        <v>2850</v>
      </c>
      <c r="R47" s="71" t="s">
        <v>121</v>
      </c>
    </row>
    <row r="48" ht="15.75" customHeight="1">
      <c r="A48" s="57">
        <f>A46+7</f>
        <v>45872</v>
      </c>
      <c r="B48" s="48">
        <v>20.0</v>
      </c>
      <c r="C48" s="49">
        <f t="shared" ref="C48:C52" si="29">IF(B48=0,"",B48/G$5)</f>
        <v>0.9090909091</v>
      </c>
      <c r="D48" s="50">
        <v>21591.0</v>
      </c>
      <c r="E48" s="130">
        <f t="shared" ref="E48:E52" si="30">IFERROR(D48/B48,"")</f>
        <v>1079.55</v>
      </c>
      <c r="F48" s="50">
        <v>13581.0</v>
      </c>
      <c r="G48" s="52">
        <f t="shared" si="3"/>
        <v>0.6290120884</v>
      </c>
      <c r="H48" s="53"/>
      <c r="I48" s="53"/>
      <c r="J48" s="54"/>
      <c r="K48" s="55"/>
      <c r="L48" s="53"/>
      <c r="M48" s="53"/>
      <c r="N48" s="55"/>
      <c r="O48" s="55"/>
      <c r="P48" s="115"/>
      <c r="Q48" s="115"/>
      <c r="R48" s="86"/>
    </row>
    <row r="49" ht="15.75" customHeight="1">
      <c r="A49" s="57">
        <f t="shared" ref="A49:A52" si="31">A48+7</f>
        <v>45879</v>
      </c>
      <c r="B49" s="48">
        <v>20.0</v>
      </c>
      <c r="C49" s="49">
        <f t="shared" si="29"/>
        <v>0.9090909091</v>
      </c>
      <c r="D49" s="50">
        <v>21591.0</v>
      </c>
      <c r="E49" s="130">
        <f t="shared" si="30"/>
        <v>1079.55</v>
      </c>
      <c r="F49" s="50">
        <v>16808.0</v>
      </c>
      <c r="G49" s="52">
        <f t="shared" si="3"/>
        <v>0.7784725117</v>
      </c>
      <c r="H49" s="58"/>
      <c r="I49" s="58"/>
      <c r="J49" s="54"/>
      <c r="K49" s="55"/>
      <c r="L49" s="58"/>
      <c r="M49" s="58"/>
      <c r="N49" s="55"/>
      <c r="O49" s="55"/>
      <c r="P49" s="74"/>
      <c r="Q49" s="74"/>
      <c r="R49" s="86"/>
    </row>
    <row r="50" ht="15.75" customHeight="1">
      <c r="A50" s="57">
        <f t="shared" si="31"/>
        <v>45886</v>
      </c>
      <c r="B50" s="48">
        <v>20.0</v>
      </c>
      <c r="C50" s="49">
        <f t="shared" si="29"/>
        <v>0.9090909091</v>
      </c>
      <c r="D50" s="50">
        <v>21591.0</v>
      </c>
      <c r="E50" s="130">
        <f t="shared" si="30"/>
        <v>1079.55</v>
      </c>
      <c r="F50" s="50">
        <v>18008.0</v>
      </c>
      <c r="G50" s="52">
        <f t="shared" si="3"/>
        <v>0.834051225</v>
      </c>
      <c r="H50" s="58"/>
      <c r="I50" s="58"/>
      <c r="J50" s="54"/>
      <c r="K50" s="55"/>
      <c r="L50" s="58"/>
      <c r="M50" s="58"/>
      <c r="N50" s="55"/>
      <c r="O50" s="55"/>
      <c r="P50" s="74"/>
      <c r="Q50" s="74"/>
      <c r="R50" s="86"/>
    </row>
    <row r="51" ht="15.75" customHeight="1">
      <c r="A51" s="57">
        <f t="shared" si="31"/>
        <v>45893</v>
      </c>
      <c r="B51" s="48">
        <v>20.0</v>
      </c>
      <c r="C51" s="49">
        <f t="shared" si="29"/>
        <v>0.9090909091</v>
      </c>
      <c r="D51" s="50">
        <v>21591.0</v>
      </c>
      <c r="E51" s="130">
        <f t="shared" si="30"/>
        <v>1079.55</v>
      </c>
      <c r="F51" s="50">
        <v>18467.0</v>
      </c>
      <c r="G51" s="52">
        <f t="shared" si="3"/>
        <v>0.8553100829</v>
      </c>
      <c r="H51" s="60"/>
      <c r="I51" s="60"/>
      <c r="J51" s="54"/>
      <c r="K51" s="55"/>
      <c r="L51" s="58"/>
      <c r="M51" s="58"/>
      <c r="N51" s="55"/>
      <c r="O51" s="55"/>
      <c r="P51" s="74"/>
      <c r="Q51" s="74"/>
      <c r="R51" s="86"/>
    </row>
    <row r="52" ht="15.75" customHeight="1">
      <c r="A52" s="57">
        <f t="shared" si="31"/>
        <v>45900</v>
      </c>
      <c r="B52" s="48">
        <v>21.0</v>
      </c>
      <c r="C52" s="49">
        <f t="shared" si="29"/>
        <v>0.9545454545</v>
      </c>
      <c r="D52" s="50">
        <v>23041.0</v>
      </c>
      <c r="E52" s="130">
        <f t="shared" si="30"/>
        <v>1097.190476</v>
      </c>
      <c r="F52" s="50">
        <v>19028.0</v>
      </c>
      <c r="G52" s="72">
        <f t="shared" si="3"/>
        <v>0.8258322121</v>
      </c>
      <c r="H52" s="74"/>
      <c r="I52" s="80"/>
      <c r="J52" s="75"/>
      <c r="K52" s="55"/>
      <c r="L52" s="60"/>
      <c r="M52" s="60"/>
      <c r="N52" s="55"/>
      <c r="O52" s="55"/>
      <c r="P52" s="74"/>
      <c r="Q52" s="74"/>
      <c r="R52" s="86"/>
    </row>
    <row r="53" ht="15.75" customHeight="1">
      <c r="A53" s="61" t="s">
        <v>51</v>
      </c>
      <c r="B53" s="62">
        <v>18.0</v>
      </c>
      <c r="C53" s="63">
        <f>IF(B53=0,"",B53/C$5)</f>
        <v>0.9473684211</v>
      </c>
      <c r="D53" s="64">
        <v>18850.0</v>
      </c>
      <c r="E53" s="131">
        <f>D53/B53</f>
        <v>1047.222222</v>
      </c>
      <c r="F53" s="64">
        <v>18850.0</v>
      </c>
      <c r="G53" s="66">
        <f t="shared" si="3"/>
        <v>1</v>
      </c>
      <c r="H53" s="67">
        <v>22028.0</v>
      </c>
      <c r="I53" s="67">
        <v>18850.0</v>
      </c>
      <c r="J53" s="68">
        <f>IF(H53=0,"",H53-I53)</f>
        <v>3178</v>
      </c>
      <c r="K53" s="69">
        <f>IFERROR((H53-I53)/H53,"")</f>
        <v>0.1442709279</v>
      </c>
      <c r="L53" s="67">
        <v>26067.0</v>
      </c>
      <c r="M53" s="67">
        <v>16000.0</v>
      </c>
      <c r="N53" s="68">
        <f>IF(L53=0,"",L53-M53)</f>
        <v>10067</v>
      </c>
      <c r="O53" s="69">
        <f>IFERROR((L53-M53)/L53,"")</f>
        <v>0.3861971075</v>
      </c>
      <c r="P53" s="70">
        <f t="shared" ref="P53:Q53" si="32">H53-L53</f>
        <v>-4039</v>
      </c>
      <c r="Q53" s="70">
        <f t="shared" si="32"/>
        <v>2850</v>
      </c>
      <c r="R53" s="71" t="s">
        <v>122</v>
      </c>
    </row>
    <row r="54" ht="15.75" customHeight="1">
      <c r="A54" s="57">
        <f>A52+7</f>
        <v>45907</v>
      </c>
      <c r="B54" s="48">
        <v>19.0</v>
      </c>
      <c r="C54" s="49">
        <f t="shared" ref="C54:C57" si="33">IF(B54=0,"",B54/G$5)</f>
        <v>0.8636363636</v>
      </c>
      <c r="D54" s="50">
        <v>21175.0</v>
      </c>
      <c r="E54" s="130">
        <f t="shared" ref="E54:E57" si="34">IFERROR(D54/B54,"")</f>
        <v>1114.473684</v>
      </c>
      <c r="F54" s="50">
        <v>19624.0</v>
      </c>
      <c r="G54" s="52">
        <f t="shared" si="3"/>
        <v>0.9267532468</v>
      </c>
      <c r="H54" s="78"/>
      <c r="I54" s="78"/>
      <c r="J54" s="54"/>
      <c r="K54" s="76"/>
      <c r="L54" s="74"/>
      <c r="M54" s="74"/>
      <c r="N54" s="77"/>
      <c r="O54" s="55"/>
      <c r="P54" s="74"/>
      <c r="Q54" s="74"/>
      <c r="R54" s="86"/>
    </row>
    <row r="55" ht="15.75" customHeight="1">
      <c r="A55" s="57">
        <f t="shared" ref="A55:A57" si="35">A54+7</f>
        <v>45914</v>
      </c>
      <c r="B55" s="48">
        <v>19.0</v>
      </c>
      <c r="C55" s="49">
        <f t="shared" si="33"/>
        <v>0.8636363636</v>
      </c>
      <c r="D55" s="50">
        <v>21175.0</v>
      </c>
      <c r="E55" s="130">
        <f t="shared" si="34"/>
        <v>1114.473684</v>
      </c>
      <c r="F55" s="50">
        <v>20824.0</v>
      </c>
      <c r="G55" s="52">
        <f t="shared" si="3"/>
        <v>0.9834238489</v>
      </c>
      <c r="H55" s="58"/>
      <c r="I55" s="58"/>
      <c r="J55" s="54"/>
      <c r="K55" s="55"/>
      <c r="L55" s="78"/>
      <c r="M55" s="78"/>
      <c r="N55" s="55"/>
      <c r="O55" s="55"/>
      <c r="P55" s="74"/>
      <c r="Q55" s="74"/>
      <c r="R55" s="86"/>
    </row>
    <row r="56" ht="15.75" customHeight="1">
      <c r="A56" s="57">
        <f t="shared" si="35"/>
        <v>45921</v>
      </c>
      <c r="B56" s="48">
        <v>20.0</v>
      </c>
      <c r="C56" s="49">
        <f t="shared" si="33"/>
        <v>0.9090909091</v>
      </c>
      <c r="D56" s="50">
        <v>22725.0</v>
      </c>
      <c r="E56" s="130">
        <f t="shared" si="34"/>
        <v>1136.25</v>
      </c>
      <c r="F56" s="50">
        <v>21187.0</v>
      </c>
      <c r="G56" s="52">
        <f t="shared" si="3"/>
        <v>0.9323212321</v>
      </c>
      <c r="H56" s="58"/>
      <c r="I56" s="58"/>
      <c r="J56" s="54"/>
      <c r="K56" s="55"/>
      <c r="L56" s="58"/>
      <c r="M56" s="58"/>
      <c r="N56" s="55"/>
      <c r="O56" s="55"/>
      <c r="P56" s="74"/>
      <c r="Q56" s="74"/>
      <c r="R56" s="86"/>
    </row>
    <row r="57" ht="15.75" customHeight="1">
      <c r="A57" s="57">
        <f t="shared" si="35"/>
        <v>45928</v>
      </c>
      <c r="B57" s="48">
        <v>21.0</v>
      </c>
      <c r="C57" s="49">
        <f t="shared" si="33"/>
        <v>0.9545454545</v>
      </c>
      <c r="D57" s="50">
        <v>22700.0</v>
      </c>
      <c r="E57" s="130">
        <f t="shared" si="34"/>
        <v>1080.952381</v>
      </c>
      <c r="F57" s="50">
        <v>21797.0</v>
      </c>
      <c r="G57" s="52">
        <f t="shared" si="3"/>
        <v>0.9602202643</v>
      </c>
      <c r="H57" s="82"/>
      <c r="I57" s="82"/>
      <c r="J57" s="54"/>
      <c r="K57" s="55"/>
      <c r="L57" s="82"/>
      <c r="M57" s="82"/>
      <c r="N57" s="55"/>
      <c r="O57" s="55"/>
      <c r="P57" s="118"/>
      <c r="Q57" s="118"/>
      <c r="R57" s="86"/>
    </row>
    <row r="58" ht="15.75" customHeight="1">
      <c r="A58" s="61" t="s">
        <v>51</v>
      </c>
      <c r="B58" s="62">
        <v>18.0</v>
      </c>
      <c r="C58" s="63">
        <f>IF(B58=0,"",B58/C$5)</f>
        <v>0.9473684211</v>
      </c>
      <c r="D58" s="64">
        <v>18850.0</v>
      </c>
      <c r="E58" s="131">
        <f>D58/B58</f>
        <v>1047.222222</v>
      </c>
      <c r="F58" s="64">
        <v>18850.0</v>
      </c>
      <c r="G58" s="66">
        <f t="shared" si="3"/>
        <v>1</v>
      </c>
      <c r="H58" s="83">
        <v>25933.0</v>
      </c>
      <c r="I58" s="67">
        <v>18850.0</v>
      </c>
      <c r="J58" s="68">
        <f>IF(H58=0,"",H58-I58)</f>
        <v>7083</v>
      </c>
      <c r="K58" s="69">
        <f>IFERROR((H58-I58)/H58,"")</f>
        <v>0.2731269039</v>
      </c>
      <c r="L58" s="83">
        <v>37678.0</v>
      </c>
      <c r="M58" s="67">
        <v>16000.0</v>
      </c>
      <c r="N58" s="68">
        <f>IF(L58=0,"",L58-M58)</f>
        <v>21678</v>
      </c>
      <c r="O58" s="69">
        <f>IFERROR((L58-M58)/L58,"")</f>
        <v>0.57534901</v>
      </c>
      <c r="P58" s="119">
        <f t="shared" ref="P58:Q58" si="36">H58-L58</f>
        <v>-11745</v>
      </c>
      <c r="Q58" s="119">
        <f t="shared" si="36"/>
        <v>2850</v>
      </c>
      <c r="R58" s="71" t="s">
        <v>123</v>
      </c>
    </row>
    <row r="59" ht="15.75" customHeight="1">
      <c r="A59" s="57">
        <f>A57+7</f>
        <v>45935</v>
      </c>
      <c r="B59" s="48">
        <v>18.0</v>
      </c>
      <c r="C59" s="49">
        <f t="shared" ref="C59:C62" si="37">IF(B59=0,"",B59/G$5)</f>
        <v>0.8181818182</v>
      </c>
      <c r="D59" s="50">
        <v>21675.0</v>
      </c>
      <c r="E59" s="130">
        <f t="shared" ref="E59:E62" si="38">IFERROR(D59/B59,"")</f>
        <v>1204.166667</v>
      </c>
      <c r="F59" s="50">
        <v>17869.0</v>
      </c>
      <c r="G59" s="52">
        <f t="shared" si="3"/>
        <v>0.8244059977</v>
      </c>
      <c r="H59" s="53"/>
      <c r="I59" s="53"/>
      <c r="J59" s="54"/>
      <c r="K59" s="55"/>
      <c r="L59" s="53"/>
      <c r="M59" s="53"/>
      <c r="N59" s="55"/>
      <c r="O59" s="55"/>
      <c r="P59" s="115"/>
      <c r="Q59" s="115"/>
      <c r="R59" s="86"/>
    </row>
    <row r="60" ht="15.75" customHeight="1">
      <c r="A60" s="57">
        <f t="shared" ref="A60:A62" si="39">A59+7</f>
        <v>45942</v>
      </c>
      <c r="B60" s="48">
        <v>20.0</v>
      </c>
      <c r="C60" s="49">
        <f t="shared" si="37"/>
        <v>0.9090909091</v>
      </c>
      <c r="D60" s="50">
        <v>22525.0</v>
      </c>
      <c r="E60" s="130">
        <f t="shared" si="38"/>
        <v>1126.25</v>
      </c>
      <c r="F60" s="50">
        <v>21644.0</v>
      </c>
      <c r="G60" s="52">
        <f t="shared" si="3"/>
        <v>0.9608879023</v>
      </c>
      <c r="H60" s="58"/>
      <c r="I60" s="58"/>
      <c r="J60" s="54"/>
      <c r="K60" s="55"/>
      <c r="L60" s="58"/>
      <c r="M60" s="58"/>
      <c r="N60" s="55"/>
      <c r="O60" s="55"/>
      <c r="P60" s="74"/>
      <c r="Q60" s="74"/>
      <c r="R60" s="86"/>
    </row>
    <row r="61" ht="15.75" customHeight="1">
      <c r="A61" s="57">
        <f t="shared" si="39"/>
        <v>45949</v>
      </c>
      <c r="B61" s="48">
        <v>20.0</v>
      </c>
      <c r="C61" s="49">
        <f t="shared" si="37"/>
        <v>0.9090909091</v>
      </c>
      <c r="D61" s="50">
        <v>22525.0</v>
      </c>
      <c r="E61" s="130">
        <f t="shared" si="38"/>
        <v>1126.25</v>
      </c>
      <c r="F61" s="50">
        <v>23497.0</v>
      </c>
      <c r="G61" s="52">
        <f t="shared" si="3"/>
        <v>1.043152053</v>
      </c>
      <c r="H61" s="58"/>
      <c r="I61" s="58"/>
      <c r="J61" s="54"/>
      <c r="K61" s="55"/>
      <c r="L61" s="58"/>
      <c r="M61" s="58"/>
      <c r="N61" s="55"/>
      <c r="O61" s="55"/>
      <c r="P61" s="74"/>
      <c r="Q61" s="74"/>
      <c r="R61" s="86"/>
    </row>
    <row r="62" ht="15.75" customHeight="1">
      <c r="A62" s="57">
        <f t="shared" si="39"/>
        <v>45956</v>
      </c>
      <c r="B62" s="48">
        <v>20.0</v>
      </c>
      <c r="C62" s="49">
        <f t="shared" si="37"/>
        <v>0.9090909091</v>
      </c>
      <c r="D62" s="50">
        <v>22525.0</v>
      </c>
      <c r="E62" s="130">
        <f t="shared" si="38"/>
        <v>1126.25</v>
      </c>
      <c r="F62" s="50">
        <v>24697.0</v>
      </c>
      <c r="G62" s="52">
        <f t="shared" si="3"/>
        <v>1.096426193</v>
      </c>
      <c r="H62" s="60"/>
      <c r="I62" s="60"/>
      <c r="J62" s="54"/>
      <c r="K62" s="55"/>
      <c r="L62" s="58"/>
      <c r="M62" s="58"/>
      <c r="N62" s="55"/>
      <c r="O62" s="55"/>
      <c r="P62" s="74"/>
      <c r="Q62" s="74"/>
      <c r="R62" s="86"/>
    </row>
    <row r="63" ht="15.75" customHeight="1">
      <c r="A63" s="61" t="s">
        <v>51</v>
      </c>
      <c r="B63" s="62">
        <v>18.0</v>
      </c>
      <c r="C63" s="145">
        <f>IF(B63=0,"",B63/C$5)</f>
        <v>0.9473684211</v>
      </c>
      <c r="D63" s="64">
        <v>18850.0</v>
      </c>
      <c r="E63" s="131">
        <f>D63/B63</f>
        <v>1047.222222</v>
      </c>
      <c r="F63" s="64">
        <v>18850.0</v>
      </c>
      <c r="G63" s="66">
        <f t="shared" si="3"/>
        <v>1</v>
      </c>
      <c r="H63" s="67">
        <v>26876.0</v>
      </c>
      <c r="I63" s="67">
        <v>18850.0</v>
      </c>
      <c r="J63" s="68">
        <f>IF(H63=0,"",H63-I63)</f>
        <v>8026</v>
      </c>
      <c r="K63" s="69">
        <f>IFERROR((H63-I63)/H63,"")</f>
        <v>0.2986307486</v>
      </c>
      <c r="L63" s="67">
        <v>35025.0</v>
      </c>
      <c r="M63" s="67">
        <v>16000.0</v>
      </c>
      <c r="N63" s="68">
        <f>IF(L63=0,"",L63-M63)</f>
        <v>19025</v>
      </c>
      <c r="O63" s="69">
        <f>IFERROR((L63-M63)/L63,"")</f>
        <v>0.5431834404</v>
      </c>
      <c r="P63" s="70">
        <f t="shared" ref="P63:Q63" si="40">H63-L63</f>
        <v>-8149</v>
      </c>
      <c r="Q63" s="70">
        <f t="shared" si="40"/>
        <v>2850</v>
      </c>
      <c r="R63" s="71" t="s">
        <v>124</v>
      </c>
    </row>
    <row r="64" ht="15.75" customHeight="1">
      <c r="A64" s="57">
        <f>A62+7</f>
        <v>45963</v>
      </c>
      <c r="B64" s="48">
        <v>21.0</v>
      </c>
      <c r="C64" s="49">
        <f t="shared" ref="C64:C68" si="41">IF(B64=0,"",B64/G$5)</f>
        <v>0.9545454545</v>
      </c>
      <c r="D64" s="50">
        <v>24025.0</v>
      </c>
      <c r="E64" s="130">
        <f t="shared" ref="E64:E68" si="42">IFERROR(D64/B64,"")</f>
        <v>1144.047619</v>
      </c>
      <c r="F64" s="50">
        <v>12727.0</v>
      </c>
      <c r="G64" s="79">
        <f t="shared" si="3"/>
        <v>0.5297398543</v>
      </c>
      <c r="H64" s="81"/>
      <c r="I64" s="74"/>
      <c r="J64" s="75"/>
      <c r="K64" s="55"/>
      <c r="L64" s="60"/>
      <c r="M64" s="60"/>
      <c r="N64" s="55"/>
      <c r="O64" s="55"/>
      <c r="P64" s="74"/>
      <c r="Q64" s="74"/>
      <c r="R64" s="86"/>
    </row>
    <row r="65" ht="15.75" customHeight="1">
      <c r="A65" s="57">
        <f t="shared" ref="A65:A68" si="43">A64+7</f>
        <v>45970</v>
      </c>
      <c r="B65" s="48">
        <v>22.0</v>
      </c>
      <c r="C65" s="49">
        <f t="shared" si="41"/>
        <v>1</v>
      </c>
      <c r="D65" s="50">
        <v>25225.0</v>
      </c>
      <c r="E65" s="130">
        <f t="shared" si="42"/>
        <v>1146.590909</v>
      </c>
      <c r="F65" s="50">
        <v>24792.0</v>
      </c>
      <c r="G65" s="52">
        <f t="shared" si="3"/>
        <v>0.9828344896</v>
      </c>
      <c r="H65" s="78"/>
      <c r="I65" s="78"/>
      <c r="J65" s="54"/>
      <c r="K65" s="55"/>
      <c r="L65" s="80"/>
      <c r="M65" s="81"/>
      <c r="N65" s="55"/>
      <c r="O65" s="55"/>
      <c r="P65" s="74"/>
      <c r="Q65" s="74"/>
      <c r="R65" s="86"/>
    </row>
    <row r="66" ht="15.75" customHeight="1">
      <c r="A66" s="57">
        <f t="shared" si="43"/>
        <v>45977</v>
      </c>
      <c r="B66" s="48">
        <v>22.0</v>
      </c>
      <c r="C66" s="49">
        <f t="shared" si="41"/>
        <v>1</v>
      </c>
      <c r="D66" s="50">
        <v>25225.0</v>
      </c>
      <c r="E66" s="130">
        <f t="shared" si="42"/>
        <v>1146.590909</v>
      </c>
      <c r="F66" s="50">
        <v>25380.0</v>
      </c>
      <c r="G66" s="52">
        <f t="shared" si="3"/>
        <v>1.006144698</v>
      </c>
      <c r="H66" s="58"/>
      <c r="I66" s="58"/>
      <c r="J66" s="54"/>
      <c r="K66" s="55"/>
      <c r="L66" s="78"/>
      <c r="M66" s="78"/>
      <c r="N66" s="55"/>
      <c r="O66" s="55"/>
      <c r="P66" s="74"/>
      <c r="Q66" s="74"/>
      <c r="R66" s="86"/>
    </row>
    <row r="67" ht="15.75" customHeight="1">
      <c r="A67" s="57">
        <f t="shared" si="43"/>
        <v>45984</v>
      </c>
      <c r="B67" s="48">
        <v>22.0</v>
      </c>
      <c r="C67" s="49">
        <f t="shared" si="41"/>
        <v>1</v>
      </c>
      <c r="D67" s="50">
        <v>25225.0</v>
      </c>
      <c r="E67" s="130">
        <f t="shared" si="42"/>
        <v>1146.590909</v>
      </c>
      <c r="F67" s="50">
        <v>25380.0</v>
      </c>
      <c r="G67" s="52">
        <f t="shared" si="3"/>
        <v>1.006144698</v>
      </c>
      <c r="H67" s="60"/>
      <c r="I67" s="60"/>
      <c r="J67" s="54"/>
      <c r="K67" s="55"/>
      <c r="L67" s="58"/>
      <c r="M67" s="58"/>
      <c r="N67" s="55"/>
      <c r="O67" s="55"/>
      <c r="P67" s="74"/>
      <c r="Q67" s="74"/>
      <c r="R67" s="86"/>
    </row>
    <row r="68" ht="15.75" customHeight="1">
      <c r="A68" s="57">
        <f t="shared" si="43"/>
        <v>45991</v>
      </c>
      <c r="B68" s="48">
        <v>22.0</v>
      </c>
      <c r="C68" s="49">
        <f t="shared" si="41"/>
        <v>1</v>
      </c>
      <c r="D68" s="50">
        <v>25225.0</v>
      </c>
      <c r="E68" s="130">
        <f t="shared" si="42"/>
        <v>1146.590909</v>
      </c>
      <c r="F68" s="50">
        <v>25380.0</v>
      </c>
      <c r="G68" s="79">
        <f t="shared" si="3"/>
        <v>1.006144698</v>
      </c>
      <c r="H68" s="81"/>
      <c r="I68" s="74"/>
      <c r="J68" s="75"/>
      <c r="K68" s="55"/>
      <c r="L68" s="60"/>
      <c r="M68" s="60"/>
      <c r="N68" s="55"/>
      <c r="O68" s="55"/>
      <c r="P68" s="74"/>
      <c r="Q68" s="74"/>
      <c r="R68" s="86"/>
    </row>
    <row r="69" ht="15.75" customHeight="1">
      <c r="A69" s="61" t="s">
        <v>51</v>
      </c>
      <c r="B69" s="62">
        <v>18.0</v>
      </c>
      <c r="C69" s="145">
        <f>IF(B69=0,"",B69/C$5)</f>
        <v>0.9473684211</v>
      </c>
      <c r="D69" s="64">
        <v>18850.0</v>
      </c>
      <c r="E69" s="131">
        <f>D69/B69</f>
        <v>1047.222222</v>
      </c>
      <c r="F69" s="64">
        <v>18850.0</v>
      </c>
      <c r="G69" s="66">
        <f t="shared" si="3"/>
        <v>1</v>
      </c>
      <c r="H69" s="70"/>
      <c r="I69" s="67">
        <v>18850.0</v>
      </c>
      <c r="J69" s="68" t="str">
        <f>IF(H69=0,"",H69-I69)</f>
        <v/>
      </c>
      <c r="K69" s="69" t="str">
        <f>IFERROR((H69-I69)/H69,"")</f>
        <v/>
      </c>
      <c r="L69" s="70"/>
      <c r="M69" s="67">
        <v>16000.0</v>
      </c>
      <c r="N69" s="68" t="str">
        <f>IF(L69=0,"",L69-M69)</f>
        <v/>
      </c>
      <c r="O69" s="69" t="str">
        <f>IFERROR((L69-M69)/L69,"")</f>
        <v/>
      </c>
      <c r="P69" s="70">
        <f t="shared" ref="P69:Q69" si="44">H69-L69</f>
        <v>0</v>
      </c>
      <c r="Q69" s="70">
        <f t="shared" si="44"/>
        <v>2850</v>
      </c>
      <c r="R69" s="87"/>
    </row>
    <row r="70" ht="15.75" customHeight="1">
      <c r="A70" s="57">
        <f>A68+7</f>
        <v>45998</v>
      </c>
      <c r="B70" s="89" t="s">
        <v>125</v>
      </c>
      <c r="C70" s="49">
        <f t="shared" ref="C70:C73" si="45">IF(B70=0,"",B70/G$5)</f>
        <v>1</v>
      </c>
      <c r="D70" s="50">
        <v>25225.0</v>
      </c>
      <c r="E70" s="130">
        <f t="shared" ref="E70:E73" si="46">IFERROR(D70/B70,"")</f>
        <v>1146.590909</v>
      </c>
      <c r="F70" s="50">
        <v>22401.0</v>
      </c>
      <c r="G70" s="52">
        <f t="shared" si="3"/>
        <v>0.8880475719</v>
      </c>
      <c r="H70" s="78"/>
      <c r="I70" s="78"/>
      <c r="J70" s="54"/>
      <c r="K70" s="76"/>
      <c r="L70" s="74"/>
      <c r="M70" s="74"/>
      <c r="N70" s="77"/>
      <c r="O70" s="55"/>
      <c r="P70" s="74"/>
      <c r="Q70" s="74"/>
      <c r="R70" s="86"/>
    </row>
    <row r="71" ht="15.75" customHeight="1">
      <c r="A71" s="57">
        <f t="shared" ref="A71:A73" si="47">A70+7</f>
        <v>46005</v>
      </c>
      <c r="B71" s="89" t="s">
        <v>125</v>
      </c>
      <c r="C71" s="49">
        <f t="shared" si="45"/>
        <v>1</v>
      </c>
      <c r="D71" s="50">
        <v>25225.0</v>
      </c>
      <c r="E71" s="130">
        <f t="shared" si="46"/>
        <v>1146.590909</v>
      </c>
      <c r="F71" s="50">
        <v>23544.0</v>
      </c>
      <c r="G71" s="52">
        <f t="shared" si="3"/>
        <v>0.9333597621</v>
      </c>
      <c r="H71" s="58"/>
      <c r="I71" s="58"/>
      <c r="J71" s="54"/>
      <c r="K71" s="55"/>
      <c r="L71" s="78"/>
      <c r="M71" s="78"/>
      <c r="N71" s="55"/>
      <c r="O71" s="55"/>
      <c r="P71" s="74"/>
      <c r="Q71" s="74"/>
      <c r="R71" s="86"/>
    </row>
    <row r="72" ht="15.75" customHeight="1">
      <c r="A72" s="57">
        <f t="shared" si="47"/>
        <v>46012</v>
      </c>
      <c r="B72" s="90"/>
      <c r="C72" s="49" t="str">
        <f t="shared" si="45"/>
        <v/>
      </c>
      <c r="D72" s="91"/>
      <c r="E72" s="130" t="str">
        <f t="shared" si="46"/>
        <v/>
      </c>
      <c r="F72" s="91"/>
      <c r="G72" s="52" t="str">
        <f t="shared" si="3"/>
        <v/>
      </c>
      <c r="H72" s="58"/>
      <c r="I72" s="58"/>
      <c r="J72" s="54"/>
      <c r="K72" s="55"/>
      <c r="L72" s="58"/>
      <c r="M72" s="58"/>
      <c r="N72" s="55"/>
      <c r="O72" s="55"/>
      <c r="P72" s="74"/>
      <c r="Q72" s="74"/>
      <c r="R72" s="86"/>
    </row>
    <row r="73" ht="15.75" customHeight="1">
      <c r="A73" s="57">
        <f t="shared" si="47"/>
        <v>46019</v>
      </c>
      <c r="B73" s="90"/>
      <c r="C73" s="49" t="str">
        <f t="shared" si="45"/>
        <v/>
      </c>
      <c r="D73" s="91"/>
      <c r="E73" s="130" t="str">
        <f t="shared" si="46"/>
        <v/>
      </c>
      <c r="F73" s="91"/>
      <c r="G73" s="52" t="str">
        <f t="shared" si="3"/>
        <v/>
      </c>
      <c r="H73" s="82"/>
      <c r="I73" s="82"/>
      <c r="J73" s="54"/>
      <c r="K73" s="55"/>
      <c r="L73" s="82"/>
      <c r="M73" s="82"/>
      <c r="N73" s="55"/>
      <c r="O73" s="55"/>
      <c r="P73" s="118"/>
      <c r="Q73" s="118"/>
      <c r="R73" s="86"/>
    </row>
    <row r="74" ht="15.75" customHeight="1">
      <c r="A74" s="61" t="s">
        <v>51</v>
      </c>
      <c r="B74" s="62">
        <v>18.0</v>
      </c>
      <c r="C74" s="145">
        <f t="shared" ref="C74:C75" si="49">IF(B74=0,"",B74/C$5)</f>
        <v>0.9473684211</v>
      </c>
      <c r="D74" s="64">
        <v>18850.0</v>
      </c>
      <c r="E74" s="131">
        <f>D74/B74</f>
        <v>1047.222222</v>
      </c>
      <c r="F74" s="64">
        <v>18850.0</v>
      </c>
      <c r="G74" s="66">
        <f t="shared" si="3"/>
        <v>1</v>
      </c>
      <c r="H74" s="92"/>
      <c r="I74" s="67">
        <v>18850.0</v>
      </c>
      <c r="J74" s="68" t="str">
        <f t="shared" ref="J74:J75" si="51">IF(H74=0,"",H74-I74)</f>
        <v/>
      </c>
      <c r="K74" s="69" t="str">
        <f t="shared" ref="K74:K75" si="52">IFERROR((H74-I74)/H74,"")</f>
        <v/>
      </c>
      <c r="L74" s="92"/>
      <c r="M74" s="67">
        <v>16000.0</v>
      </c>
      <c r="N74" s="68" t="str">
        <f t="shared" ref="N74:N75" si="54">IF(L74=0,"",L74-M74)</f>
        <v/>
      </c>
      <c r="O74" s="69" t="str">
        <f t="shared" ref="O74:O75" si="55">IFERROR((L74-M74)/L74,"")</f>
        <v/>
      </c>
      <c r="P74" s="124">
        <f t="shared" ref="P74:Q74" si="48">H74-L74</f>
        <v>0</v>
      </c>
      <c r="Q74" s="124">
        <f t="shared" si="48"/>
        <v>2850</v>
      </c>
      <c r="R74" s="87"/>
    </row>
    <row r="75" ht="15.75" customHeight="1">
      <c r="A75" s="93" t="s">
        <v>61</v>
      </c>
      <c r="B75" s="94"/>
      <c r="C75" s="95" t="str">
        <f t="shared" si="49"/>
        <v/>
      </c>
      <c r="D75" s="96"/>
      <c r="E75" s="146" t="str">
        <f>IFERROR(D75/B75,"")</f>
        <v/>
      </c>
      <c r="F75" s="96"/>
      <c r="G75" s="97" t="str">
        <f t="shared" si="3"/>
        <v/>
      </c>
      <c r="H75" s="96">
        <f t="shared" ref="H75:I75" si="50">H15+H20+H26+H31+H36+H42+H47+H53+H58+H63+H69+H74</f>
        <v>216575</v>
      </c>
      <c r="I75" s="96">
        <f t="shared" si="50"/>
        <v>226200</v>
      </c>
      <c r="J75" s="96">
        <f t="shared" si="51"/>
        <v>-9625</v>
      </c>
      <c r="K75" s="95">
        <f t="shared" si="52"/>
        <v>-0.04444187926</v>
      </c>
      <c r="L75" s="96">
        <f t="shared" ref="L75:M75" si="53">L15+L20+L26+L31+L36+L42+L47+L53+L58+L63+L69+L74</f>
        <v>284432</v>
      </c>
      <c r="M75" s="96">
        <f t="shared" si="53"/>
        <v>197000</v>
      </c>
      <c r="N75" s="95">
        <f t="shared" si="54"/>
        <v>87432</v>
      </c>
      <c r="O75" s="95">
        <f t="shared" si="55"/>
        <v>0.3073915734</v>
      </c>
      <c r="P75" s="96">
        <f>sum(P15,P20,P26,P31,P36,P42,P47,P53,P58,P63,P69,P74)</f>
        <v>-67857</v>
      </c>
      <c r="Q75" s="96">
        <f>I75-M75</f>
        <v>29200</v>
      </c>
      <c r="R75" s="98"/>
    </row>
    <row r="76" ht="15.75" customHeight="1">
      <c r="A76" s="99" t="s">
        <v>62</v>
      </c>
      <c r="B76" s="100" t="s">
        <v>62</v>
      </c>
      <c r="C76" s="100" t="s">
        <v>62</v>
      </c>
      <c r="D76" s="101" t="s">
        <v>62</v>
      </c>
      <c r="E76" s="135" t="s">
        <v>62</v>
      </c>
      <c r="F76" s="101" t="s">
        <v>62</v>
      </c>
      <c r="G76" s="100" t="s">
        <v>62</v>
      </c>
      <c r="H76" s="102" t="s">
        <v>62</v>
      </c>
      <c r="I76" s="102" t="s">
        <v>62</v>
      </c>
      <c r="J76" s="102" t="s">
        <v>62</v>
      </c>
      <c r="K76" s="100" t="s">
        <v>62</v>
      </c>
      <c r="L76" s="102" t="s">
        <v>62</v>
      </c>
      <c r="M76" s="102" t="s">
        <v>62</v>
      </c>
      <c r="N76" s="100" t="s">
        <v>62</v>
      </c>
      <c r="O76" s="100" t="s">
        <v>62</v>
      </c>
      <c r="P76" s="102"/>
      <c r="Q76" s="102"/>
      <c r="R76" s="100" t="s">
        <v>62</v>
      </c>
    </row>
    <row r="77" ht="15.75" customHeight="1">
      <c r="A77" s="103"/>
      <c r="B77" s="104"/>
      <c r="C77" s="104"/>
      <c r="D77" s="105"/>
      <c r="E77" s="135"/>
      <c r="F77" s="107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6"/>
    </row>
    <row r="78" ht="15.75" customHeight="1">
      <c r="A78" s="103"/>
      <c r="B78" s="104"/>
      <c r="C78" s="104"/>
      <c r="D78" s="105"/>
      <c r="E78" s="135"/>
      <c r="F78" s="107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6"/>
    </row>
    <row r="79" ht="15.75" customHeight="1">
      <c r="A79" s="103"/>
      <c r="B79" s="104"/>
      <c r="C79" s="104"/>
      <c r="D79" s="105"/>
      <c r="E79" s="135"/>
      <c r="F79" s="107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6"/>
    </row>
    <row r="80" ht="15.75" customHeight="1">
      <c r="A80" s="103"/>
      <c r="B80" s="104"/>
      <c r="C80" s="104"/>
      <c r="D80" s="105"/>
      <c r="E80" s="135"/>
      <c r="F80" s="107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6"/>
    </row>
    <row r="81" ht="15.75" customHeight="1">
      <c r="A81" s="109"/>
      <c r="B81" s="104"/>
      <c r="C81" s="104"/>
      <c r="D81" s="105"/>
      <c r="E81" s="135"/>
      <c r="F81" s="107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6"/>
    </row>
    <row r="82" ht="15.75" customHeight="1">
      <c r="A82" s="109"/>
      <c r="B82" s="104"/>
      <c r="C82" s="104"/>
      <c r="D82" s="105"/>
      <c r="E82" s="135"/>
      <c r="F82" s="107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6"/>
    </row>
    <row r="83" ht="15.75" customHeight="1">
      <c r="A83" s="109"/>
      <c r="B83" s="104"/>
      <c r="C83" s="104"/>
      <c r="D83" s="105"/>
      <c r="E83" s="135"/>
      <c r="F83" s="107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6"/>
    </row>
    <row r="84" ht="15.75" customHeight="1">
      <c r="A84" s="109"/>
      <c r="B84" s="104"/>
      <c r="C84" s="104"/>
      <c r="D84" s="105"/>
      <c r="E84" s="135"/>
      <c r="F84" s="107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6"/>
    </row>
    <row r="85" ht="15.75" customHeight="1">
      <c r="A85" s="109"/>
      <c r="B85" s="104"/>
      <c r="C85" s="104"/>
      <c r="D85" s="105"/>
      <c r="E85" s="135"/>
      <c r="F85" s="107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6"/>
    </row>
    <row r="86" ht="15.75" customHeight="1">
      <c r="A86" s="109"/>
      <c r="B86" s="104"/>
      <c r="C86" s="104"/>
      <c r="D86" s="105"/>
      <c r="E86" s="135"/>
      <c r="F86" s="107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6"/>
    </row>
    <row r="87" ht="15.75" customHeight="1">
      <c r="A87" s="109"/>
      <c r="B87" s="104"/>
      <c r="C87" s="104"/>
      <c r="D87" s="105"/>
      <c r="E87" s="135"/>
      <c r="F87" s="107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6"/>
    </row>
    <row r="88" ht="15.75" customHeight="1">
      <c r="A88" s="109"/>
      <c r="B88" s="104"/>
      <c r="C88" s="104"/>
      <c r="D88" s="105"/>
      <c r="E88" s="135"/>
      <c r="F88" s="107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6"/>
    </row>
    <row r="89" ht="15.75" customHeight="1">
      <c r="A89" s="109"/>
      <c r="B89" s="104"/>
      <c r="C89" s="104"/>
      <c r="D89" s="105"/>
      <c r="E89" s="135"/>
      <c r="F89" s="107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6"/>
    </row>
    <row r="90" ht="15.75" customHeight="1">
      <c r="A90" s="109"/>
      <c r="B90" s="104"/>
      <c r="C90" s="104"/>
      <c r="D90" s="105"/>
      <c r="E90" s="135"/>
      <c r="F90" s="107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6"/>
    </row>
    <row r="91" ht="15.75" customHeight="1">
      <c r="A91" s="109"/>
      <c r="B91" s="104"/>
      <c r="C91" s="104"/>
      <c r="D91" s="105"/>
      <c r="E91" s="135"/>
      <c r="F91" s="107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6"/>
    </row>
    <row r="92" ht="15.75" customHeight="1">
      <c r="A92" s="109"/>
      <c r="B92" s="104"/>
      <c r="C92" s="104"/>
      <c r="D92" s="105"/>
      <c r="E92" s="135"/>
      <c r="F92" s="107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6"/>
    </row>
    <row r="93" ht="15.75" customHeight="1">
      <c r="A93" s="109"/>
      <c r="B93" s="104"/>
      <c r="C93" s="104"/>
      <c r="D93" s="105"/>
      <c r="E93" s="135"/>
      <c r="F93" s="107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6"/>
    </row>
    <row r="94" ht="15.75" customHeight="1">
      <c r="A94" s="109"/>
      <c r="B94" s="104"/>
      <c r="C94" s="104"/>
      <c r="D94" s="105"/>
      <c r="E94" s="135"/>
      <c r="F94" s="107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6"/>
    </row>
    <row r="95" ht="15.75" customHeight="1">
      <c r="A95" s="109"/>
      <c r="B95" s="104"/>
      <c r="C95" s="104"/>
      <c r="D95" s="105"/>
      <c r="E95" s="135"/>
      <c r="F95" s="107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6"/>
    </row>
    <row r="96" ht="15.75" customHeight="1">
      <c r="A96" s="109"/>
      <c r="B96" s="104"/>
      <c r="C96" s="104"/>
      <c r="D96" s="105"/>
      <c r="E96" s="135"/>
      <c r="F96" s="107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6"/>
    </row>
    <row r="97" ht="15.75" customHeight="1">
      <c r="A97" s="109"/>
      <c r="B97" s="104"/>
      <c r="C97" s="104"/>
      <c r="D97" s="105"/>
      <c r="E97" s="135"/>
      <c r="F97" s="107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6"/>
    </row>
    <row r="98" ht="15.75" customHeight="1">
      <c r="A98" s="109"/>
      <c r="B98" s="104"/>
      <c r="C98" s="104"/>
      <c r="D98" s="105"/>
      <c r="E98" s="135"/>
      <c r="F98" s="107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6"/>
    </row>
    <row r="99" ht="15.75" customHeight="1">
      <c r="A99" s="109"/>
      <c r="B99" s="104"/>
      <c r="C99" s="104"/>
      <c r="D99" s="105"/>
      <c r="E99" s="135"/>
      <c r="F99" s="107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6"/>
    </row>
    <row r="100" ht="15.75" customHeight="1">
      <c r="A100" s="109"/>
      <c r="B100" s="104"/>
      <c r="C100" s="104"/>
      <c r="D100" s="105"/>
      <c r="E100" s="135"/>
      <c r="F100" s="107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6"/>
    </row>
    <row r="101" ht="15.75" customHeight="1">
      <c r="A101" s="109"/>
      <c r="B101" s="104"/>
      <c r="C101" s="104"/>
      <c r="D101" s="105"/>
      <c r="E101" s="135"/>
      <c r="F101" s="107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6"/>
    </row>
    <row r="102" ht="15.75" customHeight="1">
      <c r="A102" s="109"/>
      <c r="B102" s="104"/>
      <c r="C102" s="104"/>
      <c r="D102" s="105"/>
      <c r="E102" s="135"/>
      <c r="F102" s="107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6"/>
    </row>
    <row r="103" ht="15.75" customHeight="1">
      <c r="A103" s="109"/>
      <c r="B103" s="104"/>
      <c r="C103" s="104"/>
      <c r="D103" s="105"/>
      <c r="E103" s="135"/>
      <c r="F103" s="107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6"/>
    </row>
    <row r="104" ht="15.75" customHeight="1">
      <c r="A104" s="109"/>
      <c r="B104" s="104"/>
      <c r="C104" s="104"/>
      <c r="D104" s="105"/>
      <c r="E104" s="135"/>
      <c r="F104" s="107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6"/>
    </row>
    <row r="105" ht="15.75" customHeight="1">
      <c r="A105" s="109"/>
      <c r="B105" s="104"/>
      <c r="C105" s="104"/>
      <c r="D105" s="105"/>
      <c r="E105" s="135"/>
      <c r="F105" s="107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6"/>
    </row>
    <row r="106" ht="15.75" customHeight="1">
      <c r="A106" s="109"/>
      <c r="B106" s="104"/>
      <c r="C106" s="104"/>
      <c r="D106" s="105"/>
      <c r="E106" s="135"/>
      <c r="F106" s="107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6"/>
    </row>
    <row r="107" ht="15.75" customHeight="1">
      <c r="A107" s="109"/>
      <c r="B107" s="104"/>
      <c r="C107" s="104"/>
      <c r="D107" s="105"/>
      <c r="E107" s="135"/>
      <c r="F107" s="107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6"/>
    </row>
    <row r="108" ht="15.75" customHeight="1">
      <c r="A108" s="109"/>
      <c r="B108" s="104"/>
      <c r="C108" s="104"/>
      <c r="D108" s="105"/>
      <c r="E108" s="135"/>
      <c r="F108" s="107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6"/>
    </row>
    <row r="109" ht="15.75" customHeight="1">
      <c r="A109" s="109"/>
      <c r="B109" s="104"/>
      <c r="C109" s="104"/>
      <c r="D109" s="105"/>
      <c r="E109" s="135"/>
      <c r="F109" s="107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6"/>
    </row>
    <row r="110" ht="15.75" customHeight="1">
      <c r="A110" s="109"/>
      <c r="B110" s="104"/>
      <c r="C110" s="104"/>
      <c r="D110" s="105"/>
      <c r="E110" s="135"/>
      <c r="F110" s="107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6"/>
    </row>
    <row r="111" ht="15.75" customHeight="1">
      <c r="A111" s="109"/>
      <c r="B111" s="104"/>
      <c r="C111" s="104"/>
      <c r="D111" s="105"/>
      <c r="E111" s="135"/>
      <c r="F111" s="107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6"/>
    </row>
    <row r="112" ht="15.75" customHeight="1">
      <c r="A112" s="109"/>
      <c r="B112" s="104"/>
      <c r="C112" s="104"/>
      <c r="D112" s="105"/>
      <c r="E112" s="135"/>
      <c r="F112" s="107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6"/>
    </row>
    <row r="113" ht="15.75" customHeight="1">
      <c r="A113" s="109"/>
      <c r="B113" s="104"/>
      <c r="C113" s="104"/>
      <c r="D113" s="105"/>
      <c r="E113" s="135"/>
      <c r="F113" s="107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6"/>
    </row>
    <row r="114" ht="15.75" customHeight="1">
      <c r="A114" s="109"/>
      <c r="B114" s="104"/>
      <c r="C114" s="104"/>
      <c r="D114" s="105"/>
      <c r="E114" s="135"/>
      <c r="F114" s="107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6"/>
    </row>
    <row r="115" ht="15.75" customHeight="1">
      <c r="A115" s="109"/>
      <c r="B115" s="104"/>
      <c r="C115" s="104"/>
      <c r="D115" s="105"/>
      <c r="E115" s="135"/>
      <c r="F115" s="107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6"/>
    </row>
    <row r="116" ht="15.75" customHeight="1">
      <c r="A116" s="109"/>
      <c r="B116" s="104"/>
      <c r="C116" s="104"/>
      <c r="D116" s="105"/>
      <c r="E116" s="135"/>
      <c r="F116" s="107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6"/>
    </row>
    <row r="117" ht="15.75" customHeight="1">
      <c r="A117" s="109"/>
      <c r="B117" s="104"/>
      <c r="C117" s="104"/>
      <c r="D117" s="105"/>
      <c r="E117" s="135"/>
      <c r="F117" s="107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6"/>
    </row>
    <row r="118" ht="15.75" customHeight="1">
      <c r="A118" s="109"/>
      <c r="B118" s="104"/>
      <c r="C118" s="104"/>
      <c r="D118" s="105"/>
      <c r="E118" s="135"/>
      <c r="F118" s="107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6"/>
    </row>
    <row r="119" ht="15.75" customHeight="1">
      <c r="A119" s="109"/>
      <c r="B119" s="104"/>
      <c r="C119" s="104"/>
      <c r="D119" s="105"/>
      <c r="E119" s="135"/>
      <c r="F119" s="107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6"/>
    </row>
    <row r="120" ht="15.75" customHeight="1">
      <c r="A120" s="109"/>
      <c r="B120" s="104"/>
      <c r="C120" s="104"/>
      <c r="D120" s="105"/>
      <c r="E120" s="135"/>
      <c r="F120" s="107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6"/>
    </row>
    <row r="121" ht="15.75" customHeight="1">
      <c r="A121" s="109"/>
      <c r="B121" s="104"/>
      <c r="C121" s="104"/>
      <c r="D121" s="105"/>
      <c r="E121" s="135"/>
      <c r="F121" s="107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6"/>
    </row>
    <row r="122" ht="15.75" customHeight="1">
      <c r="A122" s="109"/>
      <c r="B122" s="104"/>
      <c r="C122" s="104"/>
      <c r="D122" s="105"/>
      <c r="E122" s="135"/>
      <c r="F122" s="107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6"/>
    </row>
    <row r="123" ht="15.75" customHeight="1">
      <c r="A123" s="109"/>
      <c r="B123" s="104"/>
      <c r="C123" s="104"/>
      <c r="D123" s="105"/>
      <c r="E123" s="135"/>
      <c r="F123" s="107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6"/>
    </row>
    <row r="124" ht="15.75" customHeight="1">
      <c r="A124" s="109"/>
      <c r="B124" s="104"/>
      <c r="C124" s="104"/>
      <c r="D124" s="105"/>
      <c r="E124" s="135"/>
      <c r="F124" s="107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6"/>
    </row>
    <row r="125" ht="15.75" customHeight="1">
      <c r="A125" s="109"/>
      <c r="B125" s="104"/>
      <c r="C125" s="104"/>
      <c r="D125" s="105"/>
      <c r="E125" s="135"/>
      <c r="F125" s="107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6"/>
    </row>
    <row r="126" ht="15.75" customHeight="1">
      <c r="A126" s="109"/>
      <c r="B126" s="104"/>
      <c r="C126" s="104"/>
      <c r="D126" s="105"/>
      <c r="E126" s="135"/>
      <c r="F126" s="107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6"/>
    </row>
    <row r="127" ht="15.75" customHeight="1">
      <c r="A127" s="109"/>
      <c r="B127" s="104"/>
      <c r="C127" s="104"/>
      <c r="D127" s="105"/>
      <c r="E127" s="135"/>
      <c r="F127" s="107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6"/>
    </row>
    <row r="128" ht="15.75" customHeight="1">
      <c r="A128" s="109"/>
      <c r="B128" s="104"/>
      <c r="C128" s="104"/>
      <c r="D128" s="105"/>
      <c r="E128" s="135"/>
      <c r="F128" s="107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6"/>
    </row>
    <row r="129" ht="15.75" customHeight="1">
      <c r="A129" s="109"/>
      <c r="B129" s="104"/>
      <c r="C129" s="104"/>
      <c r="D129" s="105"/>
      <c r="E129" s="135"/>
      <c r="F129" s="107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6"/>
    </row>
    <row r="130" ht="15.75" customHeight="1">
      <c r="A130" s="109"/>
      <c r="B130" s="104"/>
      <c r="C130" s="104"/>
      <c r="D130" s="105"/>
      <c r="E130" s="135"/>
      <c r="F130" s="107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6"/>
    </row>
    <row r="131" ht="15.75" customHeight="1">
      <c r="A131" s="109"/>
      <c r="B131" s="104"/>
      <c r="C131" s="104"/>
      <c r="D131" s="105"/>
      <c r="E131" s="135"/>
      <c r="F131" s="107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6"/>
    </row>
    <row r="132" ht="15.75" customHeight="1">
      <c r="A132" s="109"/>
      <c r="B132" s="104"/>
      <c r="C132" s="104"/>
      <c r="D132" s="105"/>
      <c r="E132" s="135"/>
      <c r="F132" s="107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6"/>
    </row>
    <row r="133" ht="15.75" customHeight="1">
      <c r="A133" s="109"/>
      <c r="B133" s="104"/>
      <c r="C133" s="104"/>
      <c r="D133" s="105"/>
      <c r="E133" s="135"/>
      <c r="F133" s="107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6"/>
    </row>
    <row r="134" ht="15.75" customHeight="1">
      <c r="A134" s="109"/>
      <c r="B134" s="104"/>
      <c r="C134" s="104"/>
      <c r="D134" s="105"/>
      <c r="E134" s="135"/>
      <c r="F134" s="107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6"/>
    </row>
    <row r="135" ht="15.75" customHeight="1">
      <c r="A135" s="109"/>
      <c r="B135" s="104"/>
      <c r="C135" s="104"/>
      <c r="D135" s="105"/>
      <c r="E135" s="135"/>
      <c r="F135" s="107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6"/>
    </row>
    <row r="136" ht="15.75" customHeight="1">
      <c r="A136" s="109"/>
      <c r="B136" s="104"/>
      <c r="C136" s="104"/>
      <c r="D136" s="105"/>
      <c r="E136" s="135"/>
      <c r="F136" s="107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6"/>
    </row>
    <row r="137" ht="15.75" customHeight="1">
      <c r="A137" s="109"/>
      <c r="B137" s="104"/>
      <c r="C137" s="104"/>
      <c r="D137" s="105"/>
      <c r="E137" s="135"/>
      <c r="F137" s="107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6"/>
    </row>
    <row r="138" ht="15.75" customHeight="1">
      <c r="A138" s="109"/>
      <c r="B138" s="104"/>
      <c r="C138" s="104"/>
      <c r="D138" s="105"/>
      <c r="E138" s="135"/>
      <c r="F138" s="107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6"/>
    </row>
    <row r="139" ht="15.75" customHeight="1">
      <c r="A139" s="109"/>
      <c r="B139" s="104"/>
      <c r="C139" s="104"/>
      <c r="D139" s="105"/>
      <c r="E139" s="135"/>
      <c r="F139" s="107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6"/>
    </row>
    <row r="140" ht="15.75" customHeight="1">
      <c r="A140" s="109"/>
      <c r="B140" s="104"/>
      <c r="C140" s="104"/>
      <c r="D140" s="105"/>
      <c r="E140" s="135"/>
      <c r="F140" s="107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6"/>
    </row>
    <row r="141" ht="15.75" customHeight="1">
      <c r="A141" s="109"/>
      <c r="B141" s="104"/>
      <c r="C141" s="104"/>
      <c r="D141" s="105"/>
      <c r="E141" s="135"/>
      <c r="F141" s="107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6"/>
    </row>
    <row r="142" ht="15.75" customHeight="1">
      <c r="A142" s="109"/>
      <c r="B142" s="104"/>
      <c r="C142" s="104"/>
      <c r="D142" s="105"/>
      <c r="E142" s="135"/>
      <c r="F142" s="107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6"/>
    </row>
    <row r="143" ht="15.75" customHeight="1">
      <c r="A143" s="109"/>
      <c r="B143" s="104"/>
      <c r="C143" s="104"/>
      <c r="D143" s="105"/>
      <c r="E143" s="135"/>
      <c r="F143" s="107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6"/>
    </row>
    <row r="144" ht="15.75" customHeight="1">
      <c r="A144" s="109"/>
      <c r="B144" s="104"/>
      <c r="C144" s="104"/>
      <c r="D144" s="105"/>
      <c r="E144" s="135"/>
      <c r="F144" s="107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6"/>
    </row>
    <row r="145" ht="15.75" customHeight="1">
      <c r="A145" s="109"/>
      <c r="B145" s="104"/>
      <c r="C145" s="104"/>
      <c r="D145" s="105"/>
      <c r="E145" s="135"/>
      <c r="F145" s="107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6"/>
    </row>
    <row r="146" ht="15.75" customHeight="1">
      <c r="A146" s="109"/>
      <c r="B146" s="104"/>
      <c r="C146" s="104"/>
      <c r="D146" s="105"/>
      <c r="E146" s="135"/>
      <c r="F146" s="107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6"/>
    </row>
    <row r="147" ht="15.75" customHeight="1">
      <c r="A147" s="109"/>
      <c r="B147" s="104"/>
      <c r="C147" s="104"/>
      <c r="D147" s="105"/>
      <c r="E147" s="135"/>
      <c r="F147" s="107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6"/>
    </row>
    <row r="148" ht="15.75" customHeight="1">
      <c r="A148" s="109"/>
      <c r="B148" s="104"/>
      <c r="C148" s="104"/>
      <c r="D148" s="105"/>
      <c r="E148" s="135"/>
      <c r="F148" s="107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6"/>
    </row>
    <row r="149" ht="15.75" customHeight="1">
      <c r="A149" s="109"/>
      <c r="B149" s="104"/>
      <c r="C149" s="104"/>
      <c r="D149" s="105"/>
      <c r="E149" s="135"/>
      <c r="F149" s="107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6"/>
    </row>
    <row r="150" ht="15.75" customHeight="1">
      <c r="A150" s="109"/>
      <c r="B150" s="104"/>
      <c r="C150" s="104"/>
      <c r="D150" s="105"/>
      <c r="E150" s="135"/>
      <c r="F150" s="107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6"/>
    </row>
    <row r="151" ht="15.75" customHeight="1">
      <c r="A151" s="109"/>
      <c r="B151" s="104"/>
      <c r="C151" s="104"/>
      <c r="D151" s="105"/>
      <c r="E151" s="135"/>
      <c r="F151" s="107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6"/>
    </row>
    <row r="152" ht="15.75" customHeight="1">
      <c r="A152" s="109"/>
      <c r="B152" s="104"/>
      <c r="C152" s="104"/>
      <c r="D152" s="105"/>
      <c r="E152" s="135"/>
      <c r="F152" s="107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6"/>
    </row>
    <row r="153" ht="15.75" customHeight="1">
      <c r="A153" s="109"/>
      <c r="B153" s="104"/>
      <c r="C153" s="104"/>
      <c r="D153" s="105"/>
      <c r="E153" s="135"/>
      <c r="F153" s="107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6"/>
    </row>
    <row r="154" ht="15.75" customHeight="1">
      <c r="A154" s="109"/>
      <c r="B154" s="104"/>
      <c r="C154" s="104"/>
      <c r="D154" s="105"/>
      <c r="E154" s="135"/>
      <c r="F154" s="107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6"/>
    </row>
    <row r="155" ht="15.75" customHeight="1">
      <c r="A155" s="109"/>
      <c r="B155" s="104"/>
      <c r="C155" s="104"/>
      <c r="D155" s="105"/>
      <c r="E155" s="135"/>
      <c r="F155" s="107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6"/>
    </row>
    <row r="156" ht="15.75" customHeight="1">
      <c r="A156" s="109"/>
      <c r="B156" s="104"/>
      <c r="C156" s="104"/>
      <c r="D156" s="105"/>
      <c r="E156" s="135"/>
      <c r="F156" s="107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6"/>
    </row>
    <row r="157" ht="15.75" customHeight="1">
      <c r="A157" s="109"/>
      <c r="B157" s="104"/>
      <c r="C157" s="104"/>
      <c r="D157" s="105"/>
      <c r="E157" s="135"/>
      <c r="F157" s="107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6"/>
    </row>
    <row r="158" ht="15.75" customHeight="1">
      <c r="A158" s="109"/>
      <c r="B158" s="104"/>
      <c r="C158" s="104"/>
      <c r="D158" s="105"/>
      <c r="E158" s="135"/>
      <c r="F158" s="107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6"/>
    </row>
    <row r="159" ht="15.75" customHeight="1">
      <c r="A159" s="109"/>
      <c r="B159" s="104"/>
      <c r="C159" s="104"/>
      <c r="D159" s="105"/>
      <c r="E159" s="135"/>
      <c r="F159" s="107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6"/>
    </row>
    <row r="160" ht="15.75" customHeight="1">
      <c r="A160" s="109"/>
      <c r="B160" s="104"/>
      <c r="C160" s="104"/>
      <c r="D160" s="105"/>
      <c r="E160" s="135"/>
      <c r="F160" s="107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6"/>
    </row>
    <row r="161" ht="15.75" customHeight="1">
      <c r="A161" s="109"/>
      <c r="B161" s="104"/>
      <c r="C161" s="104"/>
      <c r="D161" s="105"/>
      <c r="E161" s="135"/>
      <c r="F161" s="107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6"/>
    </row>
    <row r="162" ht="15.75" customHeight="1">
      <c r="A162" s="109"/>
      <c r="B162" s="104"/>
      <c r="C162" s="104"/>
      <c r="D162" s="105"/>
      <c r="E162" s="135"/>
      <c r="F162" s="107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6"/>
    </row>
    <row r="163" ht="15.75" customHeight="1">
      <c r="A163" s="109"/>
      <c r="B163" s="104"/>
      <c r="C163" s="104"/>
      <c r="D163" s="105"/>
      <c r="E163" s="135"/>
      <c r="F163" s="107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6"/>
    </row>
    <row r="164" ht="15.75" customHeight="1">
      <c r="A164" s="109"/>
      <c r="B164" s="104"/>
      <c r="C164" s="104"/>
      <c r="D164" s="105"/>
      <c r="E164" s="135"/>
      <c r="F164" s="107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6"/>
    </row>
    <row r="165" ht="15.75" customHeight="1">
      <c r="A165" s="109"/>
      <c r="B165" s="104"/>
      <c r="C165" s="104"/>
      <c r="D165" s="105"/>
      <c r="E165" s="135"/>
      <c r="F165" s="107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6"/>
    </row>
    <row r="166" ht="15.75" customHeight="1">
      <c r="A166" s="109"/>
      <c r="B166" s="104"/>
      <c r="C166" s="104"/>
      <c r="D166" s="105"/>
      <c r="E166" s="135"/>
      <c r="F166" s="107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6"/>
    </row>
    <row r="167" ht="15.75" customHeight="1">
      <c r="A167" s="109"/>
      <c r="B167" s="104"/>
      <c r="C167" s="104"/>
      <c r="D167" s="105"/>
      <c r="E167" s="135"/>
      <c r="F167" s="107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6"/>
    </row>
    <row r="168" ht="15.75" customHeight="1">
      <c r="A168" s="109"/>
      <c r="B168" s="104"/>
      <c r="C168" s="104"/>
      <c r="D168" s="105"/>
      <c r="E168" s="135"/>
      <c r="F168" s="107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6"/>
    </row>
    <row r="169" ht="15.75" customHeight="1">
      <c r="A169" s="109"/>
      <c r="B169" s="104"/>
      <c r="C169" s="104"/>
      <c r="D169" s="105"/>
      <c r="E169" s="135"/>
      <c r="F169" s="107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6"/>
    </row>
    <row r="170" ht="15.75" customHeight="1">
      <c r="A170" s="109"/>
      <c r="B170" s="104"/>
      <c r="C170" s="104"/>
      <c r="D170" s="105"/>
      <c r="E170" s="135"/>
      <c r="F170" s="107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6"/>
    </row>
    <row r="171" ht="15.75" customHeight="1">
      <c r="A171" s="109"/>
      <c r="B171" s="104"/>
      <c r="C171" s="104"/>
      <c r="D171" s="105"/>
      <c r="E171" s="135"/>
      <c r="F171" s="107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6"/>
    </row>
    <row r="172" ht="15.75" customHeight="1">
      <c r="A172" s="109"/>
      <c r="B172" s="104"/>
      <c r="C172" s="104"/>
      <c r="D172" s="105"/>
      <c r="E172" s="135"/>
      <c r="F172" s="107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6"/>
    </row>
    <row r="173" ht="15.75" customHeight="1">
      <c r="A173" s="109"/>
      <c r="B173" s="104"/>
      <c r="C173" s="104"/>
      <c r="D173" s="105"/>
      <c r="E173" s="135"/>
      <c r="F173" s="107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6"/>
    </row>
    <row r="174" ht="15.75" customHeight="1">
      <c r="A174" s="109"/>
      <c r="B174" s="104"/>
      <c r="C174" s="104"/>
      <c r="D174" s="105"/>
      <c r="E174" s="135"/>
      <c r="F174" s="107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6"/>
    </row>
    <row r="175" ht="15.75" customHeight="1">
      <c r="A175" s="109"/>
      <c r="B175" s="104"/>
      <c r="C175" s="104"/>
      <c r="D175" s="105"/>
      <c r="E175" s="135"/>
      <c r="F175" s="107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6"/>
    </row>
    <row r="176" ht="15.75" customHeight="1">
      <c r="A176" s="109"/>
      <c r="B176" s="104"/>
      <c r="C176" s="104"/>
      <c r="D176" s="105"/>
      <c r="E176" s="135"/>
      <c r="F176" s="107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6"/>
    </row>
    <row r="177" ht="15.75" customHeight="1">
      <c r="A177" s="109"/>
      <c r="B177" s="104"/>
      <c r="C177" s="104"/>
      <c r="D177" s="105"/>
      <c r="E177" s="135"/>
      <c r="F177" s="107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6"/>
    </row>
    <row r="178" ht="15.75" customHeight="1">
      <c r="A178" s="109"/>
      <c r="B178" s="104"/>
      <c r="C178" s="104"/>
      <c r="D178" s="105"/>
      <c r="E178" s="135"/>
      <c r="F178" s="107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6"/>
    </row>
    <row r="179" ht="15.75" customHeight="1">
      <c r="A179" s="109"/>
      <c r="B179" s="104"/>
      <c r="C179" s="104"/>
      <c r="D179" s="105"/>
      <c r="E179" s="135"/>
      <c r="F179" s="107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6"/>
    </row>
    <row r="180" ht="15.75" customHeight="1">
      <c r="A180" s="109"/>
      <c r="B180" s="104"/>
      <c r="C180" s="104"/>
      <c r="D180" s="105"/>
      <c r="E180" s="135"/>
      <c r="F180" s="107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6"/>
    </row>
    <row r="181" ht="15.75" customHeight="1">
      <c r="A181" s="109"/>
      <c r="B181" s="104"/>
      <c r="C181" s="104"/>
      <c r="D181" s="105"/>
      <c r="E181" s="135"/>
      <c r="F181" s="107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6"/>
    </row>
    <row r="182" ht="15.75" customHeight="1">
      <c r="A182" s="109"/>
      <c r="B182" s="104"/>
      <c r="C182" s="104"/>
      <c r="D182" s="105"/>
      <c r="E182" s="135"/>
      <c r="F182" s="107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6"/>
    </row>
    <row r="183" ht="15.75" customHeight="1">
      <c r="A183" s="109"/>
      <c r="B183" s="104"/>
      <c r="C183" s="104"/>
      <c r="D183" s="105"/>
      <c r="E183" s="135"/>
      <c r="F183" s="107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6"/>
    </row>
    <row r="184" ht="15.75" customHeight="1">
      <c r="A184" s="109"/>
      <c r="B184" s="104"/>
      <c r="C184" s="104"/>
      <c r="D184" s="105"/>
      <c r="E184" s="135"/>
      <c r="F184" s="107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6"/>
    </row>
    <row r="185" ht="15.75" customHeight="1">
      <c r="A185" s="109"/>
      <c r="B185" s="104"/>
      <c r="C185" s="104"/>
      <c r="D185" s="105"/>
      <c r="E185" s="135"/>
      <c r="F185" s="107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6"/>
    </row>
    <row r="186" ht="15.75" customHeight="1">
      <c r="A186" s="109"/>
      <c r="B186" s="104"/>
      <c r="C186" s="104"/>
      <c r="D186" s="105"/>
      <c r="E186" s="135"/>
      <c r="F186" s="107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6"/>
    </row>
    <row r="187" ht="15.75" customHeight="1">
      <c r="A187" s="109"/>
      <c r="B187" s="104"/>
      <c r="C187" s="104"/>
      <c r="D187" s="105"/>
      <c r="E187" s="135"/>
      <c r="F187" s="107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6"/>
    </row>
    <row r="188" ht="15.75" customHeight="1">
      <c r="A188" s="109"/>
      <c r="B188" s="104"/>
      <c r="C188" s="104"/>
      <c r="D188" s="105"/>
      <c r="E188" s="135"/>
      <c r="F188" s="107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6"/>
    </row>
    <row r="189" ht="15.75" customHeight="1">
      <c r="A189" s="109"/>
      <c r="B189" s="104"/>
      <c r="C189" s="104"/>
      <c r="D189" s="105"/>
      <c r="E189" s="135"/>
      <c r="F189" s="107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6"/>
    </row>
    <row r="190" ht="15.75" customHeight="1">
      <c r="A190" s="109"/>
      <c r="B190" s="104"/>
      <c r="C190" s="104"/>
      <c r="D190" s="105"/>
      <c r="E190" s="135"/>
      <c r="F190" s="107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6"/>
    </row>
    <row r="191" ht="15.75" customHeight="1">
      <c r="A191" s="109"/>
      <c r="B191" s="104"/>
      <c r="C191" s="104"/>
      <c r="D191" s="105"/>
      <c r="E191" s="135"/>
      <c r="F191" s="107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6"/>
    </row>
    <row r="192" ht="15.75" customHeight="1">
      <c r="A192" s="109"/>
      <c r="B192" s="104"/>
      <c r="C192" s="104"/>
      <c r="D192" s="105"/>
      <c r="E192" s="135"/>
      <c r="F192" s="107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6"/>
    </row>
    <row r="193" ht="15.75" customHeight="1">
      <c r="A193" s="109"/>
      <c r="B193" s="104"/>
      <c r="C193" s="104"/>
      <c r="D193" s="105"/>
      <c r="E193" s="135"/>
      <c r="F193" s="107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6"/>
    </row>
    <row r="194" ht="15.75" customHeight="1">
      <c r="A194" s="109"/>
      <c r="B194" s="104"/>
      <c r="C194" s="104"/>
      <c r="D194" s="105"/>
      <c r="E194" s="135"/>
      <c r="F194" s="107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6"/>
    </row>
    <row r="195" ht="15.75" customHeight="1">
      <c r="A195" s="109"/>
      <c r="B195" s="104"/>
      <c r="C195" s="104"/>
      <c r="D195" s="105"/>
      <c r="E195" s="135"/>
      <c r="F195" s="107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6"/>
    </row>
    <row r="196" ht="15.75" customHeight="1">
      <c r="A196" s="109"/>
      <c r="B196" s="104"/>
      <c r="C196" s="104"/>
      <c r="D196" s="105"/>
      <c r="E196" s="135"/>
      <c r="F196" s="107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6"/>
    </row>
    <row r="197" ht="15.75" customHeight="1">
      <c r="A197" s="109"/>
      <c r="B197" s="104"/>
      <c r="C197" s="104"/>
      <c r="D197" s="105"/>
      <c r="E197" s="135"/>
      <c r="F197" s="107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6"/>
    </row>
    <row r="198" ht="15.75" customHeight="1">
      <c r="A198" s="109"/>
      <c r="B198" s="104"/>
      <c r="C198" s="104"/>
      <c r="D198" s="105"/>
      <c r="E198" s="135"/>
      <c r="F198" s="107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6"/>
    </row>
    <row r="199" ht="15.75" customHeight="1">
      <c r="A199" s="109"/>
      <c r="B199" s="104"/>
      <c r="C199" s="104"/>
      <c r="D199" s="105"/>
      <c r="E199" s="135"/>
      <c r="F199" s="107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6"/>
    </row>
    <row r="200" ht="15.75" customHeight="1">
      <c r="A200" s="109"/>
      <c r="B200" s="104"/>
      <c r="C200" s="104"/>
      <c r="D200" s="105"/>
      <c r="E200" s="135"/>
      <c r="F200" s="107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6"/>
    </row>
    <row r="201" ht="15.75" customHeight="1">
      <c r="A201" s="109"/>
      <c r="B201" s="104"/>
      <c r="C201" s="104"/>
      <c r="D201" s="105"/>
      <c r="E201" s="135"/>
      <c r="F201" s="107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6"/>
    </row>
    <row r="202" ht="15.75" customHeight="1">
      <c r="A202" s="109"/>
      <c r="B202" s="104"/>
      <c r="C202" s="104"/>
      <c r="D202" s="105"/>
      <c r="E202" s="135"/>
      <c r="F202" s="107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6"/>
    </row>
    <row r="203" ht="15.75" customHeight="1">
      <c r="A203" s="109"/>
      <c r="B203" s="104"/>
      <c r="C203" s="104"/>
      <c r="D203" s="105"/>
      <c r="E203" s="135"/>
      <c r="F203" s="107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6"/>
    </row>
    <row r="204" ht="15.75" customHeight="1">
      <c r="A204" s="109"/>
      <c r="B204" s="104"/>
      <c r="C204" s="104"/>
      <c r="D204" s="105"/>
      <c r="E204" s="135"/>
      <c r="F204" s="107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6"/>
    </row>
    <row r="205" ht="15.75" customHeight="1">
      <c r="A205" s="109"/>
      <c r="B205" s="104"/>
      <c r="C205" s="104"/>
      <c r="D205" s="105"/>
      <c r="E205" s="135"/>
      <c r="F205" s="107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6"/>
    </row>
    <row r="206" ht="15.75" customHeight="1">
      <c r="A206" s="109"/>
      <c r="B206" s="104"/>
      <c r="C206" s="104"/>
      <c r="D206" s="105"/>
      <c r="E206" s="135"/>
      <c r="F206" s="107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6"/>
    </row>
    <row r="207" ht="15.75" customHeight="1">
      <c r="A207" s="109"/>
      <c r="B207" s="104"/>
      <c r="C207" s="104"/>
      <c r="D207" s="105"/>
      <c r="E207" s="135"/>
      <c r="F207" s="107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6"/>
    </row>
    <row r="208" ht="15.75" customHeight="1">
      <c r="A208" s="109"/>
      <c r="B208" s="104"/>
      <c r="C208" s="104"/>
      <c r="D208" s="105"/>
      <c r="E208" s="135"/>
      <c r="F208" s="107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6"/>
    </row>
    <row r="209" ht="15.75" customHeight="1">
      <c r="A209" s="109"/>
      <c r="B209" s="104"/>
      <c r="C209" s="104"/>
      <c r="D209" s="105"/>
      <c r="E209" s="135"/>
      <c r="F209" s="107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6"/>
    </row>
    <row r="210" ht="15.75" customHeight="1">
      <c r="A210" s="109"/>
      <c r="B210" s="104"/>
      <c r="C210" s="104"/>
      <c r="D210" s="105"/>
      <c r="E210" s="135"/>
      <c r="F210" s="107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6"/>
    </row>
    <row r="211" ht="15.75" customHeight="1">
      <c r="A211" s="109"/>
      <c r="B211" s="104"/>
      <c r="C211" s="104"/>
      <c r="D211" s="105"/>
      <c r="E211" s="135"/>
      <c r="F211" s="107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6"/>
    </row>
    <row r="212" ht="15.75" customHeight="1">
      <c r="A212" s="109"/>
      <c r="B212" s="104"/>
      <c r="C212" s="104"/>
      <c r="D212" s="105"/>
      <c r="E212" s="135"/>
      <c r="F212" s="107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6"/>
    </row>
    <row r="213" ht="15.75" customHeight="1">
      <c r="A213" s="109"/>
      <c r="B213" s="104"/>
      <c r="C213" s="104"/>
      <c r="D213" s="105"/>
      <c r="E213" s="135"/>
      <c r="F213" s="107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6"/>
    </row>
    <row r="214" ht="15.75" customHeight="1">
      <c r="A214" s="109"/>
      <c r="B214" s="104"/>
      <c r="C214" s="104"/>
      <c r="D214" s="105"/>
      <c r="E214" s="135"/>
      <c r="F214" s="107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6"/>
    </row>
    <row r="215" ht="15.75" customHeight="1">
      <c r="A215" s="109"/>
      <c r="B215" s="104"/>
      <c r="C215" s="104"/>
      <c r="D215" s="105"/>
      <c r="E215" s="135"/>
      <c r="F215" s="107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6"/>
    </row>
    <row r="216" ht="15.75" customHeight="1">
      <c r="A216" s="109"/>
      <c r="B216" s="104"/>
      <c r="C216" s="104"/>
      <c r="D216" s="105"/>
      <c r="E216" s="135"/>
      <c r="F216" s="107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6"/>
    </row>
    <row r="217" ht="15.75" customHeight="1">
      <c r="A217" s="109"/>
      <c r="B217" s="104"/>
      <c r="C217" s="104"/>
      <c r="D217" s="105"/>
      <c r="E217" s="135"/>
      <c r="F217" s="107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6"/>
    </row>
    <row r="218" ht="15.75" customHeight="1">
      <c r="A218" s="109"/>
      <c r="B218" s="104"/>
      <c r="C218" s="104"/>
      <c r="D218" s="105"/>
      <c r="E218" s="135"/>
      <c r="F218" s="107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6"/>
    </row>
    <row r="219" ht="15.75" customHeight="1">
      <c r="A219" s="109"/>
      <c r="B219" s="104"/>
      <c r="C219" s="104"/>
      <c r="D219" s="105"/>
      <c r="E219" s="135"/>
      <c r="F219" s="107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6"/>
    </row>
    <row r="220" ht="15.75" customHeight="1">
      <c r="A220" s="109"/>
      <c r="B220" s="104"/>
      <c r="C220" s="104"/>
      <c r="D220" s="105"/>
      <c r="E220" s="135"/>
      <c r="F220" s="107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6"/>
    </row>
    <row r="221" ht="15.75" customHeight="1">
      <c r="A221" s="109"/>
      <c r="B221" s="104"/>
      <c r="C221" s="104"/>
      <c r="D221" s="105"/>
      <c r="E221" s="135"/>
      <c r="F221" s="107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6"/>
    </row>
    <row r="222" ht="15.75" customHeight="1">
      <c r="A222" s="109"/>
      <c r="B222" s="104"/>
      <c r="C222" s="104"/>
      <c r="D222" s="105"/>
      <c r="E222" s="135"/>
      <c r="F222" s="107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6"/>
    </row>
    <row r="223" ht="15.75" customHeight="1">
      <c r="A223" s="109"/>
      <c r="B223" s="104"/>
      <c r="C223" s="104"/>
      <c r="D223" s="105"/>
      <c r="E223" s="135"/>
      <c r="F223" s="107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6"/>
    </row>
    <row r="224" ht="15.75" customHeight="1">
      <c r="A224" s="109"/>
      <c r="B224" s="104"/>
      <c r="C224" s="104"/>
      <c r="D224" s="105"/>
      <c r="E224" s="135"/>
      <c r="F224" s="107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6"/>
    </row>
    <row r="225" ht="15.75" customHeight="1">
      <c r="A225" s="109"/>
      <c r="B225" s="104"/>
      <c r="C225" s="104"/>
      <c r="D225" s="105"/>
      <c r="E225" s="135"/>
      <c r="F225" s="107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6"/>
    </row>
    <row r="226" ht="15.75" customHeight="1">
      <c r="A226" s="109"/>
      <c r="B226" s="104"/>
      <c r="C226" s="104"/>
      <c r="D226" s="105"/>
      <c r="E226" s="135"/>
      <c r="F226" s="107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6"/>
    </row>
    <row r="227" ht="15.75" customHeight="1">
      <c r="A227" s="109"/>
      <c r="B227" s="104"/>
      <c r="C227" s="104"/>
      <c r="D227" s="105"/>
      <c r="E227" s="135"/>
      <c r="F227" s="107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6"/>
    </row>
    <row r="228" ht="15.75" customHeight="1">
      <c r="A228" s="109"/>
      <c r="B228" s="104"/>
      <c r="C228" s="104"/>
      <c r="D228" s="105"/>
      <c r="E228" s="135"/>
      <c r="F228" s="107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6"/>
    </row>
    <row r="229" ht="15.75" customHeight="1">
      <c r="A229" s="109"/>
      <c r="B229" s="104"/>
      <c r="C229" s="104"/>
      <c r="D229" s="105"/>
      <c r="E229" s="135"/>
      <c r="F229" s="107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6"/>
    </row>
    <row r="230" ht="15.75" customHeight="1">
      <c r="A230" s="109"/>
      <c r="B230" s="104"/>
      <c r="C230" s="104"/>
      <c r="D230" s="105"/>
      <c r="E230" s="135"/>
      <c r="F230" s="107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6"/>
    </row>
    <row r="231" ht="15.75" customHeight="1">
      <c r="A231" s="109"/>
      <c r="B231" s="104"/>
      <c r="C231" s="104"/>
      <c r="D231" s="105"/>
      <c r="E231" s="135"/>
      <c r="F231" s="107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6"/>
    </row>
    <row r="232" ht="15.75" customHeight="1">
      <c r="A232" s="109"/>
      <c r="B232" s="104"/>
      <c r="C232" s="104"/>
      <c r="D232" s="105"/>
      <c r="E232" s="135"/>
      <c r="F232" s="107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6"/>
    </row>
    <row r="233" ht="15.75" customHeight="1">
      <c r="A233" s="109"/>
      <c r="B233" s="104"/>
      <c r="C233" s="104"/>
      <c r="D233" s="105"/>
      <c r="E233" s="135"/>
      <c r="F233" s="107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6"/>
    </row>
    <row r="234" ht="15.75" customHeight="1">
      <c r="A234" s="109"/>
      <c r="B234" s="104"/>
      <c r="C234" s="104"/>
      <c r="D234" s="105"/>
      <c r="E234" s="135"/>
      <c r="F234" s="107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6"/>
    </row>
    <row r="235" ht="15.75" customHeight="1">
      <c r="A235" s="109"/>
      <c r="B235" s="104"/>
      <c r="C235" s="104"/>
      <c r="D235" s="105"/>
      <c r="E235" s="135"/>
      <c r="F235" s="107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6"/>
    </row>
    <row r="236" ht="15.75" customHeight="1">
      <c r="A236" s="109"/>
      <c r="B236" s="104"/>
      <c r="C236" s="104"/>
      <c r="D236" s="105"/>
      <c r="E236" s="135"/>
      <c r="F236" s="107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6"/>
    </row>
    <row r="237" ht="15.75" customHeight="1">
      <c r="A237" s="109"/>
      <c r="B237" s="104"/>
      <c r="C237" s="104"/>
      <c r="D237" s="105"/>
      <c r="E237" s="135"/>
      <c r="F237" s="107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6"/>
    </row>
    <row r="238" ht="15.75" customHeight="1">
      <c r="A238" s="109"/>
      <c r="B238" s="104"/>
      <c r="C238" s="104"/>
      <c r="D238" s="105"/>
      <c r="E238" s="135"/>
      <c r="F238" s="107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6"/>
    </row>
    <row r="239" ht="15.75" customHeight="1">
      <c r="A239" s="109"/>
      <c r="B239" s="104"/>
      <c r="C239" s="104"/>
      <c r="D239" s="105"/>
      <c r="E239" s="135"/>
      <c r="F239" s="107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6"/>
    </row>
    <row r="240" ht="15.75" customHeight="1">
      <c r="A240" s="109"/>
      <c r="B240" s="104"/>
      <c r="C240" s="104"/>
      <c r="D240" s="105"/>
      <c r="E240" s="135"/>
      <c r="F240" s="107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6"/>
    </row>
    <row r="241" ht="15.75" customHeight="1">
      <c r="A241" s="109"/>
      <c r="B241" s="104"/>
      <c r="C241" s="104"/>
      <c r="D241" s="105"/>
      <c r="E241" s="135"/>
      <c r="F241" s="107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6"/>
    </row>
    <row r="242" ht="15.75" customHeight="1">
      <c r="A242" s="109"/>
      <c r="B242" s="104"/>
      <c r="C242" s="104"/>
      <c r="D242" s="105"/>
      <c r="E242" s="135"/>
      <c r="F242" s="107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6"/>
    </row>
    <row r="243" ht="15.75" customHeight="1">
      <c r="A243" s="109"/>
      <c r="B243" s="104"/>
      <c r="C243" s="104"/>
      <c r="D243" s="105"/>
      <c r="E243" s="135"/>
      <c r="F243" s="107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6"/>
    </row>
    <row r="244" ht="15.75" customHeight="1">
      <c r="A244" s="109"/>
      <c r="B244" s="104"/>
      <c r="C244" s="104"/>
      <c r="D244" s="105"/>
      <c r="E244" s="135"/>
      <c r="F244" s="107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6"/>
    </row>
    <row r="245" ht="15.75" customHeight="1">
      <c r="A245" s="109"/>
      <c r="B245" s="104"/>
      <c r="C245" s="104"/>
      <c r="D245" s="105"/>
      <c r="E245" s="135"/>
      <c r="F245" s="107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6"/>
    </row>
    <row r="246" ht="15.75" customHeight="1">
      <c r="A246" s="109"/>
      <c r="B246" s="104"/>
      <c r="C246" s="104"/>
      <c r="D246" s="105"/>
      <c r="E246" s="135"/>
      <c r="F246" s="107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6"/>
    </row>
    <row r="247" ht="15.75" customHeight="1">
      <c r="A247" s="109"/>
      <c r="B247" s="104"/>
      <c r="C247" s="104"/>
      <c r="D247" s="105"/>
      <c r="E247" s="135"/>
      <c r="F247" s="107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6"/>
    </row>
    <row r="248" ht="15.75" customHeight="1">
      <c r="A248" s="109"/>
      <c r="B248" s="104"/>
      <c r="C248" s="104"/>
      <c r="D248" s="105"/>
      <c r="E248" s="135"/>
      <c r="F248" s="107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6"/>
    </row>
    <row r="249" ht="15.75" customHeight="1">
      <c r="A249" s="109"/>
      <c r="B249" s="104"/>
      <c r="C249" s="104"/>
      <c r="D249" s="105"/>
      <c r="E249" s="135"/>
      <c r="F249" s="107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6"/>
    </row>
    <row r="250" ht="15.75" customHeight="1">
      <c r="A250" s="109"/>
      <c r="B250" s="104"/>
      <c r="C250" s="104"/>
      <c r="D250" s="105"/>
      <c r="E250" s="135"/>
      <c r="F250" s="107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6"/>
    </row>
    <row r="251" ht="15.75" customHeight="1">
      <c r="A251" s="109"/>
      <c r="B251" s="104"/>
      <c r="C251" s="104"/>
      <c r="D251" s="105"/>
      <c r="E251" s="135"/>
      <c r="F251" s="107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6"/>
    </row>
    <row r="252" ht="15.75" customHeight="1">
      <c r="A252" s="109"/>
      <c r="B252" s="104"/>
      <c r="C252" s="104"/>
      <c r="D252" s="105"/>
      <c r="E252" s="135"/>
      <c r="F252" s="107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6"/>
    </row>
    <row r="253" ht="15.75" customHeight="1">
      <c r="A253" s="109"/>
      <c r="B253" s="104"/>
      <c r="C253" s="104"/>
      <c r="D253" s="105"/>
      <c r="E253" s="135"/>
      <c r="F253" s="107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6"/>
    </row>
    <row r="254" ht="15.75" customHeight="1">
      <c r="A254" s="109"/>
      <c r="B254" s="104"/>
      <c r="C254" s="104"/>
      <c r="D254" s="105"/>
      <c r="E254" s="135"/>
      <c r="F254" s="107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6"/>
    </row>
    <row r="255" ht="15.75" customHeight="1">
      <c r="A255" s="109"/>
      <c r="B255" s="104"/>
      <c r="C255" s="104"/>
      <c r="D255" s="105"/>
      <c r="E255" s="135"/>
      <c r="F255" s="107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6"/>
    </row>
    <row r="256" ht="15.75" customHeight="1">
      <c r="A256" s="109"/>
      <c r="B256" s="104"/>
      <c r="C256" s="104"/>
      <c r="D256" s="105"/>
      <c r="E256" s="135"/>
      <c r="F256" s="107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6"/>
    </row>
    <row r="257" ht="15.75" customHeight="1">
      <c r="A257" s="109"/>
      <c r="B257" s="104"/>
      <c r="C257" s="104"/>
      <c r="D257" s="105"/>
      <c r="E257" s="135"/>
      <c r="F257" s="107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6"/>
    </row>
    <row r="258" ht="15.75" customHeight="1">
      <c r="A258" s="109"/>
      <c r="B258" s="104"/>
      <c r="C258" s="104"/>
      <c r="D258" s="105"/>
      <c r="E258" s="135"/>
      <c r="F258" s="107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6"/>
    </row>
    <row r="259" ht="15.75" customHeight="1">
      <c r="A259" s="109"/>
      <c r="B259" s="104"/>
      <c r="C259" s="104"/>
      <c r="D259" s="105"/>
      <c r="E259" s="135"/>
      <c r="F259" s="107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6"/>
    </row>
    <row r="260" ht="15.75" customHeight="1">
      <c r="A260" s="109"/>
      <c r="B260" s="104"/>
      <c r="C260" s="104"/>
      <c r="D260" s="105"/>
      <c r="E260" s="135"/>
      <c r="F260" s="107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6"/>
    </row>
    <row r="261" ht="15.75" customHeight="1">
      <c r="A261" s="109"/>
      <c r="B261" s="104"/>
      <c r="C261" s="104"/>
      <c r="D261" s="105"/>
      <c r="E261" s="135"/>
      <c r="F261" s="107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6"/>
    </row>
    <row r="262" ht="15.75" customHeight="1">
      <c r="A262" s="109"/>
      <c r="B262" s="104"/>
      <c r="C262" s="104"/>
      <c r="D262" s="105"/>
      <c r="E262" s="135"/>
      <c r="F262" s="107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6"/>
    </row>
    <row r="263" ht="15.75" customHeight="1">
      <c r="A263" s="109"/>
      <c r="B263" s="104"/>
      <c r="C263" s="104"/>
      <c r="D263" s="105"/>
      <c r="E263" s="135"/>
      <c r="F263" s="107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6"/>
    </row>
    <row r="264" ht="15.75" customHeight="1">
      <c r="A264" s="109"/>
      <c r="B264" s="104"/>
      <c r="C264" s="104"/>
      <c r="D264" s="105"/>
      <c r="E264" s="135"/>
      <c r="F264" s="107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6"/>
    </row>
    <row r="265" ht="15.75" customHeight="1">
      <c r="A265" s="109"/>
      <c r="B265" s="104"/>
      <c r="C265" s="104"/>
      <c r="D265" s="105"/>
      <c r="E265" s="135"/>
      <c r="F265" s="107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6"/>
    </row>
    <row r="266" ht="15.75" customHeight="1">
      <c r="A266" s="109"/>
      <c r="B266" s="104"/>
      <c r="C266" s="104"/>
      <c r="D266" s="105"/>
      <c r="E266" s="135"/>
      <c r="F266" s="107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6"/>
    </row>
    <row r="267" ht="15.75" customHeight="1">
      <c r="A267" s="109"/>
      <c r="B267" s="104"/>
      <c r="C267" s="104"/>
      <c r="D267" s="105"/>
      <c r="E267" s="135"/>
      <c r="F267" s="107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6"/>
    </row>
    <row r="268" ht="15.75" customHeight="1">
      <c r="A268" s="109"/>
      <c r="B268" s="104"/>
      <c r="C268" s="104"/>
      <c r="D268" s="105"/>
      <c r="E268" s="135"/>
      <c r="F268" s="107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6"/>
    </row>
    <row r="269" ht="15.75" customHeight="1">
      <c r="A269" s="109"/>
      <c r="B269" s="104"/>
      <c r="C269" s="104"/>
      <c r="D269" s="105"/>
      <c r="E269" s="135"/>
      <c r="F269" s="107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6"/>
    </row>
    <row r="270" ht="15.75" customHeight="1">
      <c r="A270" s="109"/>
      <c r="B270" s="104"/>
      <c r="C270" s="104"/>
      <c r="D270" s="105"/>
      <c r="E270" s="135"/>
      <c r="F270" s="107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6"/>
    </row>
    <row r="271" ht="15.75" customHeight="1">
      <c r="A271" s="109"/>
      <c r="B271" s="104"/>
      <c r="C271" s="104"/>
      <c r="D271" s="105"/>
      <c r="E271" s="135"/>
      <c r="F271" s="107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6"/>
    </row>
    <row r="272" ht="15.75" customHeight="1">
      <c r="A272" s="109"/>
      <c r="B272" s="104"/>
      <c r="C272" s="104"/>
      <c r="D272" s="105"/>
      <c r="E272" s="135"/>
      <c r="F272" s="107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6"/>
    </row>
    <row r="273" ht="15.75" customHeight="1">
      <c r="A273" s="109"/>
      <c r="B273" s="104"/>
      <c r="C273" s="104"/>
      <c r="D273" s="105"/>
      <c r="E273" s="135"/>
      <c r="F273" s="107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6"/>
    </row>
    <row r="274" ht="15.75" customHeight="1">
      <c r="A274" s="109"/>
      <c r="B274" s="104"/>
      <c r="C274" s="104"/>
      <c r="D274" s="105"/>
      <c r="E274" s="135"/>
      <c r="F274" s="107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6"/>
    </row>
    <row r="275" ht="15.75" customHeight="1">
      <c r="A275" s="109"/>
      <c r="B275" s="104"/>
      <c r="C275" s="104"/>
      <c r="D275" s="105"/>
      <c r="E275" s="135"/>
      <c r="F275" s="107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6"/>
    </row>
    <row r="276" ht="15.75" customHeight="1">
      <c r="A276" s="109"/>
      <c r="B276" s="104"/>
      <c r="C276" s="104"/>
      <c r="D276" s="105"/>
      <c r="E276" s="135"/>
      <c r="F276" s="107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6"/>
    </row>
    <row r="277" ht="15.75" customHeight="1">
      <c r="A277" s="109"/>
      <c r="B277" s="104"/>
      <c r="C277" s="104"/>
      <c r="D277" s="105"/>
      <c r="E277" s="135"/>
      <c r="F277" s="107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6"/>
    </row>
    <row r="278" ht="15.75" customHeight="1">
      <c r="A278" s="109"/>
      <c r="B278" s="104"/>
      <c r="C278" s="104"/>
      <c r="D278" s="105"/>
      <c r="E278" s="135"/>
      <c r="F278" s="107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6"/>
    </row>
    <row r="279" ht="15.75" customHeight="1">
      <c r="A279" s="109"/>
      <c r="B279" s="104"/>
      <c r="C279" s="104"/>
      <c r="D279" s="105"/>
      <c r="E279" s="135"/>
      <c r="F279" s="107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6"/>
    </row>
    <row r="280" ht="15.75" customHeight="1">
      <c r="A280" s="109"/>
      <c r="B280" s="104"/>
      <c r="C280" s="104"/>
      <c r="D280" s="105"/>
      <c r="E280" s="135"/>
      <c r="F280" s="107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6"/>
    </row>
    <row r="281" ht="15.75" customHeight="1">
      <c r="A281" s="109"/>
      <c r="B281" s="104"/>
      <c r="C281" s="104"/>
      <c r="D281" s="105"/>
      <c r="E281" s="135"/>
      <c r="F281" s="107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6"/>
    </row>
    <row r="282" ht="15.75" customHeight="1">
      <c r="A282" s="109"/>
      <c r="B282" s="104"/>
      <c r="C282" s="104"/>
      <c r="D282" s="105"/>
      <c r="E282" s="135"/>
      <c r="F282" s="107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6"/>
    </row>
    <row r="283" ht="15.75" customHeight="1">
      <c r="A283" s="109"/>
      <c r="B283" s="104"/>
      <c r="C283" s="104"/>
      <c r="D283" s="105"/>
      <c r="E283" s="135"/>
      <c r="F283" s="107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6"/>
    </row>
    <row r="284" ht="15.75" customHeight="1">
      <c r="A284" s="109"/>
      <c r="B284" s="104"/>
      <c r="C284" s="104"/>
      <c r="D284" s="105"/>
      <c r="E284" s="135"/>
      <c r="F284" s="107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6"/>
    </row>
    <row r="285" ht="15.75" customHeight="1">
      <c r="A285" s="109"/>
      <c r="B285" s="104"/>
      <c r="C285" s="104"/>
      <c r="D285" s="105"/>
      <c r="E285" s="135"/>
      <c r="F285" s="107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6"/>
    </row>
    <row r="286" ht="15.75" customHeight="1">
      <c r="A286" s="109"/>
      <c r="B286" s="104"/>
      <c r="C286" s="104"/>
      <c r="D286" s="105"/>
      <c r="E286" s="135"/>
      <c r="F286" s="107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6"/>
    </row>
    <row r="287" ht="15.75" customHeight="1">
      <c r="A287" s="109"/>
      <c r="B287" s="104"/>
      <c r="C287" s="104"/>
      <c r="D287" s="105"/>
      <c r="E287" s="135"/>
      <c r="F287" s="107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6"/>
    </row>
    <row r="288" ht="15.75" customHeight="1">
      <c r="A288" s="109"/>
      <c r="B288" s="104"/>
      <c r="C288" s="104"/>
      <c r="D288" s="105"/>
      <c r="E288" s="135"/>
      <c r="F288" s="107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6"/>
    </row>
    <row r="289" ht="15.75" customHeight="1">
      <c r="A289" s="109"/>
      <c r="B289" s="104"/>
      <c r="C289" s="104"/>
      <c r="D289" s="105"/>
      <c r="E289" s="135"/>
      <c r="F289" s="107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6"/>
    </row>
    <row r="290" ht="15.75" customHeight="1">
      <c r="A290" s="109"/>
      <c r="B290" s="104"/>
      <c r="C290" s="104"/>
      <c r="D290" s="105"/>
      <c r="E290" s="135"/>
      <c r="F290" s="107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6"/>
    </row>
    <row r="291" ht="15.75" customHeight="1">
      <c r="A291" s="109"/>
      <c r="B291" s="104"/>
      <c r="C291" s="104"/>
      <c r="D291" s="105"/>
      <c r="E291" s="135"/>
      <c r="F291" s="107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6"/>
    </row>
    <row r="292" ht="15.75" customHeight="1">
      <c r="A292" s="109"/>
      <c r="B292" s="104"/>
      <c r="C292" s="104"/>
      <c r="D292" s="105"/>
      <c r="E292" s="135"/>
      <c r="F292" s="107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6"/>
    </row>
    <row r="293" ht="15.75" customHeight="1">
      <c r="A293" s="109"/>
      <c r="B293" s="104"/>
      <c r="C293" s="104"/>
      <c r="D293" s="105"/>
      <c r="E293" s="135"/>
      <c r="F293" s="107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6"/>
    </row>
    <row r="294" ht="15.75" customHeight="1">
      <c r="A294" s="109"/>
      <c r="B294" s="104"/>
      <c r="C294" s="104"/>
      <c r="D294" s="105"/>
      <c r="E294" s="135"/>
      <c r="F294" s="107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6"/>
    </row>
    <row r="295" ht="15.75" customHeight="1">
      <c r="A295" s="109"/>
      <c r="B295" s="104"/>
      <c r="C295" s="104"/>
      <c r="D295" s="105"/>
      <c r="E295" s="135"/>
      <c r="F295" s="107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6"/>
    </row>
    <row r="296" ht="15.75" customHeight="1">
      <c r="A296" s="109"/>
      <c r="B296" s="104"/>
      <c r="C296" s="104"/>
      <c r="D296" s="105"/>
      <c r="E296" s="135"/>
      <c r="F296" s="107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6"/>
    </row>
    <row r="297" ht="15.75" customHeight="1">
      <c r="A297" s="109"/>
      <c r="B297" s="104"/>
      <c r="C297" s="104"/>
      <c r="D297" s="105"/>
      <c r="E297" s="135"/>
      <c r="F297" s="107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6"/>
    </row>
    <row r="298" ht="15.75" customHeight="1">
      <c r="A298" s="109"/>
      <c r="B298" s="104"/>
      <c r="C298" s="104"/>
      <c r="D298" s="105"/>
      <c r="E298" s="135"/>
      <c r="F298" s="107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6"/>
    </row>
    <row r="299" ht="15.75" customHeight="1">
      <c r="A299" s="109"/>
      <c r="B299" s="104"/>
      <c r="C299" s="104"/>
      <c r="D299" s="105"/>
      <c r="E299" s="135"/>
      <c r="F299" s="107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6"/>
    </row>
    <row r="300" ht="15.75" customHeight="1">
      <c r="A300" s="109"/>
      <c r="B300" s="104"/>
      <c r="C300" s="104"/>
      <c r="D300" s="105"/>
      <c r="E300" s="135"/>
      <c r="F300" s="107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6"/>
    </row>
    <row r="301" ht="15.75" customHeight="1">
      <c r="A301" s="109"/>
      <c r="B301" s="104"/>
      <c r="C301" s="104"/>
      <c r="D301" s="105"/>
      <c r="E301" s="135"/>
      <c r="F301" s="107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6"/>
    </row>
    <row r="302" ht="15.75" customHeight="1">
      <c r="A302" s="109"/>
      <c r="B302" s="104"/>
      <c r="C302" s="104"/>
      <c r="D302" s="105"/>
      <c r="E302" s="135"/>
      <c r="F302" s="107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6"/>
    </row>
    <row r="303" ht="15.75" customHeight="1">
      <c r="A303" s="109"/>
      <c r="B303" s="104"/>
      <c r="C303" s="104"/>
      <c r="D303" s="105"/>
      <c r="E303" s="135"/>
      <c r="F303" s="107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6"/>
    </row>
    <row r="304" ht="15.75" customHeight="1">
      <c r="A304" s="109"/>
      <c r="B304" s="104"/>
      <c r="C304" s="104"/>
      <c r="D304" s="105"/>
      <c r="E304" s="135"/>
      <c r="F304" s="107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6"/>
    </row>
    <row r="305" ht="15.75" customHeight="1">
      <c r="A305" s="109"/>
      <c r="B305" s="104"/>
      <c r="C305" s="104"/>
      <c r="D305" s="105"/>
      <c r="E305" s="135"/>
      <c r="F305" s="107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6"/>
    </row>
    <row r="306" ht="15.75" customHeight="1">
      <c r="A306" s="109"/>
      <c r="B306" s="104"/>
      <c r="C306" s="104"/>
      <c r="D306" s="105"/>
      <c r="E306" s="135"/>
      <c r="F306" s="107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6"/>
    </row>
    <row r="307" ht="15.75" customHeight="1">
      <c r="A307" s="109"/>
      <c r="B307" s="104"/>
      <c r="C307" s="104"/>
      <c r="D307" s="105"/>
      <c r="E307" s="135"/>
      <c r="F307" s="107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6"/>
    </row>
    <row r="308" ht="15.75" customHeight="1">
      <c r="A308" s="109"/>
      <c r="B308" s="104"/>
      <c r="C308" s="104"/>
      <c r="D308" s="105"/>
      <c r="E308" s="135"/>
      <c r="F308" s="107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6"/>
    </row>
    <row r="309" ht="15.75" customHeight="1">
      <c r="A309" s="109"/>
      <c r="B309" s="104"/>
      <c r="C309" s="104"/>
      <c r="D309" s="105"/>
      <c r="E309" s="135"/>
      <c r="F309" s="107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6"/>
    </row>
    <row r="310" ht="15.75" customHeight="1">
      <c r="A310" s="109"/>
      <c r="B310" s="104"/>
      <c r="C310" s="104"/>
      <c r="D310" s="105"/>
      <c r="E310" s="135"/>
      <c r="F310" s="107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6"/>
    </row>
    <row r="311" ht="15.75" customHeight="1">
      <c r="A311" s="109"/>
      <c r="B311" s="104"/>
      <c r="C311" s="104"/>
      <c r="D311" s="105"/>
      <c r="E311" s="135"/>
      <c r="F311" s="107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6"/>
    </row>
    <row r="312" ht="15.75" customHeight="1">
      <c r="A312" s="109"/>
      <c r="B312" s="104"/>
      <c r="C312" s="104"/>
      <c r="D312" s="105"/>
      <c r="E312" s="135"/>
      <c r="F312" s="107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6"/>
    </row>
    <row r="313" ht="15.75" customHeight="1">
      <c r="A313" s="109"/>
      <c r="B313" s="104"/>
      <c r="C313" s="104"/>
      <c r="D313" s="105"/>
      <c r="E313" s="135"/>
      <c r="F313" s="107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6"/>
    </row>
    <row r="314" ht="15.75" customHeight="1">
      <c r="A314" s="109"/>
      <c r="B314" s="104"/>
      <c r="C314" s="104"/>
      <c r="D314" s="105"/>
      <c r="E314" s="135"/>
      <c r="F314" s="107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6"/>
    </row>
    <row r="315" ht="15.75" customHeight="1">
      <c r="A315" s="109"/>
      <c r="B315" s="104"/>
      <c r="C315" s="104"/>
      <c r="D315" s="105"/>
      <c r="E315" s="135"/>
      <c r="F315" s="107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6"/>
    </row>
    <row r="316" ht="15.75" customHeight="1">
      <c r="A316" s="109"/>
      <c r="B316" s="104"/>
      <c r="C316" s="104"/>
      <c r="D316" s="105"/>
      <c r="E316" s="135"/>
      <c r="F316" s="107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6"/>
    </row>
    <row r="317" ht="15.75" customHeight="1">
      <c r="A317" s="109"/>
      <c r="B317" s="104"/>
      <c r="C317" s="104"/>
      <c r="D317" s="105"/>
      <c r="E317" s="135"/>
      <c r="F317" s="107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6"/>
    </row>
    <row r="318" ht="15.75" customHeight="1">
      <c r="A318" s="109"/>
      <c r="B318" s="104"/>
      <c r="C318" s="104"/>
      <c r="D318" s="105"/>
      <c r="E318" s="135"/>
      <c r="F318" s="107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6"/>
    </row>
    <row r="319" ht="15.75" customHeight="1">
      <c r="A319" s="109"/>
      <c r="B319" s="104"/>
      <c r="C319" s="104"/>
      <c r="D319" s="105"/>
      <c r="E319" s="135"/>
      <c r="F319" s="107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6"/>
    </row>
    <row r="320" ht="15.75" customHeight="1">
      <c r="A320" s="109"/>
      <c r="B320" s="104"/>
      <c r="C320" s="104"/>
      <c r="D320" s="105"/>
      <c r="E320" s="135"/>
      <c r="F320" s="107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6"/>
    </row>
    <row r="321" ht="15.75" customHeight="1">
      <c r="A321" s="109"/>
      <c r="B321" s="104"/>
      <c r="C321" s="104"/>
      <c r="D321" s="105"/>
      <c r="E321" s="135"/>
      <c r="F321" s="107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6"/>
    </row>
    <row r="322" ht="15.75" customHeight="1">
      <c r="A322" s="109"/>
      <c r="B322" s="104"/>
      <c r="C322" s="104"/>
      <c r="D322" s="105"/>
      <c r="E322" s="135"/>
      <c r="F322" s="107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6"/>
    </row>
    <row r="323" ht="15.75" customHeight="1">
      <c r="A323" s="109"/>
      <c r="B323" s="104"/>
      <c r="C323" s="104"/>
      <c r="D323" s="105"/>
      <c r="E323" s="135"/>
      <c r="F323" s="107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6"/>
    </row>
    <row r="324" ht="15.75" customHeight="1">
      <c r="A324" s="109"/>
      <c r="B324" s="104"/>
      <c r="C324" s="104"/>
      <c r="D324" s="105"/>
      <c r="E324" s="135"/>
      <c r="F324" s="107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6"/>
    </row>
    <row r="325" ht="15.75" customHeight="1">
      <c r="A325" s="109"/>
      <c r="B325" s="104"/>
      <c r="C325" s="104"/>
      <c r="D325" s="105"/>
      <c r="E325" s="135"/>
      <c r="F325" s="107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6"/>
    </row>
    <row r="326" ht="15.75" customHeight="1">
      <c r="A326" s="109"/>
      <c r="B326" s="104"/>
      <c r="C326" s="104"/>
      <c r="D326" s="105"/>
      <c r="E326" s="135"/>
      <c r="F326" s="107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6"/>
    </row>
    <row r="327" ht="15.75" customHeight="1">
      <c r="A327" s="109"/>
      <c r="B327" s="104"/>
      <c r="C327" s="104"/>
      <c r="D327" s="105"/>
      <c r="E327" s="135"/>
      <c r="F327" s="107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6"/>
    </row>
    <row r="328" ht="15.75" customHeight="1">
      <c r="A328" s="109"/>
      <c r="B328" s="104"/>
      <c r="C328" s="104"/>
      <c r="D328" s="105"/>
      <c r="E328" s="135"/>
      <c r="F328" s="107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6"/>
    </row>
    <row r="329" ht="15.75" customHeight="1">
      <c r="A329" s="109"/>
      <c r="B329" s="104"/>
      <c r="C329" s="104"/>
      <c r="D329" s="105"/>
      <c r="E329" s="135"/>
      <c r="F329" s="107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6"/>
    </row>
    <row r="330" ht="15.75" customHeight="1">
      <c r="A330" s="109"/>
      <c r="B330" s="104"/>
      <c r="C330" s="104"/>
      <c r="D330" s="105"/>
      <c r="E330" s="135"/>
      <c r="F330" s="107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6"/>
    </row>
    <row r="331" ht="15.75" customHeight="1">
      <c r="A331" s="109"/>
      <c r="B331" s="104"/>
      <c r="C331" s="104"/>
      <c r="D331" s="105"/>
      <c r="E331" s="135"/>
      <c r="F331" s="107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6"/>
    </row>
    <row r="332" ht="15.75" customHeight="1">
      <c r="A332" s="109"/>
      <c r="B332" s="104"/>
      <c r="C332" s="104"/>
      <c r="D332" s="105"/>
      <c r="E332" s="135"/>
      <c r="F332" s="107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6"/>
    </row>
    <row r="333" ht="15.75" customHeight="1">
      <c r="A333" s="109"/>
      <c r="B333" s="104"/>
      <c r="C333" s="104"/>
      <c r="D333" s="105"/>
      <c r="E333" s="135"/>
      <c r="F333" s="107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6"/>
    </row>
    <row r="334" ht="15.75" customHeight="1">
      <c r="A334" s="109"/>
      <c r="B334" s="104"/>
      <c r="C334" s="104"/>
      <c r="D334" s="105"/>
      <c r="E334" s="135"/>
      <c r="F334" s="107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6"/>
    </row>
    <row r="335" ht="15.75" customHeight="1">
      <c r="A335" s="109"/>
      <c r="B335" s="104"/>
      <c r="C335" s="104"/>
      <c r="D335" s="105"/>
      <c r="E335" s="135"/>
      <c r="F335" s="107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6"/>
    </row>
    <row r="336" ht="15.75" customHeight="1">
      <c r="A336" s="109"/>
      <c r="B336" s="104"/>
      <c r="C336" s="104"/>
      <c r="D336" s="105"/>
      <c r="E336" s="135"/>
      <c r="F336" s="107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6"/>
    </row>
    <row r="337" ht="15.75" customHeight="1">
      <c r="A337" s="109"/>
      <c r="B337" s="104"/>
      <c r="C337" s="104"/>
      <c r="D337" s="105"/>
      <c r="E337" s="135"/>
      <c r="F337" s="107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6"/>
    </row>
    <row r="338" ht="15.75" customHeight="1">
      <c r="A338" s="109"/>
      <c r="B338" s="104"/>
      <c r="C338" s="104"/>
      <c r="D338" s="105"/>
      <c r="E338" s="135"/>
      <c r="F338" s="107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6"/>
    </row>
    <row r="339" ht="15.75" customHeight="1">
      <c r="A339" s="109"/>
      <c r="B339" s="104"/>
      <c r="C339" s="104"/>
      <c r="D339" s="105"/>
      <c r="E339" s="135"/>
      <c r="F339" s="107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6"/>
    </row>
    <row r="340" ht="15.75" customHeight="1">
      <c r="A340" s="109"/>
      <c r="B340" s="104"/>
      <c r="C340" s="104"/>
      <c r="D340" s="105"/>
      <c r="E340" s="135"/>
      <c r="F340" s="107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6"/>
    </row>
    <row r="341" ht="15.75" customHeight="1">
      <c r="A341" s="109"/>
      <c r="B341" s="104"/>
      <c r="C341" s="104"/>
      <c r="D341" s="105"/>
      <c r="E341" s="135"/>
      <c r="F341" s="107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6"/>
    </row>
    <row r="342" ht="15.75" customHeight="1">
      <c r="A342" s="109"/>
      <c r="B342" s="104"/>
      <c r="C342" s="104"/>
      <c r="D342" s="105"/>
      <c r="E342" s="135"/>
      <c r="F342" s="107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6"/>
    </row>
    <row r="343" ht="15.75" customHeight="1">
      <c r="A343" s="109"/>
      <c r="B343" s="104"/>
      <c r="C343" s="104"/>
      <c r="D343" s="105"/>
      <c r="E343" s="135"/>
      <c r="F343" s="107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6"/>
    </row>
    <row r="344" ht="15.75" customHeight="1">
      <c r="A344" s="109"/>
      <c r="B344" s="104"/>
      <c r="C344" s="104"/>
      <c r="D344" s="105"/>
      <c r="E344" s="135"/>
      <c r="F344" s="107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6"/>
    </row>
    <row r="345" ht="15.75" customHeight="1">
      <c r="A345" s="109"/>
      <c r="B345" s="104"/>
      <c r="C345" s="104"/>
      <c r="D345" s="105"/>
      <c r="E345" s="135"/>
      <c r="F345" s="107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6"/>
    </row>
    <row r="346" ht="15.75" customHeight="1">
      <c r="A346" s="109"/>
      <c r="B346" s="104"/>
      <c r="C346" s="104"/>
      <c r="D346" s="105"/>
      <c r="E346" s="135"/>
      <c r="F346" s="107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6"/>
    </row>
    <row r="347" ht="15.75" customHeight="1">
      <c r="A347" s="109"/>
      <c r="B347" s="104"/>
      <c r="C347" s="104"/>
      <c r="D347" s="105"/>
      <c r="E347" s="135"/>
      <c r="F347" s="107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6"/>
    </row>
    <row r="348" ht="15.75" customHeight="1">
      <c r="A348" s="109"/>
      <c r="B348" s="104"/>
      <c r="C348" s="104"/>
      <c r="D348" s="105"/>
      <c r="E348" s="135"/>
      <c r="F348" s="107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6"/>
    </row>
    <row r="349" ht="15.75" customHeight="1">
      <c r="A349" s="109"/>
      <c r="B349" s="104"/>
      <c r="C349" s="104"/>
      <c r="D349" s="105"/>
      <c r="E349" s="135"/>
      <c r="F349" s="107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6"/>
    </row>
    <row r="350" ht="15.75" customHeight="1">
      <c r="A350" s="109"/>
      <c r="B350" s="104"/>
      <c r="C350" s="104"/>
      <c r="D350" s="105"/>
      <c r="E350" s="135"/>
      <c r="F350" s="107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6"/>
    </row>
    <row r="351" ht="15.75" customHeight="1">
      <c r="A351" s="109"/>
      <c r="B351" s="104"/>
      <c r="C351" s="104"/>
      <c r="D351" s="105"/>
      <c r="E351" s="135"/>
      <c r="F351" s="107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6"/>
    </row>
    <row r="352" ht="15.75" customHeight="1">
      <c r="A352" s="109"/>
      <c r="B352" s="104"/>
      <c r="C352" s="104"/>
      <c r="D352" s="105"/>
      <c r="E352" s="135"/>
      <c r="F352" s="107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6"/>
    </row>
    <row r="353" ht="15.75" customHeight="1">
      <c r="A353" s="109"/>
      <c r="B353" s="104"/>
      <c r="C353" s="104"/>
      <c r="D353" s="105"/>
      <c r="E353" s="135"/>
      <c r="F353" s="107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6"/>
    </row>
    <row r="354" ht="15.75" customHeight="1">
      <c r="A354" s="109"/>
      <c r="B354" s="104"/>
      <c r="C354" s="104"/>
      <c r="D354" s="105"/>
      <c r="E354" s="135"/>
      <c r="F354" s="107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6"/>
    </row>
    <row r="355" ht="15.75" customHeight="1">
      <c r="A355" s="109"/>
      <c r="B355" s="104"/>
      <c r="C355" s="104"/>
      <c r="D355" s="105"/>
      <c r="E355" s="135"/>
      <c r="F355" s="107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6"/>
    </row>
    <row r="356" ht="15.75" customHeight="1">
      <c r="A356" s="109"/>
      <c r="B356" s="104"/>
      <c r="C356" s="104"/>
      <c r="D356" s="105"/>
      <c r="E356" s="135"/>
      <c r="F356" s="107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6"/>
    </row>
    <row r="357" ht="15.75" customHeight="1">
      <c r="A357" s="109"/>
      <c r="B357" s="104"/>
      <c r="C357" s="104"/>
      <c r="D357" s="105"/>
      <c r="E357" s="135"/>
      <c r="F357" s="107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6"/>
    </row>
    <row r="358" ht="15.75" customHeight="1">
      <c r="A358" s="109"/>
      <c r="B358" s="104"/>
      <c r="C358" s="104"/>
      <c r="D358" s="105"/>
      <c r="E358" s="135"/>
      <c r="F358" s="107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6"/>
    </row>
    <row r="359" ht="15.75" customHeight="1">
      <c r="A359" s="109"/>
      <c r="B359" s="104"/>
      <c r="C359" s="104"/>
      <c r="D359" s="105"/>
      <c r="E359" s="135"/>
      <c r="F359" s="107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6"/>
    </row>
    <row r="360" ht="15.75" customHeight="1">
      <c r="A360" s="109"/>
      <c r="B360" s="104"/>
      <c r="C360" s="104"/>
      <c r="D360" s="105"/>
      <c r="E360" s="135"/>
      <c r="F360" s="107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6"/>
    </row>
    <row r="361" ht="15.75" customHeight="1">
      <c r="A361" s="109"/>
      <c r="B361" s="104"/>
      <c r="C361" s="104"/>
      <c r="D361" s="105"/>
      <c r="E361" s="135"/>
      <c r="F361" s="107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6"/>
    </row>
    <row r="362" ht="15.75" customHeight="1">
      <c r="A362" s="109"/>
      <c r="B362" s="104"/>
      <c r="C362" s="104"/>
      <c r="D362" s="105"/>
      <c r="E362" s="135"/>
      <c r="F362" s="107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6"/>
    </row>
    <row r="363" ht="15.75" customHeight="1">
      <c r="A363" s="109"/>
      <c r="B363" s="104"/>
      <c r="C363" s="104"/>
      <c r="D363" s="105"/>
      <c r="E363" s="135"/>
      <c r="F363" s="107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6"/>
    </row>
    <row r="364" ht="15.75" customHeight="1">
      <c r="A364" s="109"/>
      <c r="B364" s="104"/>
      <c r="C364" s="104"/>
      <c r="D364" s="105"/>
      <c r="E364" s="135"/>
      <c r="F364" s="107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6"/>
    </row>
    <row r="365" ht="15.75" customHeight="1">
      <c r="A365" s="109"/>
      <c r="B365" s="104"/>
      <c r="C365" s="104"/>
      <c r="D365" s="105"/>
      <c r="E365" s="135"/>
      <c r="F365" s="107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6"/>
    </row>
    <row r="366" ht="15.75" customHeight="1">
      <c r="A366" s="109"/>
      <c r="B366" s="104"/>
      <c r="C366" s="104"/>
      <c r="D366" s="105"/>
      <c r="E366" s="135"/>
      <c r="F366" s="107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6"/>
    </row>
    <row r="367" ht="15.75" customHeight="1">
      <c r="A367" s="109"/>
      <c r="B367" s="104"/>
      <c r="C367" s="104"/>
      <c r="D367" s="105"/>
      <c r="E367" s="135"/>
      <c r="F367" s="107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6"/>
    </row>
    <row r="368" ht="15.75" customHeight="1">
      <c r="A368" s="109"/>
      <c r="B368" s="104"/>
      <c r="C368" s="104"/>
      <c r="D368" s="105"/>
      <c r="E368" s="135"/>
      <c r="F368" s="107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6"/>
    </row>
    <row r="369" ht="15.75" customHeight="1">
      <c r="A369" s="109"/>
      <c r="B369" s="104"/>
      <c r="C369" s="104"/>
      <c r="D369" s="105"/>
      <c r="E369" s="135"/>
      <c r="F369" s="107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6"/>
    </row>
    <row r="370" ht="15.75" customHeight="1">
      <c r="A370" s="109"/>
      <c r="B370" s="104"/>
      <c r="C370" s="104"/>
      <c r="D370" s="105"/>
      <c r="E370" s="135"/>
      <c r="F370" s="107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6"/>
    </row>
    <row r="371" ht="15.75" customHeight="1">
      <c r="A371" s="109"/>
      <c r="B371" s="104"/>
      <c r="C371" s="104"/>
      <c r="D371" s="105"/>
      <c r="E371" s="135"/>
      <c r="F371" s="107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6"/>
    </row>
    <row r="372" ht="15.75" customHeight="1">
      <c r="A372" s="109"/>
      <c r="B372" s="104"/>
      <c r="C372" s="104"/>
      <c r="D372" s="105"/>
      <c r="E372" s="135"/>
      <c r="F372" s="107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6"/>
    </row>
    <row r="373" ht="15.75" customHeight="1">
      <c r="A373" s="109"/>
      <c r="B373" s="104"/>
      <c r="C373" s="104"/>
      <c r="D373" s="105"/>
      <c r="E373" s="135"/>
      <c r="F373" s="107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6"/>
    </row>
    <row r="374" ht="15.75" customHeight="1">
      <c r="A374" s="109"/>
      <c r="B374" s="104"/>
      <c r="C374" s="104"/>
      <c r="D374" s="105"/>
      <c r="E374" s="135"/>
      <c r="F374" s="107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6"/>
    </row>
    <row r="375" ht="15.75" customHeight="1">
      <c r="A375" s="109"/>
      <c r="B375" s="104"/>
      <c r="C375" s="104"/>
      <c r="D375" s="105"/>
      <c r="E375" s="135"/>
      <c r="F375" s="107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6"/>
    </row>
    <row r="376" ht="15.75" customHeight="1">
      <c r="A376" s="109"/>
      <c r="B376" s="104"/>
      <c r="C376" s="104"/>
      <c r="D376" s="105"/>
      <c r="E376" s="135"/>
      <c r="F376" s="107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6"/>
    </row>
    <row r="377" ht="15.75" customHeight="1">
      <c r="A377" s="109"/>
      <c r="B377" s="104"/>
      <c r="C377" s="104"/>
      <c r="D377" s="105"/>
      <c r="E377" s="135"/>
      <c r="F377" s="107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6"/>
    </row>
    <row r="378" ht="15.75" customHeight="1">
      <c r="A378" s="109"/>
      <c r="B378" s="104"/>
      <c r="C378" s="104"/>
      <c r="D378" s="105"/>
      <c r="E378" s="135"/>
      <c r="F378" s="107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6"/>
    </row>
    <row r="379" ht="15.75" customHeight="1">
      <c r="A379" s="109"/>
      <c r="B379" s="104"/>
      <c r="C379" s="104"/>
      <c r="D379" s="105"/>
      <c r="E379" s="135"/>
      <c r="F379" s="107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6"/>
    </row>
    <row r="380" ht="15.75" customHeight="1">
      <c r="A380" s="109"/>
      <c r="B380" s="104"/>
      <c r="C380" s="104"/>
      <c r="D380" s="105"/>
      <c r="E380" s="135"/>
      <c r="F380" s="107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6"/>
    </row>
    <row r="381" ht="15.75" customHeight="1">
      <c r="A381" s="109"/>
      <c r="B381" s="104"/>
      <c r="C381" s="104"/>
      <c r="D381" s="105"/>
      <c r="E381" s="135"/>
      <c r="F381" s="107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6"/>
    </row>
    <row r="382" ht="15.75" customHeight="1">
      <c r="A382" s="109"/>
      <c r="B382" s="104"/>
      <c r="C382" s="104"/>
      <c r="D382" s="105"/>
      <c r="E382" s="135"/>
      <c r="F382" s="107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6"/>
    </row>
    <row r="383" ht="15.75" customHeight="1">
      <c r="A383" s="109"/>
      <c r="B383" s="104"/>
      <c r="C383" s="104"/>
      <c r="D383" s="105"/>
      <c r="E383" s="135"/>
      <c r="F383" s="107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6"/>
    </row>
    <row r="384" ht="15.75" customHeight="1">
      <c r="A384" s="109"/>
      <c r="B384" s="104"/>
      <c r="C384" s="104"/>
      <c r="D384" s="105"/>
      <c r="E384" s="135"/>
      <c r="F384" s="107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6"/>
    </row>
    <row r="385" ht="15.75" customHeight="1">
      <c r="A385" s="109"/>
      <c r="B385" s="104"/>
      <c r="C385" s="104"/>
      <c r="D385" s="105"/>
      <c r="E385" s="135"/>
      <c r="F385" s="107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6"/>
    </row>
    <row r="386" ht="15.75" customHeight="1">
      <c r="A386" s="109"/>
      <c r="B386" s="104"/>
      <c r="C386" s="104"/>
      <c r="D386" s="105"/>
      <c r="E386" s="135"/>
      <c r="F386" s="107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6"/>
    </row>
    <row r="387" ht="15.75" customHeight="1">
      <c r="A387" s="109"/>
      <c r="B387" s="104"/>
      <c r="C387" s="104"/>
      <c r="D387" s="105"/>
      <c r="E387" s="135"/>
      <c r="F387" s="107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6"/>
    </row>
    <row r="388" ht="15.75" customHeight="1">
      <c r="A388" s="109"/>
      <c r="B388" s="104"/>
      <c r="C388" s="104"/>
      <c r="D388" s="105"/>
      <c r="E388" s="135"/>
      <c r="F388" s="107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6"/>
    </row>
    <row r="389" ht="15.75" customHeight="1">
      <c r="A389" s="109"/>
      <c r="B389" s="104"/>
      <c r="C389" s="104"/>
      <c r="D389" s="105"/>
      <c r="E389" s="135"/>
      <c r="F389" s="107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6"/>
    </row>
    <row r="390" ht="15.75" customHeight="1">
      <c r="A390" s="109"/>
      <c r="B390" s="104"/>
      <c r="C390" s="104"/>
      <c r="D390" s="105"/>
      <c r="E390" s="135"/>
      <c r="F390" s="107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6"/>
    </row>
    <row r="391" ht="15.75" customHeight="1">
      <c r="A391" s="109"/>
      <c r="B391" s="104"/>
      <c r="C391" s="104"/>
      <c r="D391" s="105"/>
      <c r="E391" s="135"/>
      <c r="F391" s="107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6"/>
    </row>
    <row r="392" ht="15.75" customHeight="1">
      <c r="A392" s="109"/>
      <c r="B392" s="104"/>
      <c r="C392" s="104"/>
      <c r="D392" s="105"/>
      <c r="E392" s="135"/>
      <c r="F392" s="107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6"/>
    </row>
    <row r="393" ht="15.75" customHeight="1">
      <c r="A393" s="109"/>
      <c r="B393" s="104"/>
      <c r="C393" s="104"/>
      <c r="D393" s="105"/>
      <c r="E393" s="135"/>
      <c r="F393" s="107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6"/>
    </row>
    <row r="394" ht="15.75" customHeight="1">
      <c r="A394" s="109"/>
      <c r="B394" s="104"/>
      <c r="C394" s="104"/>
      <c r="D394" s="105"/>
      <c r="E394" s="135"/>
      <c r="F394" s="107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6"/>
    </row>
    <row r="395" ht="15.75" customHeight="1">
      <c r="A395" s="109"/>
      <c r="B395" s="104"/>
      <c r="C395" s="104"/>
      <c r="D395" s="105"/>
      <c r="E395" s="135"/>
      <c r="F395" s="107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6"/>
    </row>
    <row r="396" ht="15.75" customHeight="1">
      <c r="A396" s="109"/>
      <c r="B396" s="104"/>
      <c r="C396" s="104"/>
      <c r="D396" s="105"/>
      <c r="E396" s="135"/>
      <c r="F396" s="107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6"/>
    </row>
    <row r="397" ht="15.75" customHeight="1">
      <c r="A397" s="109"/>
      <c r="B397" s="104"/>
      <c r="C397" s="104"/>
      <c r="D397" s="105"/>
      <c r="E397" s="135"/>
      <c r="F397" s="107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6"/>
    </row>
    <row r="398" ht="15.75" customHeight="1">
      <c r="A398" s="109"/>
      <c r="B398" s="104"/>
      <c r="C398" s="104"/>
      <c r="D398" s="105"/>
      <c r="E398" s="135"/>
      <c r="F398" s="107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6"/>
    </row>
    <row r="399" ht="15.75" customHeight="1">
      <c r="A399" s="109"/>
      <c r="B399" s="104"/>
      <c r="C399" s="104"/>
      <c r="D399" s="105"/>
      <c r="E399" s="135"/>
      <c r="F399" s="107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6"/>
    </row>
    <row r="400" ht="15.75" customHeight="1">
      <c r="A400" s="109"/>
      <c r="B400" s="104"/>
      <c r="C400" s="104"/>
      <c r="D400" s="105"/>
      <c r="E400" s="135"/>
      <c r="F400" s="107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6"/>
    </row>
    <row r="401" ht="15.75" customHeight="1">
      <c r="A401" s="109"/>
      <c r="B401" s="104"/>
      <c r="C401" s="104"/>
      <c r="D401" s="105"/>
      <c r="E401" s="135"/>
      <c r="F401" s="107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6"/>
    </row>
    <row r="402" ht="15.75" customHeight="1">
      <c r="A402" s="109"/>
      <c r="B402" s="104"/>
      <c r="C402" s="104"/>
      <c r="D402" s="105"/>
      <c r="E402" s="135"/>
      <c r="F402" s="107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6"/>
    </row>
    <row r="403" ht="15.75" customHeight="1">
      <c r="A403" s="109"/>
      <c r="B403" s="104"/>
      <c r="C403" s="104"/>
      <c r="D403" s="105"/>
      <c r="E403" s="135"/>
      <c r="F403" s="107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6"/>
    </row>
    <row r="404" ht="15.75" customHeight="1">
      <c r="A404" s="109"/>
      <c r="B404" s="104"/>
      <c r="C404" s="104"/>
      <c r="D404" s="105"/>
      <c r="E404" s="135"/>
      <c r="F404" s="107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6"/>
    </row>
    <row r="405" ht="15.75" customHeight="1">
      <c r="A405" s="109"/>
      <c r="B405" s="104"/>
      <c r="C405" s="104"/>
      <c r="D405" s="105"/>
      <c r="E405" s="135"/>
      <c r="F405" s="107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6"/>
    </row>
    <row r="406" ht="15.75" customHeight="1">
      <c r="A406" s="109"/>
      <c r="B406" s="104"/>
      <c r="C406" s="104"/>
      <c r="D406" s="105"/>
      <c r="E406" s="135"/>
      <c r="F406" s="107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6"/>
    </row>
    <row r="407" ht="15.75" customHeight="1">
      <c r="A407" s="109"/>
      <c r="B407" s="104"/>
      <c r="C407" s="104"/>
      <c r="D407" s="105"/>
      <c r="E407" s="135"/>
      <c r="F407" s="107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6"/>
    </row>
    <row r="408" ht="15.75" customHeight="1">
      <c r="A408" s="109"/>
      <c r="B408" s="104"/>
      <c r="C408" s="104"/>
      <c r="D408" s="105"/>
      <c r="E408" s="135"/>
      <c r="F408" s="107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6"/>
    </row>
    <row r="409" ht="15.75" customHeight="1">
      <c r="A409" s="109"/>
      <c r="B409" s="104"/>
      <c r="C409" s="104"/>
      <c r="D409" s="105"/>
      <c r="E409" s="135"/>
      <c r="F409" s="107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6"/>
    </row>
    <row r="410" ht="15.75" customHeight="1">
      <c r="A410" s="109"/>
      <c r="B410" s="104"/>
      <c r="C410" s="104"/>
      <c r="D410" s="105"/>
      <c r="E410" s="135"/>
      <c r="F410" s="107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6"/>
    </row>
    <row r="411" ht="15.75" customHeight="1">
      <c r="A411" s="109"/>
      <c r="B411" s="104"/>
      <c r="C411" s="104"/>
      <c r="D411" s="105"/>
      <c r="E411" s="135"/>
      <c r="F411" s="107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6"/>
    </row>
    <row r="412" ht="15.75" customHeight="1">
      <c r="A412" s="109"/>
      <c r="B412" s="104"/>
      <c r="C412" s="104"/>
      <c r="D412" s="105"/>
      <c r="E412" s="135"/>
      <c r="F412" s="107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6"/>
    </row>
    <row r="413" ht="15.75" customHeight="1">
      <c r="A413" s="109"/>
      <c r="B413" s="104"/>
      <c r="C413" s="104"/>
      <c r="D413" s="105"/>
      <c r="E413" s="135"/>
      <c r="F413" s="107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6"/>
    </row>
    <row r="414" ht="15.75" customHeight="1">
      <c r="A414" s="109"/>
      <c r="B414" s="104"/>
      <c r="C414" s="104"/>
      <c r="D414" s="105"/>
      <c r="E414" s="135"/>
      <c r="F414" s="107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6"/>
    </row>
    <row r="415" ht="15.75" customHeight="1">
      <c r="A415" s="109"/>
      <c r="B415" s="104"/>
      <c r="C415" s="104"/>
      <c r="D415" s="105"/>
      <c r="E415" s="135"/>
      <c r="F415" s="107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6"/>
    </row>
    <row r="416" ht="15.75" customHeight="1">
      <c r="A416" s="109"/>
      <c r="B416" s="104"/>
      <c r="C416" s="104"/>
      <c r="D416" s="105"/>
      <c r="E416" s="135"/>
      <c r="F416" s="107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6"/>
    </row>
    <row r="417" ht="15.75" customHeight="1">
      <c r="A417" s="109"/>
      <c r="B417" s="104"/>
      <c r="C417" s="104"/>
      <c r="D417" s="105"/>
      <c r="E417" s="135"/>
      <c r="F417" s="107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6"/>
    </row>
    <row r="418" ht="15.75" customHeight="1">
      <c r="A418" s="109"/>
      <c r="B418" s="104"/>
      <c r="C418" s="104"/>
      <c r="D418" s="105"/>
      <c r="E418" s="135"/>
      <c r="F418" s="107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6"/>
    </row>
    <row r="419" ht="15.75" customHeight="1">
      <c r="A419" s="109"/>
      <c r="B419" s="104"/>
      <c r="C419" s="104"/>
      <c r="D419" s="105"/>
      <c r="E419" s="135"/>
      <c r="F419" s="107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6"/>
    </row>
    <row r="420" ht="15.75" customHeight="1">
      <c r="A420" s="109"/>
      <c r="B420" s="104"/>
      <c r="C420" s="104"/>
      <c r="D420" s="105"/>
      <c r="E420" s="135"/>
      <c r="F420" s="107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6"/>
    </row>
    <row r="421" ht="15.75" customHeight="1">
      <c r="A421" s="109"/>
      <c r="B421" s="104"/>
      <c r="C421" s="104"/>
      <c r="D421" s="105"/>
      <c r="E421" s="135"/>
      <c r="F421" s="107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6"/>
    </row>
    <row r="422" ht="15.75" customHeight="1">
      <c r="A422" s="109"/>
      <c r="B422" s="104"/>
      <c r="C422" s="104"/>
      <c r="D422" s="105"/>
      <c r="E422" s="135"/>
      <c r="F422" s="107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6"/>
    </row>
    <row r="423" ht="15.75" customHeight="1">
      <c r="A423" s="109"/>
      <c r="B423" s="104"/>
      <c r="C423" s="104"/>
      <c r="D423" s="105"/>
      <c r="E423" s="135"/>
      <c r="F423" s="107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6"/>
    </row>
    <row r="424" ht="15.75" customHeight="1">
      <c r="A424" s="109"/>
      <c r="B424" s="104"/>
      <c r="C424" s="104"/>
      <c r="D424" s="105"/>
      <c r="E424" s="135"/>
      <c r="F424" s="107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6"/>
    </row>
    <row r="425" ht="15.75" customHeight="1">
      <c r="A425" s="109"/>
      <c r="B425" s="104"/>
      <c r="C425" s="104"/>
      <c r="D425" s="105"/>
      <c r="E425" s="135"/>
      <c r="F425" s="107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6"/>
    </row>
    <row r="426" ht="15.75" customHeight="1">
      <c r="A426" s="109"/>
      <c r="B426" s="104"/>
      <c r="C426" s="104"/>
      <c r="D426" s="105"/>
      <c r="E426" s="135"/>
      <c r="F426" s="107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6"/>
    </row>
    <row r="427" ht="15.75" customHeight="1">
      <c r="A427" s="109"/>
      <c r="B427" s="104"/>
      <c r="C427" s="104"/>
      <c r="D427" s="105"/>
      <c r="E427" s="135"/>
      <c r="F427" s="107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6"/>
    </row>
    <row r="428" ht="15.75" customHeight="1">
      <c r="A428" s="109"/>
      <c r="B428" s="104"/>
      <c r="C428" s="104"/>
      <c r="D428" s="105"/>
      <c r="E428" s="135"/>
      <c r="F428" s="107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6"/>
    </row>
    <row r="429" ht="15.75" customHeight="1">
      <c r="A429" s="109"/>
      <c r="B429" s="104"/>
      <c r="C429" s="104"/>
      <c r="D429" s="105"/>
      <c r="E429" s="135"/>
      <c r="F429" s="107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6"/>
    </row>
    <row r="430" ht="15.75" customHeight="1">
      <c r="A430" s="109"/>
      <c r="B430" s="104"/>
      <c r="C430" s="104"/>
      <c r="D430" s="105"/>
      <c r="E430" s="135"/>
      <c r="F430" s="107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6"/>
    </row>
    <row r="431" ht="15.75" customHeight="1">
      <c r="A431" s="109"/>
      <c r="B431" s="104"/>
      <c r="C431" s="104"/>
      <c r="D431" s="105"/>
      <c r="E431" s="135"/>
      <c r="F431" s="107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6"/>
    </row>
    <row r="432" ht="15.75" customHeight="1">
      <c r="A432" s="109"/>
      <c r="B432" s="104"/>
      <c r="C432" s="104"/>
      <c r="D432" s="105"/>
      <c r="E432" s="135"/>
      <c r="F432" s="107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6"/>
    </row>
    <row r="433" ht="15.75" customHeight="1">
      <c r="A433" s="109"/>
      <c r="B433" s="104"/>
      <c r="C433" s="104"/>
      <c r="D433" s="105"/>
      <c r="E433" s="135"/>
      <c r="F433" s="107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6"/>
    </row>
    <row r="434" ht="15.75" customHeight="1">
      <c r="A434" s="109"/>
      <c r="B434" s="104"/>
      <c r="C434" s="104"/>
      <c r="D434" s="105"/>
      <c r="E434" s="135"/>
      <c r="F434" s="107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6"/>
    </row>
    <row r="435" ht="15.75" customHeight="1">
      <c r="A435" s="109"/>
      <c r="B435" s="104"/>
      <c r="C435" s="104"/>
      <c r="D435" s="105"/>
      <c r="E435" s="135"/>
      <c r="F435" s="107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6"/>
    </row>
    <row r="436" ht="15.75" customHeight="1">
      <c r="A436" s="109"/>
      <c r="B436" s="104"/>
      <c r="C436" s="104"/>
      <c r="D436" s="105"/>
      <c r="E436" s="135"/>
      <c r="F436" s="107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6"/>
    </row>
    <row r="437" ht="15.75" customHeight="1">
      <c r="A437" s="109"/>
      <c r="B437" s="104"/>
      <c r="C437" s="104"/>
      <c r="D437" s="105"/>
      <c r="E437" s="135"/>
      <c r="F437" s="107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6"/>
    </row>
    <row r="438" ht="15.75" customHeight="1">
      <c r="A438" s="109"/>
      <c r="B438" s="104"/>
      <c r="C438" s="104"/>
      <c r="D438" s="105"/>
      <c r="E438" s="135"/>
      <c r="F438" s="107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6"/>
    </row>
    <row r="439" ht="15.75" customHeight="1">
      <c r="A439" s="109"/>
      <c r="B439" s="104"/>
      <c r="C439" s="104"/>
      <c r="D439" s="105"/>
      <c r="E439" s="135"/>
      <c r="F439" s="107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6"/>
    </row>
    <row r="440" ht="15.75" customHeight="1">
      <c r="A440" s="109"/>
      <c r="B440" s="104"/>
      <c r="C440" s="104"/>
      <c r="D440" s="105"/>
      <c r="E440" s="135"/>
      <c r="F440" s="107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6"/>
    </row>
    <row r="441" ht="15.75" customHeight="1">
      <c r="A441" s="109"/>
      <c r="B441" s="104"/>
      <c r="C441" s="104"/>
      <c r="D441" s="105"/>
      <c r="E441" s="135"/>
      <c r="F441" s="107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6"/>
    </row>
    <row r="442" ht="15.75" customHeight="1">
      <c r="A442" s="109"/>
      <c r="B442" s="104"/>
      <c r="C442" s="104"/>
      <c r="D442" s="105"/>
      <c r="E442" s="135"/>
      <c r="F442" s="107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6"/>
    </row>
    <row r="443" ht="15.75" customHeight="1">
      <c r="A443" s="109"/>
      <c r="B443" s="104"/>
      <c r="C443" s="104"/>
      <c r="D443" s="105"/>
      <c r="E443" s="135"/>
      <c r="F443" s="107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6"/>
    </row>
    <row r="444" ht="15.75" customHeight="1">
      <c r="A444" s="109"/>
      <c r="B444" s="104"/>
      <c r="C444" s="104"/>
      <c r="D444" s="105"/>
      <c r="E444" s="135"/>
      <c r="F444" s="107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6"/>
    </row>
    <row r="445" ht="15.75" customHeight="1">
      <c r="A445" s="109"/>
      <c r="B445" s="104"/>
      <c r="C445" s="104"/>
      <c r="D445" s="105"/>
      <c r="E445" s="135"/>
      <c r="F445" s="107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6"/>
    </row>
    <row r="446" ht="15.75" customHeight="1">
      <c r="A446" s="109"/>
      <c r="B446" s="104"/>
      <c r="C446" s="104"/>
      <c r="D446" s="105"/>
      <c r="E446" s="135"/>
      <c r="F446" s="107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6"/>
    </row>
    <row r="447" ht="15.75" customHeight="1">
      <c r="A447" s="109"/>
      <c r="B447" s="104"/>
      <c r="C447" s="104"/>
      <c r="D447" s="105"/>
      <c r="E447" s="135"/>
      <c r="F447" s="107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6"/>
    </row>
    <row r="448" ht="15.75" customHeight="1">
      <c r="A448" s="109"/>
      <c r="B448" s="104"/>
      <c r="C448" s="104"/>
      <c r="D448" s="105"/>
      <c r="E448" s="135"/>
      <c r="F448" s="107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6"/>
    </row>
    <row r="449" ht="15.75" customHeight="1">
      <c r="A449" s="109"/>
      <c r="B449" s="104"/>
      <c r="C449" s="104"/>
      <c r="D449" s="105"/>
      <c r="E449" s="135"/>
      <c r="F449" s="107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6"/>
    </row>
    <row r="450" ht="15.75" customHeight="1">
      <c r="A450" s="109"/>
      <c r="B450" s="104"/>
      <c r="C450" s="104"/>
      <c r="D450" s="105"/>
      <c r="E450" s="135"/>
      <c r="F450" s="107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6"/>
    </row>
    <row r="451" ht="15.75" customHeight="1">
      <c r="A451" s="109"/>
      <c r="B451" s="104"/>
      <c r="C451" s="104"/>
      <c r="D451" s="105"/>
      <c r="E451" s="135"/>
      <c r="F451" s="107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6"/>
    </row>
    <row r="452" ht="15.75" customHeight="1">
      <c r="A452" s="109"/>
      <c r="B452" s="104"/>
      <c r="C452" s="104"/>
      <c r="D452" s="105"/>
      <c r="E452" s="135"/>
      <c r="F452" s="107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6"/>
    </row>
    <row r="453" ht="15.75" customHeight="1">
      <c r="A453" s="109"/>
      <c r="B453" s="104"/>
      <c r="C453" s="104"/>
      <c r="D453" s="105"/>
      <c r="E453" s="135"/>
      <c r="F453" s="107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6"/>
    </row>
    <row r="454" ht="15.75" customHeight="1">
      <c r="A454" s="109"/>
      <c r="B454" s="104"/>
      <c r="C454" s="104"/>
      <c r="D454" s="105"/>
      <c r="E454" s="135"/>
      <c r="F454" s="107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6"/>
    </row>
    <row r="455" ht="15.75" customHeight="1">
      <c r="A455" s="109"/>
      <c r="B455" s="104"/>
      <c r="C455" s="104"/>
      <c r="D455" s="105"/>
      <c r="E455" s="135"/>
      <c r="F455" s="107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6"/>
    </row>
    <row r="456" ht="15.75" customHeight="1">
      <c r="A456" s="109"/>
      <c r="B456" s="104"/>
      <c r="C456" s="104"/>
      <c r="D456" s="105"/>
      <c r="E456" s="135"/>
      <c r="F456" s="107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6"/>
    </row>
    <row r="457" ht="15.75" customHeight="1">
      <c r="A457" s="109"/>
      <c r="B457" s="104"/>
      <c r="C457" s="104"/>
      <c r="D457" s="105"/>
      <c r="E457" s="135"/>
      <c r="F457" s="107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6"/>
    </row>
    <row r="458" ht="15.75" customHeight="1">
      <c r="A458" s="109"/>
      <c r="B458" s="104"/>
      <c r="C458" s="104"/>
      <c r="D458" s="105"/>
      <c r="E458" s="135"/>
      <c r="F458" s="107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6"/>
    </row>
    <row r="459" ht="15.75" customHeight="1">
      <c r="A459" s="109"/>
      <c r="B459" s="104"/>
      <c r="C459" s="104"/>
      <c r="D459" s="105"/>
      <c r="E459" s="135"/>
      <c r="F459" s="107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6"/>
    </row>
    <row r="460" ht="15.75" customHeight="1">
      <c r="A460" s="109"/>
      <c r="B460" s="104"/>
      <c r="C460" s="104"/>
      <c r="D460" s="105"/>
      <c r="E460" s="135"/>
      <c r="F460" s="107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6"/>
    </row>
    <row r="461" ht="15.75" customHeight="1">
      <c r="A461" s="109"/>
      <c r="B461" s="104"/>
      <c r="C461" s="104"/>
      <c r="D461" s="105"/>
      <c r="E461" s="135"/>
      <c r="F461" s="107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6"/>
    </row>
    <row r="462" ht="15.75" customHeight="1">
      <c r="A462" s="109"/>
      <c r="B462" s="104"/>
      <c r="C462" s="104"/>
      <c r="D462" s="105"/>
      <c r="E462" s="135"/>
      <c r="F462" s="107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6"/>
    </row>
    <row r="463" ht="15.75" customHeight="1">
      <c r="A463" s="109"/>
      <c r="B463" s="104"/>
      <c r="C463" s="104"/>
      <c r="D463" s="105"/>
      <c r="E463" s="135"/>
      <c r="F463" s="107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6"/>
    </row>
    <row r="464" ht="15.75" customHeight="1">
      <c r="A464" s="109"/>
      <c r="B464" s="104"/>
      <c r="C464" s="104"/>
      <c r="D464" s="105"/>
      <c r="E464" s="135"/>
      <c r="F464" s="107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6"/>
    </row>
    <row r="465" ht="15.75" customHeight="1">
      <c r="A465" s="109"/>
      <c r="B465" s="104"/>
      <c r="C465" s="104"/>
      <c r="D465" s="105"/>
      <c r="E465" s="135"/>
      <c r="F465" s="107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6"/>
    </row>
    <row r="466" ht="15.75" customHeight="1">
      <c r="A466" s="109"/>
      <c r="B466" s="104"/>
      <c r="C466" s="104"/>
      <c r="D466" s="105"/>
      <c r="E466" s="135"/>
      <c r="F466" s="107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6"/>
    </row>
    <row r="467" ht="15.75" customHeight="1">
      <c r="A467" s="109"/>
      <c r="B467" s="104"/>
      <c r="C467" s="104"/>
      <c r="D467" s="105"/>
      <c r="E467" s="135"/>
      <c r="F467" s="107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6"/>
    </row>
    <row r="468" ht="15.75" customHeight="1">
      <c r="A468" s="109"/>
      <c r="B468" s="104"/>
      <c r="C468" s="104"/>
      <c r="D468" s="105"/>
      <c r="E468" s="135"/>
      <c r="F468" s="107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6"/>
    </row>
    <row r="469" ht="15.75" customHeight="1">
      <c r="A469" s="109"/>
      <c r="B469" s="104"/>
      <c r="C469" s="104"/>
      <c r="D469" s="105"/>
      <c r="E469" s="135"/>
      <c r="F469" s="107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6"/>
    </row>
    <row r="470" ht="15.75" customHeight="1">
      <c r="A470" s="109"/>
      <c r="B470" s="104"/>
      <c r="C470" s="104"/>
      <c r="D470" s="105"/>
      <c r="E470" s="135"/>
      <c r="F470" s="107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6"/>
    </row>
    <row r="471" ht="15.75" customHeight="1">
      <c r="A471" s="109"/>
      <c r="B471" s="104"/>
      <c r="C471" s="104"/>
      <c r="D471" s="105"/>
      <c r="E471" s="135"/>
      <c r="F471" s="107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6"/>
    </row>
    <row r="472" ht="15.75" customHeight="1">
      <c r="A472" s="109"/>
      <c r="B472" s="104"/>
      <c r="C472" s="104"/>
      <c r="D472" s="105"/>
      <c r="E472" s="135"/>
      <c r="F472" s="107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6"/>
    </row>
    <row r="473" ht="15.75" customHeight="1">
      <c r="A473" s="109"/>
      <c r="B473" s="104"/>
      <c r="C473" s="104"/>
      <c r="D473" s="105"/>
      <c r="E473" s="135"/>
      <c r="F473" s="107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6"/>
    </row>
    <row r="474" ht="15.75" customHeight="1">
      <c r="A474" s="109"/>
      <c r="B474" s="104"/>
      <c r="C474" s="104"/>
      <c r="D474" s="105"/>
      <c r="E474" s="135"/>
      <c r="F474" s="107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6"/>
    </row>
    <row r="475" ht="15.75" customHeight="1">
      <c r="A475" s="109"/>
      <c r="B475" s="104"/>
      <c r="C475" s="104"/>
      <c r="D475" s="105"/>
      <c r="E475" s="135"/>
      <c r="F475" s="107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6"/>
    </row>
    <row r="476" ht="15.75" customHeight="1">
      <c r="A476" s="109"/>
      <c r="B476" s="104"/>
      <c r="C476" s="104"/>
      <c r="D476" s="105"/>
      <c r="E476" s="135"/>
      <c r="F476" s="107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6"/>
    </row>
    <row r="477" ht="15.75" customHeight="1">
      <c r="A477" s="109"/>
      <c r="B477" s="104"/>
      <c r="C477" s="104"/>
      <c r="D477" s="105"/>
      <c r="E477" s="135"/>
      <c r="F477" s="107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6"/>
    </row>
    <row r="478" ht="15.75" customHeight="1">
      <c r="A478" s="109"/>
      <c r="B478" s="104"/>
      <c r="C478" s="104"/>
      <c r="D478" s="105"/>
      <c r="E478" s="135"/>
      <c r="F478" s="107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6"/>
    </row>
    <row r="479" ht="15.75" customHeight="1">
      <c r="A479" s="109"/>
      <c r="B479" s="104"/>
      <c r="C479" s="104"/>
      <c r="D479" s="105"/>
      <c r="E479" s="135"/>
      <c r="F479" s="107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6"/>
    </row>
    <row r="480" ht="15.75" customHeight="1">
      <c r="A480" s="109"/>
      <c r="B480" s="104"/>
      <c r="C480" s="104"/>
      <c r="D480" s="105"/>
      <c r="E480" s="135"/>
      <c r="F480" s="107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6"/>
    </row>
    <row r="481" ht="15.75" customHeight="1">
      <c r="A481" s="109"/>
      <c r="B481" s="104"/>
      <c r="C481" s="104"/>
      <c r="D481" s="105"/>
      <c r="E481" s="135"/>
      <c r="F481" s="107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6"/>
    </row>
    <row r="482" ht="15.75" customHeight="1">
      <c r="A482" s="109"/>
      <c r="B482" s="104"/>
      <c r="C482" s="104"/>
      <c r="D482" s="105"/>
      <c r="E482" s="135"/>
      <c r="F482" s="107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6"/>
    </row>
    <row r="483" ht="15.75" customHeight="1">
      <c r="A483" s="109"/>
      <c r="B483" s="104"/>
      <c r="C483" s="104"/>
      <c r="D483" s="105"/>
      <c r="E483" s="135"/>
      <c r="F483" s="107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6"/>
    </row>
    <row r="484" ht="15.75" customHeight="1">
      <c r="A484" s="109"/>
      <c r="B484" s="104"/>
      <c r="C484" s="104"/>
      <c r="D484" s="105"/>
      <c r="E484" s="135"/>
      <c r="F484" s="107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6"/>
    </row>
    <row r="485" ht="15.75" customHeight="1">
      <c r="A485" s="109"/>
      <c r="B485" s="104"/>
      <c r="C485" s="104"/>
      <c r="D485" s="105"/>
      <c r="E485" s="135"/>
      <c r="F485" s="107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6"/>
    </row>
    <row r="486" ht="15.75" customHeight="1">
      <c r="A486" s="109"/>
      <c r="B486" s="104"/>
      <c r="C486" s="104"/>
      <c r="D486" s="105"/>
      <c r="E486" s="135"/>
      <c r="F486" s="107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6"/>
    </row>
    <row r="487" ht="15.75" customHeight="1">
      <c r="A487" s="109"/>
      <c r="B487" s="104"/>
      <c r="C487" s="104"/>
      <c r="D487" s="105"/>
      <c r="E487" s="135"/>
      <c r="F487" s="107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6"/>
    </row>
    <row r="488" ht="15.75" customHeight="1">
      <c r="A488" s="109"/>
      <c r="B488" s="104"/>
      <c r="C488" s="104"/>
      <c r="D488" s="105"/>
      <c r="E488" s="135"/>
      <c r="F488" s="107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6"/>
    </row>
    <row r="489" ht="15.75" customHeight="1">
      <c r="A489" s="109"/>
      <c r="B489" s="104"/>
      <c r="C489" s="104"/>
      <c r="D489" s="105"/>
      <c r="E489" s="135"/>
      <c r="F489" s="107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6"/>
    </row>
    <row r="490" ht="15.75" customHeight="1">
      <c r="A490" s="109"/>
      <c r="B490" s="104"/>
      <c r="C490" s="104"/>
      <c r="D490" s="105"/>
      <c r="E490" s="135"/>
      <c r="F490" s="107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6"/>
    </row>
    <row r="491" ht="15.75" customHeight="1">
      <c r="A491" s="109"/>
      <c r="B491" s="104"/>
      <c r="C491" s="104"/>
      <c r="D491" s="105"/>
      <c r="E491" s="135"/>
      <c r="F491" s="107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6"/>
    </row>
    <row r="492" ht="15.75" customHeight="1">
      <c r="A492" s="109"/>
      <c r="B492" s="104"/>
      <c r="C492" s="104"/>
      <c r="D492" s="105"/>
      <c r="E492" s="135"/>
      <c r="F492" s="107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6"/>
    </row>
    <row r="493" ht="15.75" customHeight="1">
      <c r="A493" s="109"/>
      <c r="B493" s="104"/>
      <c r="C493" s="104"/>
      <c r="D493" s="105"/>
      <c r="E493" s="135"/>
      <c r="F493" s="107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6"/>
    </row>
    <row r="494" ht="15.75" customHeight="1">
      <c r="A494" s="109"/>
      <c r="B494" s="104"/>
      <c r="C494" s="104"/>
      <c r="D494" s="105"/>
      <c r="E494" s="135"/>
      <c r="F494" s="107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6"/>
    </row>
    <row r="495" ht="15.75" customHeight="1">
      <c r="A495" s="109"/>
      <c r="B495" s="104"/>
      <c r="C495" s="104"/>
      <c r="D495" s="105"/>
      <c r="E495" s="135"/>
      <c r="F495" s="107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6"/>
    </row>
    <row r="496" ht="15.75" customHeight="1">
      <c r="A496" s="109"/>
      <c r="B496" s="104"/>
      <c r="C496" s="104"/>
      <c r="D496" s="105"/>
      <c r="E496" s="135"/>
      <c r="F496" s="107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6"/>
    </row>
    <row r="497" ht="15.75" customHeight="1">
      <c r="A497" s="109"/>
      <c r="B497" s="104"/>
      <c r="C497" s="104"/>
      <c r="D497" s="105"/>
      <c r="E497" s="135"/>
      <c r="F497" s="107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6"/>
    </row>
    <row r="498" ht="15.75" customHeight="1">
      <c r="A498" s="109"/>
      <c r="B498" s="104"/>
      <c r="C498" s="104"/>
      <c r="D498" s="105"/>
      <c r="E498" s="135"/>
      <c r="F498" s="107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6"/>
    </row>
    <row r="499" ht="15.75" customHeight="1">
      <c r="A499" s="109"/>
      <c r="B499" s="104"/>
      <c r="C499" s="104"/>
      <c r="D499" s="105"/>
      <c r="E499" s="135"/>
      <c r="F499" s="107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6"/>
    </row>
    <row r="500" ht="15.75" customHeight="1">
      <c r="A500" s="109"/>
      <c r="B500" s="104"/>
      <c r="C500" s="104"/>
      <c r="D500" s="105"/>
      <c r="E500" s="135"/>
      <c r="F500" s="107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6"/>
    </row>
    <row r="501" ht="15.75" customHeight="1">
      <c r="A501" s="109"/>
      <c r="B501" s="104"/>
      <c r="C501" s="104"/>
      <c r="D501" s="105"/>
      <c r="E501" s="135"/>
      <c r="F501" s="107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6"/>
    </row>
    <row r="502" ht="15.75" customHeight="1">
      <c r="A502" s="109"/>
      <c r="B502" s="104"/>
      <c r="C502" s="104"/>
      <c r="D502" s="105"/>
      <c r="E502" s="135"/>
      <c r="F502" s="107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6"/>
    </row>
    <row r="503" ht="15.75" customHeight="1">
      <c r="A503" s="109"/>
      <c r="B503" s="104"/>
      <c r="C503" s="104"/>
      <c r="D503" s="105"/>
      <c r="E503" s="135"/>
      <c r="F503" s="107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6"/>
    </row>
    <row r="504" ht="15.75" customHeight="1">
      <c r="A504" s="109"/>
      <c r="B504" s="104"/>
      <c r="C504" s="104"/>
      <c r="D504" s="105"/>
      <c r="E504" s="135"/>
      <c r="F504" s="107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6"/>
    </row>
    <row r="505" ht="15.75" customHeight="1">
      <c r="A505" s="109"/>
      <c r="B505" s="104"/>
      <c r="C505" s="104"/>
      <c r="D505" s="105"/>
      <c r="E505" s="135"/>
      <c r="F505" s="107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6"/>
    </row>
    <row r="506" ht="15.75" customHeight="1">
      <c r="A506" s="109"/>
      <c r="B506" s="104"/>
      <c r="C506" s="104"/>
      <c r="D506" s="105"/>
      <c r="E506" s="135"/>
      <c r="F506" s="107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6"/>
    </row>
    <row r="507" ht="15.75" customHeight="1">
      <c r="A507" s="109"/>
      <c r="B507" s="104"/>
      <c r="C507" s="104"/>
      <c r="D507" s="105"/>
      <c r="E507" s="135"/>
      <c r="F507" s="107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6"/>
    </row>
    <row r="508" ht="15.75" customHeight="1">
      <c r="A508" s="109"/>
      <c r="B508" s="104"/>
      <c r="C508" s="104"/>
      <c r="D508" s="105"/>
      <c r="E508" s="135"/>
      <c r="F508" s="107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6"/>
    </row>
    <row r="509" ht="15.75" customHeight="1">
      <c r="A509" s="109"/>
      <c r="B509" s="104"/>
      <c r="C509" s="104"/>
      <c r="D509" s="105"/>
      <c r="E509" s="135"/>
      <c r="F509" s="107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6"/>
    </row>
    <row r="510" ht="15.75" customHeight="1">
      <c r="A510" s="109"/>
      <c r="B510" s="104"/>
      <c r="C510" s="104"/>
      <c r="D510" s="105"/>
      <c r="E510" s="135"/>
      <c r="F510" s="107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6"/>
    </row>
    <row r="511" ht="15.75" customHeight="1">
      <c r="A511" s="109"/>
      <c r="B511" s="104"/>
      <c r="C511" s="104"/>
      <c r="D511" s="105"/>
      <c r="E511" s="135"/>
      <c r="F511" s="107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6"/>
    </row>
    <row r="512" ht="15.75" customHeight="1">
      <c r="A512" s="109"/>
      <c r="B512" s="104"/>
      <c r="C512" s="104"/>
      <c r="D512" s="105"/>
      <c r="E512" s="135"/>
      <c r="F512" s="107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6"/>
    </row>
    <row r="513" ht="15.75" customHeight="1">
      <c r="A513" s="109"/>
      <c r="B513" s="104"/>
      <c r="C513" s="104"/>
      <c r="D513" s="105"/>
      <c r="E513" s="135"/>
      <c r="F513" s="107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6"/>
    </row>
    <row r="514" ht="15.75" customHeight="1">
      <c r="A514" s="109"/>
      <c r="B514" s="104"/>
      <c r="C514" s="104"/>
      <c r="D514" s="105"/>
      <c r="E514" s="135"/>
      <c r="F514" s="107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6"/>
    </row>
    <row r="515" ht="15.75" customHeight="1">
      <c r="A515" s="109"/>
      <c r="B515" s="104"/>
      <c r="C515" s="104"/>
      <c r="D515" s="105"/>
      <c r="E515" s="135"/>
      <c r="F515" s="107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6"/>
    </row>
    <row r="516" ht="15.75" customHeight="1">
      <c r="A516" s="109"/>
      <c r="B516" s="104"/>
      <c r="C516" s="104"/>
      <c r="D516" s="105"/>
      <c r="E516" s="135"/>
      <c r="F516" s="107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6"/>
    </row>
    <row r="517" ht="15.75" customHeight="1">
      <c r="A517" s="109"/>
      <c r="B517" s="104"/>
      <c r="C517" s="104"/>
      <c r="D517" s="105"/>
      <c r="E517" s="135"/>
      <c r="F517" s="107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6"/>
    </row>
    <row r="518" ht="15.75" customHeight="1">
      <c r="A518" s="109"/>
      <c r="B518" s="104"/>
      <c r="C518" s="104"/>
      <c r="D518" s="105"/>
      <c r="E518" s="135"/>
      <c r="F518" s="107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6"/>
    </row>
    <row r="519" ht="15.75" customHeight="1">
      <c r="A519" s="109"/>
      <c r="B519" s="104"/>
      <c r="C519" s="104"/>
      <c r="D519" s="105"/>
      <c r="E519" s="135"/>
      <c r="F519" s="107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6"/>
    </row>
    <row r="520" ht="15.75" customHeight="1">
      <c r="A520" s="109"/>
      <c r="B520" s="104"/>
      <c r="C520" s="104"/>
      <c r="D520" s="105"/>
      <c r="E520" s="135"/>
      <c r="F520" s="107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6"/>
    </row>
    <row r="521" ht="15.75" customHeight="1">
      <c r="A521" s="109"/>
      <c r="B521" s="104"/>
      <c r="C521" s="104"/>
      <c r="D521" s="105"/>
      <c r="E521" s="135"/>
      <c r="F521" s="107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6"/>
    </row>
    <row r="522" ht="15.75" customHeight="1">
      <c r="A522" s="109"/>
      <c r="B522" s="104"/>
      <c r="C522" s="104"/>
      <c r="D522" s="105"/>
      <c r="E522" s="135"/>
      <c r="F522" s="107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6"/>
    </row>
    <row r="523" ht="15.75" customHeight="1">
      <c r="A523" s="109"/>
      <c r="B523" s="104"/>
      <c r="C523" s="104"/>
      <c r="D523" s="105"/>
      <c r="E523" s="135"/>
      <c r="F523" s="107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6"/>
    </row>
    <row r="524" ht="15.75" customHeight="1">
      <c r="A524" s="109"/>
      <c r="B524" s="104"/>
      <c r="C524" s="104"/>
      <c r="D524" s="105"/>
      <c r="E524" s="135"/>
      <c r="F524" s="107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6"/>
    </row>
    <row r="525" ht="15.75" customHeight="1">
      <c r="A525" s="109"/>
      <c r="B525" s="104"/>
      <c r="C525" s="104"/>
      <c r="D525" s="105"/>
      <c r="E525" s="135"/>
      <c r="F525" s="107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6"/>
    </row>
    <row r="526" ht="15.75" customHeight="1">
      <c r="A526" s="109"/>
      <c r="B526" s="104"/>
      <c r="C526" s="104"/>
      <c r="D526" s="105"/>
      <c r="E526" s="135"/>
      <c r="F526" s="107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6"/>
    </row>
    <row r="527" ht="15.75" customHeight="1">
      <c r="A527" s="109"/>
      <c r="B527" s="104"/>
      <c r="C527" s="104"/>
      <c r="D527" s="105"/>
      <c r="E527" s="135"/>
      <c r="F527" s="107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6"/>
    </row>
    <row r="528" ht="15.75" customHeight="1">
      <c r="A528" s="109"/>
      <c r="B528" s="104"/>
      <c r="C528" s="104"/>
      <c r="D528" s="105"/>
      <c r="E528" s="135"/>
      <c r="F528" s="107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6"/>
    </row>
    <row r="529" ht="15.75" customHeight="1">
      <c r="A529" s="109"/>
      <c r="B529" s="104"/>
      <c r="C529" s="104"/>
      <c r="D529" s="105"/>
      <c r="E529" s="135"/>
      <c r="F529" s="107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6"/>
    </row>
    <row r="530" ht="15.75" customHeight="1">
      <c r="A530" s="109"/>
      <c r="B530" s="104"/>
      <c r="C530" s="104"/>
      <c r="D530" s="105"/>
      <c r="E530" s="135"/>
      <c r="F530" s="107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6"/>
    </row>
    <row r="531" ht="15.75" customHeight="1">
      <c r="A531" s="109"/>
      <c r="B531" s="104"/>
      <c r="C531" s="104"/>
      <c r="D531" s="105"/>
      <c r="E531" s="135"/>
      <c r="F531" s="107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6"/>
    </row>
    <row r="532" ht="15.75" customHeight="1">
      <c r="A532" s="109"/>
      <c r="B532" s="104"/>
      <c r="C532" s="104"/>
      <c r="D532" s="105"/>
      <c r="E532" s="135"/>
      <c r="F532" s="107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6"/>
    </row>
    <row r="533" ht="15.75" customHeight="1">
      <c r="A533" s="109"/>
      <c r="B533" s="104"/>
      <c r="C533" s="104"/>
      <c r="D533" s="105"/>
      <c r="E533" s="135"/>
      <c r="F533" s="107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6"/>
    </row>
    <row r="534" ht="15.75" customHeight="1">
      <c r="A534" s="109"/>
      <c r="B534" s="104"/>
      <c r="C534" s="104"/>
      <c r="D534" s="105"/>
      <c r="E534" s="135"/>
      <c r="F534" s="107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6"/>
    </row>
    <row r="535" ht="15.75" customHeight="1">
      <c r="A535" s="109"/>
      <c r="B535" s="104"/>
      <c r="C535" s="104"/>
      <c r="D535" s="105"/>
      <c r="E535" s="135"/>
      <c r="F535" s="107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6"/>
    </row>
    <row r="536" ht="15.75" customHeight="1">
      <c r="A536" s="109"/>
      <c r="B536" s="104"/>
      <c r="C536" s="104"/>
      <c r="D536" s="105"/>
      <c r="E536" s="135"/>
      <c r="F536" s="107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6"/>
    </row>
    <row r="537" ht="15.75" customHeight="1">
      <c r="A537" s="109"/>
      <c r="B537" s="104"/>
      <c r="C537" s="104"/>
      <c r="D537" s="105"/>
      <c r="E537" s="135"/>
      <c r="F537" s="107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6"/>
    </row>
    <row r="538" ht="15.75" customHeight="1">
      <c r="A538" s="109"/>
      <c r="B538" s="104"/>
      <c r="C538" s="104"/>
      <c r="D538" s="105"/>
      <c r="E538" s="135"/>
      <c r="F538" s="107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6"/>
    </row>
    <row r="539" ht="15.75" customHeight="1">
      <c r="A539" s="109"/>
      <c r="B539" s="104"/>
      <c r="C539" s="104"/>
      <c r="D539" s="105"/>
      <c r="E539" s="135"/>
      <c r="F539" s="107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6"/>
    </row>
    <row r="540" ht="15.75" customHeight="1">
      <c r="A540" s="109"/>
      <c r="B540" s="104"/>
      <c r="C540" s="104"/>
      <c r="D540" s="105"/>
      <c r="E540" s="135"/>
      <c r="F540" s="107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6"/>
    </row>
    <row r="541" ht="15.75" customHeight="1">
      <c r="A541" s="109"/>
      <c r="B541" s="104"/>
      <c r="C541" s="104"/>
      <c r="D541" s="105"/>
      <c r="E541" s="135"/>
      <c r="F541" s="107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6"/>
    </row>
    <row r="542" ht="15.75" customHeight="1">
      <c r="A542" s="109"/>
      <c r="B542" s="104"/>
      <c r="C542" s="104"/>
      <c r="D542" s="105"/>
      <c r="E542" s="135"/>
      <c r="F542" s="107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6"/>
    </row>
    <row r="543" ht="15.75" customHeight="1">
      <c r="A543" s="109"/>
      <c r="B543" s="104"/>
      <c r="C543" s="104"/>
      <c r="D543" s="105"/>
      <c r="E543" s="135"/>
      <c r="F543" s="107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6"/>
    </row>
    <row r="544" ht="15.75" customHeight="1">
      <c r="A544" s="109"/>
      <c r="B544" s="104"/>
      <c r="C544" s="104"/>
      <c r="D544" s="105"/>
      <c r="E544" s="135"/>
      <c r="F544" s="107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6"/>
    </row>
    <row r="545" ht="15.75" customHeight="1">
      <c r="A545" s="109"/>
      <c r="B545" s="104"/>
      <c r="C545" s="104"/>
      <c r="D545" s="105"/>
      <c r="E545" s="135"/>
      <c r="F545" s="107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6"/>
    </row>
    <row r="546" ht="15.75" customHeight="1">
      <c r="A546" s="109"/>
      <c r="B546" s="104"/>
      <c r="C546" s="104"/>
      <c r="D546" s="105"/>
      <c r="E546" s="135"/>
      <c r="F546" s="107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6"/>
    </row>
    <row r="547" ht="15.75" customHeight="1">
      <c r="A547" s="109"/>
      <c r="B547" s="104"/>
      <c r="C547" s="104"/>
      <c r="D547" s="105"/>
      <c r="E547" s="135"/>
      <c r="F547" s="107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6"/>
    </row>
    <row r="548" ht="15.75" customHeight="1">
      <c r="A548" s="109"/>
      <c r="B548" s="104"/>
      <c r="C548" s="104"/>
      <c r="D548" s="105"/>
      <c r="E548" s="135"/>
      <c r="F548" s="107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6"/>
    </row>
    <row r="549" ht="15.75" customHeight="1">
      <c r="A549" s="109"/>
      <c r="B549" s="104"/>
      <c r="C549" s="104"/>
      <c r="D549" s="105"/>
      <c r="E549" s="135"/>
      <c r="F549" s="107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6"/>
    </row>
    <row r="550" ht="15.75" customHeight="1">
      <c r="A550" s="109"/>
      <c r="B550" s="104"/>
      <c r="C550" s="104"/>
      <c r="D550" s="105"/>
      <c r="E550" s="135"/>
      <c r="F550" s="107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6"/>
    </row>
    <row r="551" ht="15.75" customHeight="1">
      <c r="A551" s="109"/>
      <c r="B551" s="104"/>
      <c r="C551" s="104"/>
      <c r="D551" s="105"/>
      <c r="E551" s="135"/>
      <c r="F551" s="107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6"/>
    </row>
    <row r="552" ht="15.75" customHeight="1">
      <c r="A552" s="109"/>
      <c r="B552" s="104"/>
      <c r="C552" s="104"/>
      <c r="D552" s="105"/>
      <c r="E552" s="135"/>
      <c r="F552" s="107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6"/>
    </row>
    <row r="553" ht="15.75" customHeight="1">
      <c r="A553" s="109"/>
      <c r="B553" s="104"/>
      <c r="C553" s="104"/>
      <c r="D553" s="105"/>
      <c r="E553" s="135"/>
      <c r="F553" s="107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6"/>
    </row>
    <row r="554" ht="15.75" customHeight="1">
      <c r="A554" s="109"/>
      <c r="B554" s="104"/>
      <c r="C554" s="104"/>
      <c r="D554" s="105"/>
      <c r="E554" s="135"/>
      <c r="F554" s="107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6"/>
    </row>
    <row r="555" ht="15.75" customHeight="1">
      <c r="A555" s="109"/>
      <c r="B555" s="104"/>
      <c r="C555" s="104"/>
      <c r="D555" s="105"/>
      <c r="E555" s="135"/>
      <c r="F555" s="107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6"/>
    </row>
    <row r="556" ht="15.75" customHeight="1">
      <c r="A556" s="109"/>
      <c r="B556" s="104"/>
      <c r="C556" s="104"/>
      <c r="D556" s="105"/>
      <c r="E556" s="135"/>
      <c r="F556" s="107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6"/>
    </row>
    <row r="557" ht="15.75" customHeight="1">
      <c r="A557" s="109"/>
      <c r="B557" s="104"/>
      <c r="C557" s="104"/>
      <c r="D557" s="105"/>
      <c r="E557" s="135"/>
      <c r="F557" s="107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6"/>
    </row>
    <row r="558" ht="15.75" customHeight="1">
      <c r="A558" s="109"/>
      <c r="B558" s="104"/>
      <c r="C558" s="104"/>
      <c r="D558" s="105"/>
      <c r="E558" s="135"/>
      <c r="F558" s="107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6"/>
    </row>
    <row r="559" ht="15.75" customHeight="1">
      <c r="A559" s="109"/>
      <c r="B559" s="104"/>
      <c r="C559" s="104"/>
      <c r="D559" s="105"/>
      <c r="E559" s="135"/>
      <c r="F559" s="107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6"/>
    </row>
    <row r="560" ht="15.75" customHeight="1">
      <c r="A560" s="109"/>
      <c r="B560" s="104"/>
      <c r="C560" s="104"/>
      <c r="D560" s="105"/>
      <c r="E560" s="135"/>
      <c r="F560" s="107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6"/>
    </row>
    <row r="561" ht="15.75" customHeight="1">
      <c r="A561" s="109"/>
      <c r="B561" s="104"/>
      <c r="C561" s="104"/>
      <c r="D561" s="105"/>
      <c r="E561" s="135"/>
      <c r="F561" s="107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6"/>
    </row>
    <row r="562" ht="15.75" customHeight="1">
      <c r="A562" s="109"/>
      <c r="B562" s="104"/>
      <c r="C562" s="104"/>
      <c r="D562" s="105"/>
      <c r="E562" s="135"/>
      <c r="F562" s="107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6"/>
    </row>
    <row r="563" ht="15.75" customHeight="1">
      <c r="A563" s="109"/>
      <c r="B563" s="104"/>
      <c r="C563" s="104"/>
      <c r="D563" s="105"/>
      <c r="E563" s="135"/>
      <c r="F563" s="107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6"/>
    </row>
    <row r="564" ht="15.75" customHeight="1">
      <c r="A564" s="109"/>
      <c r="B564" s="104"/>
      <c r="C564" s="104"/>
      <c r="D564" s="105"/>
      <c r="E564" s="135"/>
      <c r="F564" s="107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6"/>
    </row>
    <row r="565" ht="15.75" customHeight="1">
      <c r="A565" s="109"/>
      <c r="B565" s="104"/>
      <c r="C565" s="104"/>
      <c r="D565" s="105"/>
      <c r="E565" s="135"/>
      <c r="F565" s="107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6"/>
    </row>
    <row r="566" ht="15.75" customHeight="1">
      <c r="A566" s="109"/>
      <c r="B566" s="104"/>
      <c r="C566" s="104"/>
      <c r="D566" s="105"/>
      <c r="E566" s="135"/>
      <c r="F566" s="107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6"/>
    </row>
    <row r="567" ht="15.75" customHeight="1">
      <c r="A567" s="109"/>
      <c r="B567" s="104"/>
      <c r="C567" s="104"/>
      <c r="D567" s="105"/>
      <c r="E567" s="135"/>
      <c r="F567" s="107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6"/>
    </row>
    <row r="568" ht="15.75" customHeight="1">
      <c r="A568" s="109"/>
      <c r="B568" s="104"/>
      <c r="C568" s="104"/>
      <c r="D568" s="105"/>
      <c r="E568" s="135"/>
      <c r="F568" s="107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6"/>
    </row>
    <row r="569" ht="15.75" customHeight="1">
      <c r="A569" s="109"/>
      <c r="B569" s="104"/>
      <c r="C569" s="104"/>
      <c r="D569" s="105"/>
      <c r="E569" s="135"/>
      <c r="F569" s="107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6"/>
    </row>
    <row r="570" ht="15.75" customHeight="1">
      <c r="A570" s="109"/>
      <c r="B570" s="104"/>
      <c r="C570" s="104"/>
      <c r="D570" s="105"/>
      <c r="E570" s="135"/>
      <c r="F570" s="107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6"/>
    </row>
    <row r="571" ht="15.75" customHeight="1">
      <c r="A571" s="109"/>
      <c r="B571" s="104"/>
      <c r="C571" s="104"/>
      <c r="D571" s="105"/>
      <c r="E571" s="135"/>
      <c r="F571" s="107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6"/>
    </row>
    <row r="572" ht="15.75" customHeight="1">
      <c r="A572" s="109"/>
      <c r="B572" s="104"/>
      <c r="C572" s="104"/>
      <c r="D572" s="105"/>
      <c r="E572" s="135"/>
      <c r="F572" s="107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6"/>
    </row>
    <row r="573" ht="15.75" customHeight="1">
      <c r="A573" s="109"/>
      <c r="B573" s="104"/>
      <c r="C573" s="104"/>
      <c r="D573" s="105"/>
      <c r="E573" s="135"/>
      <c r="F573" s="107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6"/>
    </row>
    <row r="574" ht="15.75" customHeight="1">
      <c r="A574" s="109"/>
      <c r="B574" s="104"/>
      <c r="C574" s="104"/>
      <c r="D574" s="105"/>
      <c r="E574" s="135"/>
      <c r="F574" s="107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6"/>
    </row>
    <row r="575" ht="15.75" customHeight="1">
      <c r="A575" s="109"/>
      <c r="B575" s="104"/>
      <c r="C575" s="104"/>
      <c r="D575" s="105"/>
      <c r="E575" s="135"/>
      <c r="F575" s="107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6"/>
    </row>
    <row r="576" ht="15.75" customHeight="1">
      <c r="A576" s="109"/>
      <c r="B576" s="104"/>
      <c r="C576" s="104"/>
      <c r="D576" s="105"/>
      <c r="E576" s="135"/>
      <c r="F576" s="107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6"/>
    </row>
    <row r="577" ht="15.75" customHeight="1">
      <c r="A577" s="109"/>
      <c r="B577" s="104"/>
      <c r="C577" s="104"/>
      <c r="D577" s="105"/>
      <c r="E577" s="135"/>
      <c r="F577" s="107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6"/>
    </row>
    <row r="578" ht="15.75" customHeight="1">
      <c r="A578" s="109"/>
      <c r="B578" s="104"/>
      <c r="C578" s="104"/>
      <c r="D578" s="105"/>
      <c r="E578" s="135"/>
      <c r="F578" s="107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6"/>
    </row>
    <row r="579" ht="15.75" customHeight="1">
      <c r="A579" s="109"/>
      <c r="B579" s="104"/>
      <c r="C579" s="104"/>
      <c r="D579" s="105"/>
      <c r="E579" s="135"/>
      <c r="F579" s="107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6"/>
    </row>
    <row r="580" ht="15.75" customHeight="1">
      <c r="A580" s="109"/>
      <c r="B580" s="104"/>
      <c r="C580" s="104"/>
      <c r="D580" s="105"/>
      <c r="E580" s="135"/>
      <c r="F580" s="107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6"/>
    </row>
    <row r="581" ht="15.75" customHeight="1">
      <c r="A581" s="109"/>
      <c r="B581" s="104"/>
      <c r="C581" s="104"/>
      <c r="D581" s="105"/>
      <c r="E581" s="135"/>
      <c r="F581" s="107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6"/>
    </row>
    <row r="582" ht="15.75" customHeight="1">
      <c r="A582" s="109"/>
      <c r="B582" s="104"/>
      <c r="C582" s="104"/>
      <c r="D582" s="105"/>
      <c r="E582" s="135"/>
      <c r="F582" s="107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6"/>
    </row>
    <row r="583" ht="15.75" customHeight="1">
      <c r="A583" s="109"/>
      <c r="B583" s="104"/>
      <c r="C583" s="104"/>
      <c r="D583" s="105"/>
      <c r="E583" s="135"/>
      <c r="F583" s="107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6"/>
    </row>
    <row r="584" ht="15.75" customHeight="1">
      <c r="A584" s="109"/>
      <c r="B584" s="104"/>
      <c r="C584" s="104"/>
      <c r="D584" s="105"/>
      <c r="E584" s="135"/>
      <c r="F584" s="107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6"/>
    </row>
    <row r="585" ht="15.75" customHeight="1">
      <c r="A585" s="109"/>
      <c r="B585" s="104"/>
      <c r="C585" s="104"/>
      <c r="D585" s="105"/>
      <c r="E585" s="135"/>
      <c r="F585" s="107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6"/>
    </row>
    <row r="586" ht="15.75" customHeight="1">
      <c r="A586" s="109"/>
      <c r="B586" s="104"/>
      <c r="C586" s="104"/>
      <c r="D586" s="105"/>
      <c r="E586" s="135"/>
      <c r="F586" s="107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6"/>
    </row>
    <row r="587" ht="15.75" customHeight="1">
      <c r="A587" s="109"/>
      <c r="B587" s="104"/>
      <c r="C587" s="104"/>
      <c r="D587" s="105"/>
      <c r="E587" s="135"/>
      <c r="F587" s="107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6"/>
    </row>
    <row r="588" ht="15.75" customHeight="1">
      <c r="A588" s="109"/>
      <c r="B588" s="104"/>
      <c r="C588" s="104"/>
      <c r="D588" s="105"/>
      <c r="E588" s="135"/>
      <c r="F588" s="107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6"/>
    </row>
    <row r="589" ht="15.75" customHeight="1">
      <c r="A589" s="109"/>
      <c r="B589" s="104"/>
      <c r="C589" s="104"/>
      <c r="D589" s="105"/>
      <c r="E589" s="135"/>
      <c r="F589" s="107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6"/>
    </row>
    <row r="590" ht="15.75" customHeight="1">
      <c r="A590" s="109"/>
      <c r="B590" s="104"/>
      <c r="C590" s="104"/>
      <c r="D590" s="105"/>
      <c r="E590" s="135"/>
      <c r="F590" s="107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6"/>
    </row>
    <row r="591" ht="15.75" customHeight="1">
      <c r="A591" s="109"/>
      <c r="B591" s="104"/>
      <c r="C591" s="104"/>
      <c r="D591" s="105"/>
      <c r="E591" s="135"/>
      <c r="F591" s="107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6"/>
    </row>
    <row r="592" ht="15.75" customHeight="1">
      <c r="A592" s="109"/>
      <c r="B592" s="104"/>
      <c r="C592" s="104"/>
      <c r="D592" s="105"/>
      <c r="E592" s="135"/>
      <c r="F592" s="107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6"/>
    </row>
    <row r="593" ht="15.75" customHeight="1">
      <c r="A593" s="109"/>
      <c r="B593" s="104"/>
      <c r="C593" s="104"/>
      <c r="D593" s="105"/>
      <c r="E593" s="135"/>
      <c r="F593" s="107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6"/>
    </row>
    <row r="594" ht="15.75" customHeight="1">
      <c r="A594" s="109"/>
      <c r="B594" s="104"/>
      <c r="C594" s="104"/>
      <c r="D594" s="105"/>
      <c r="E594" s="135"/>
      <c r="F594" s="107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6"/>
    </row>
    <row r="595" ht="15.75" customHeight="1">
      <c r="A595" s="109"/>
      <c r="B595" s="104"/>
      <c r="C595" s="104"/>
      <c r="D595" s="105"/>
      <c r="E595" s="135"/>
      <c r="F595" s="107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6"/>
    </row>
    <row r="596" ht="15.75" customHeight="1">
      <c r="A596" s="109"/>
      <c r="B596" s="104"/>
      <c r="C596" s="104"/>
      <c r="D596" s="105"/>
      <c r="E596" s="135"/>
      <c r="F596" s="107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6"/>
    </row>
    <row r="597" ht="15.75" customHeight="1">
      <c r="A597" s="109"/>
      <c r="B597" s="104"/>
      <c r="C597" s="104"/>
      <c r="D597" s="105"/>
      <c r="E597" s="135"/>
      <c r="F597" s="107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6"/>
    </row>
    <row r="598" ht="15.75" customHeight="1">
      <c r="A598" s="109"/>
      <c r="B598" s="104"/>
      <c r="C598" s="104"/>
      <c r="D598" s="105"/>
      <c r="E598" s="135"/>
      <c r="F598" s="107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6"/>
    </row>
    <row r="599" ht="15.75" customHeight="1">
      <c r="A599" s="109"/>
      <c r="B599" s="104"/>
      <c r="C599" s="104"/>
      <c r="D599" s="105"/>
      <c r="E599" s="135"/>
      <c r="F599" s="107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6"/>
    </row>
    <row r="600" ht="15.75" customHeight="1">
      <c r="A600" s="109"/>
      <c r="B600" s="104"/>
      <c r="C600" s="104"/>
      <c r="D600" s="105"/>
      <c r="E600" s="135"/>
      <c r="F600" s="107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6"/>
    </row>
    <row r="601" ht="15.75" customHeight="1">
      <c r="A601" s="109"/>
      <c r="B601" s="104"/>
      <c r="C601" s="104"/>
      <c r="D601" s="105"/>
      <c r="E601" s="135"/>
      <c r="F601" s="107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6"/>
    </row>
    <row r="602" ht="15.75" customHeight="1">
      <c r="A602" s="109"/>
      <c r="B602" s="104"/>
      <c r="C602" s="104"/>
      <c r="D602" s="105"/>
      <c r="E602" s="135"/>
      <c r="F602" s="107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6"/>
    </row>
    <row r="603" ht="15.75" customHeight="1">
      <c r="A603" s="109"/>
      <c r="B603" s="104"/>
      <c r="C603" s="104"/>
      <c r="D603" s="105"/>
      <c r="E603" s="135"/>
      <c r="F603" s="107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6"/>
    </row>
    <row r="604" ht="15.75" customHeight="1">
      <c r="A604" s="109"/>
      <c r="B604" s="104"/>
      <c r="C604" s="104"/>
      <c r="D604" s="105"/>
      <c r="E604" s="135"/>
      <c r="F604" s="107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6"/>
    </row>
    <row r="605" ht="15.75" customHeight="1">
      <c r="A605" s="109"/>
      <c r="B605" s="104"/>
      <c r="C605" s="104"/>
      <c r="D605" s="105"/>
      <c r="E605" s="135"/>
      <c r="F605" s="107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6"/>
    </row>
    <row r="606" ht="15.75" customHeight="1">
      <c r="A606" s="109"/>
      <c r="B606" s="104"/>
      <c r="C606" s="104"/>
      <c r="D606" s="105"/>
      <c r="E606" s="135"/>
      <c r="F606" s="107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6"/>
    </row>
    <row r="607" ht="15.75" customHeight="1">
      <c r="A607" s="109"/>
      <c r="B607" s="104"/>
      <c r="C607" s="104"/>
      <c r="D607" s="105"/>
      <c r="E607" s="135"/>
      <c r="F607" s="107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6"/>
    </row>
    <row r="608" ht="15.75" customHeight="1">
      <c r="A608" s="109"/>
      <c r="B608" s="104"/>
      <c r="C608" s="104"/>
      <c r="D608" s="105"/>
      <c r="E608" s="135"/>
      <c r="F608" s="107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6"/>
    </row>
    <row r="609" ht="15.75" customHeight="1">
      <c r="A609" s="109"/>
      <c r="B609" s="104"/>
      <c r="C609" s="104"/>
      <c r="D609" s="105"/>
      <c r="E609" s="135"/>
      <c r="F609" s="107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6"/>
    </row>
    <row r="610" ht="15.75" customHeight="1">
      <c r="A610" s="109"/>
      <c r="B610" s="104"/>
      <c r="C610" s="104"/>
      <c r="D610" s="105"/>
      <c r="E610" s="135"/>
      <c r="F610" s="107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6"/>
    </row>
    <row r="611" ht="15.75" customHeight="1">
      <c r="A611" s="109"/>
      <c r="B611" s="104"/>
      <c r="C611" s="104"/>
      <c r="D611" s="105"/>
      <c r="E611" s="135"/>
      <c r="F611" s="107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6"/>
    </row>
    <row r="612" ht="15.75" customHeight="1">
      <c r="A612" s="109"/>
      <c r="B612" s="104"/>
      <c r="C612" s="104"/>
      <c r="D612" s="105"/>
      <c r="E612" s="135"/>
      <c r="F612" s="107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6"/>
    </row>
    <row r="613" ht="15.75" customHeight="1">
      <c r="A613" s="109"/>
      <c r="B613" s="104"/>
      <c r="C613" s="104"/>
      <c r="D613" s="105"/>
      <c r="E613" s="135"/>
      <c r="F613" s="107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6"/>
    </row>
    <row r="614" ht="15.75" customHeight="1">
      <c r="A614" s="109"/>
      <c r="B614" s="104"/>
      <c r="C614" s="104"/>
      <c r="D614" s="105"/>
      <c r="E614" s="135"/>
      <c r="F614" s="107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6"/>
    </row>
    <row r="615" ht="15.75" customHeight="1">
      <c r="A615" s="109"/>
      <c r="B615" s="104"/>
      <c r="C615" s="104"/>
      <c r="D615" s="105"/>
      <c r="E615" s="135"/>
      <c r="F615" s="107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6"/>
    </row>
    <row r="616" ht="15.75" customHeight="1">
      <c r="A616" s="109"/>
      <c r="B616" s="104"/>
      <c r="C616" s="104"/>
      <c r="D616" s="105"/>
      <c r="E616" s="135"/>
      <c r="F616" s="107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6"/>
    </row>
    <row r="617" ht="15.75" customHeight="1">
      <c r="A617" s="109"/>
      <c r="B617" s="104"/>
      <c r="C617" s="104"/>
      <c r="D617" s="105"/>
      <c r="E617" s="135"/>
      <c r="F617" s="107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6"/>
    </row>
    <row r="618" ht="15.75" customHeight="1">
      <c r="A618" s="109"/>
      <c r="B618" s="104"/>
      <c r="C618" s="104"/>
      <c r="D618" s="105"/>
      <c r="E618" s="135"/>
      <c r="F618" s="107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6"/>
    </row>
    <row r="619" ht="15.75" customHeight="1">
      <c r="A619" s="109"/>
      <c r="B619" s="104"/>
      <c r="C619" s="104"/>
      <c r="D619" s="105"/>
      <c r="E619" s="135"/>
      <c r="F619" s="107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6"/>
    </row>
    <row r="620" ht="15.75" customHeight="1">
      <c r="A620" s="109"/>
      <c r="B620" s="104"/>
      <c r="C620" s="104"/>
      <c r="D620" s="105"/>
      <c r="E620" s="135"/>
      <c r="F620" s="107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6"/>
    </row>
    <row r="621" ht="15.75" customHeight="1">
      <c r="A621" s="109"/>
      <c r="B621" s="104"/>
      <c r="C621" s="104"/>
      <c r="D621" s="105"/>
      <c r="E621" s="135"/>
      <c r="F621" s="107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6"/>
    </row>
    <row r="622" ht="15.75" customHeight="1">
      <c r="A622" s="109"/>
      <c r="B622" s="104"/>
      <c r="C622" s="104"/>
      <c r="D622" s="105"/>
      <c r="E622" s="135"/>
      <c r="F622" s="107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6"/>
    </row>
    <row r="623" ht="15.75" customHeight="1">
      <c r="A623" s="109"/>
      <c r="B623" s="104"/>
      <c r="C623" s="104"/>
      <c r="D623" s="105"/>
      <c r="E623" s="135"/>
      <c r="F623" s="107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6"/>
    </row>
    <row r="624" ht="15.75" customHeight="1">
      <c r="A624" s="109"/>
      <c r="B624" s="104"/>
      <c r="C624" s="104"/>
      <c r="D624" s="105"/>
      <c r="E624" s="135"/>
      <c r="F624" s="107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6"/>
    </row>
    <row r="625" ht="15.75" customHeight="1">
      <c r="A625" s="109"/>
      <c r="B625" s="104"/>
      <c r="C625" s="104"/>
      <c r="D625" s="105"/>
      <c r="E625" s="135"/>
      <c r="F625" s="107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6"/>
    </row>
    <row r="626" ht="15.75" customHeight="1">
      <c r="A626" s="109"/>
      <c r="B626" s="104"/>
      <c r="C626" s="104"/>
      <c r="D626" s="105"/>
      <c r="E626" s="135"/>
      <c r="F626" s="107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6"/>
    </row>
    <row r="627" ht="15.75" customHeight="1">
      <c r="A627" s="109"/>
      <c r="B627" s="104"/>
      <c r="C627" s="104"/>
      <c r="D627" s="105"/>
      <c r="E627" s="135"/>
      <c r="F627" s="107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6"/>
    </row>
    <row r="628" ht="15.75" customHeight="1">
      <c r="A628" s="109"/>
      <c r="B628" s="104"/>
      <c r="C628" s="104"/>
      <c r="D628" s="105"/>
      <c r="E628" s="135"/>
      <c r="F628" s="107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6"/>
    </row>
    <row r="629" ht="15.75" customHeight="1">
      <c r="A629" s="109"/>
      <c r="B629" s="104"/>
      <c r="C629" s="104"/>
      <c r="D629" s="105"/>
      <c r="E629" s="135"/>
      <c r="F629" s="107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6"/>
    </row>
    <row r="630" ht="15.75" customHeight="1">
      <c r="A630" s="109"/>
      <c r="B630" s="104"/>
      <c r="C630" s="104"/>
      <c r="D630" s="105"/>
      <c r="E630" s="135"/>
      <c r="F630" s="107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6"/>
    </row>
    <row r="631" ht="15.75" customHeight="1">
      <c r="A631" s="109"/>
      <c r="B631" s="104"/>
      <c r="C631" s="104"/>
      <c r="D631" s="105"/>
      <c r="E631" s="135"/>
      <c r="F631" s="107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6"/>
    </row>
    <row r="632" ht="15.75" customHeight="1">
      <c r="A632" s="109"/>
      <c r="B632" s="104"/>
      <c r="C632" s="104"/>
      <c r="D632" s="105"/>
      <c r="E632" s="135"/>
      <c r="F632" s="107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6"/>
    </row>
    <row r="633" ht="15.75" customHeight="1">
      <c r="A633" s="109"/>
      <c r="B633" s="104"/>
      <c r="C633" s="104"/>
      <c r="D633" s="105"/>
      <c r="E633" s="135"/>
      <c r="F633" s="107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6"/>
    </row>
    <row r="634" ht="15.75" customHeight="1">
      <c r="A634" s="109"/>
      <c r="B634" s="104"/>
      <c r="C634" s="104"/>
      <c r="D634" s="105"/>
      <c r="E634" s="135"/>
      <c r="F634" s="107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6"/>
    </row>
    <row r="635" ht="15.75" customHeight="1">
      <c r="A635" s="109"/>
      <c r="B635" s="104"/>
      <c r="C635" s="104"/>
      <c r="D635" s="105"/>
      <c r="E635" s="135"/>
      <c r="F635" s="107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6"/>
    </row>
    <row r="636" ht="15.75" customHeight="1">
      <c r="A636" s="109"/>
      <c r="B636" s="104"/>
      <c r="C636" s="104"/>
      <c r="D636" s="105"/>
      <c r="E636" s="135"/>
      <c r="F636" s="107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6"/>
    </row>
    <row r="637" ht="15.75" customHeight="1">
      <c r="A637" s="109"/>
      <c r="B637" s="104"/>
      <c r="C637" s="104"/>
      <c r="D637" s="105"/>
      <c r="E637" s="135"/>
      <c r="F637" s="107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6"/>
    </row>
    <row r="638" ht="15.75" customHeight="1">
      <c r="A638" s="109"/>
      <c r="B638" s="104"/>
      <c r="C638" s="104"/>
      <c r="D638" s="105"/>
      <c r="E638" s="135"/>
      <c r="F638" s="107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6"/>
    </row>
    <row r="639" ht="15.75" customHeight="1">
      <c r="A639" s="109"/>
      <c r="B639" s="104"/>
      <c r="C639" s="104"/>
      <c r="D639" s="105"/>
      <c r="E639" s="135"/>
      <c r="F639" s="107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6"/>
    </row>
    <row r="640" ht="15.75" customHeight="1">
      <c r="A640" s="109"/>
      <c r="B640" s="104"/>
      <c r="C640" s="104"/>
      <c r="D640" s="105"/>
      <c r="E640" s="135"/>
      <c r="F640" s="107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6"/>
    </row>
    <row r="641" ht="15.75" customHeight="1">
      <c r="A641" s="109"/>
      <c r="B641" s="104"/>
      <c r="C641" s="104"/>
      <c r="D641" s="105"/>
      <c r="E641" s="135"/>
      <c r="F641" s="107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6"/>
    </row>
    <row r="642" ht="15.75" customHeight="1">
      <c r="A642" s="109"/>
      <c r="B642" s="104"/>
      <c r="C642" s="104"/>
      <c r="D642" s="105"/>
      <c r="E642" s="135"/>
      <c r="F642" s="107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6"/>
    </row>
    <row r="643" ht="15.75" customHeight="1">
      <c r="A643" s="109"/>
      <c r="B643" s="104"/>
      <c r="C643" s="104"/>
      <c r="D643" s="105"/>
      <c r="E643" s="135"/>
      <c r="F643" s="107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6"/>
    </row>
    <row r="644" ht="15.75" customHeight="1">
      <c r="A644" s="109"/>
      <c r="B644" s="104"/>
      <c r="C644" s="104"/>
      <c r="D644" s="105"/>
      <c r="E644" s="135"/>
      <c r="F644" s="107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6"/>
    </row>
    <row r="645" ht="15.75" customHeight="1">
      <c r="A645" s="109"/>
      <c r="B645" s="104"/>
      <c r="C645" s="104"/>
      <c r="D645" s="105"/>
      <c r="E645" s="135"/>
      <c r="F645" s="107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6"/>
    </row>
    <row r="646" ht="15.75" customHeight="1">
      <c r="A646" s="109"/>
      <c r="B646" s="104"/>
      <c r="C646" s="104"/>
      <c r="D646" s="105"/>
      <c r="E646" s="135"/>
      <c r="F646" s="107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6"/>
    </row>
    <row r="647" ht="15.75" customHeight="1">
      <c r="A647" s="109"/>
      <c r="B647" s="104"/>
      <c r="C647" s="104"/>
      <c r="D647" s="105"/>
      <c r="E647" s="135"/>
      <c r="F647" s="107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6"/>
    </row>
    <row r="648" ht="15.75" customHeight="1">
      <c r="A648" s="109"/>
      <c r="B648" s="104"/>
      <c r="C648" s="104"/>
      <c r="D648" s="105"/>
      <c r="E648" s="135"/>
      <c r="F648" s="107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6"/>
    </row>
    <row r="649" ht="15.75" customHeight="1">
      <c r="A649" s="109"/>
      <c r="B649" s="104"/>
      <c r="C649" s="104"/>
      <c r="D649" s="105"/>
      <c r="E649" s="135"/>
      <c r="F649" s="107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6"/>
    </row>
    <row r="650" ht="15.75" customHeight="1">
      <c r="A650" s="109"/>
      <c r="B650" s="104"/>
      <c r="C650" s="104"/>
      <c r="D650" s="105"/>
      <c r="E650" s="135"/>
      <c r="F650" s="107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6"/>
    </row>
    <row r="651" ht="15.75" customHeight="1">
      <c r="A651" s="109"/>
      <c r="B651" s="104"/>
      <c r="C651" s="104"/>
      <c r="D651" s="105"/>
      <c r="E651" s="135"/>
      <c r="F651" s="107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6"/>
    </row>
    <row r="652" ht="15.75" customHeight="1">
      <c r="A652" s="109"/>
      <c r="B652" s="104"/>
      <c r="C652" s="104"/>
      <c r="D652" s="105"/>
      <c r="E652" s="135"/>
      <c r="F652" s="107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6"/>
    </row>
    <row r="653" ht="15.75" customHeight="1">
      <c r="A653" s="109"/>
      <c r="B653" s="104"/>
      <c r="C653" s="104"/>
      <c r="D653" s="105"/>
      <c r="E653" s="135"/>
      <c r="F653" s="107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6"/>
    </row>
    <row r="654" ht="15.75" customHeight="1">
      <c r="A654" s="109"/>
      <c r="B654" s="104"/>
      <c r="C654" s="104"/>
      <c r="D654" s="105"/>
      <c r="E654" s="135"/>
      <c r="F654" s="107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6"/>
    </row>
    <row r="655" ht="15.75" customHeight="1">
      <c r="A655" s="109"/>
      <c r="B655" s="104"/>
      <c r="C655" s="104"/>
      <c r="D655" s="105"/>
      <c r="E655" s="135"/>
      <c r="F655" s="107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6"/>
    </row>
    <row r="656" ht="15.75" customHeight="1">
      <c r="A656" s="109"/>
      <c r="B656" s="104"/>
      <c r="C656" s="104"/>
      <c r="D656" s="105"/>
      <c r="E656" s="135"/>
      <c r="F656" s="107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6"/>
    </row>
    <row r="657" ht="15.75" customHeight="1">
      <c r="A657" s="109"/>
      <c r="B657" s="104"/>
      <c r="C657" s="104"/>
      <c r="D657" s="105"/>
      <c r="E657" s="135"/>
      <c r="F657" s="107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6"/>
    </row>
    <row r="658" ht="15.75" customHeight="1">
      <c r="A658" s="109"/>
      <c r="B658" s="104"/>
      <c r="C658" s="104"/>
      <c r="D658" s="105"/>
      <c r="E658" s="135"/>
      <c r="F658" s="107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6"/>
    </row>
    <row r="659" ht="15.75" customHeight="1">
      <c r="A659" s="109"/>
      <c r="B659" s="104"/>
      <c r="C659" s="104"/>
      <c r="D659" s="105"/>
      <c r="E659" s="135"/>
      <c r="F659" s="107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6"/>
    </row>
    <row r="660" ht="15.75" customHeight="1">
      <c r="A660" s="109"/>
      <c r="B660" s="104"/>
      <c r="C660" s="104"/>
      <c r="D660" s="105"/>
      <c r="E660" s="135"/>
      <c r="F660" s="107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6"/>
    </row>
    <row r="661" ht="15.75" customHeight="1">
      <c r="A661" s="109"/>
      <c r="B661" s="104"/>
      <c r="C661" s="104"/>
      <c r="D661" s="105"/>
      <c r="E661" s="135"/>
      <c r="F661" s="107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6"/>
    </row>
    <row r="662" ht="15.75" customHeight="1">
      <c r="A662" s="109"/>
      <c r="B662" s="104"/>
      <c r="C662" s="104"/>
      <c r="D662" s="105"/>
      <c r="E662" s="135"/>
      <c r="F662" s="107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6"/>
    </row>
    <row r="663" ht="15.75" customHeight="1">
      <c r="A663" s="109"/>
      <c r="B663" s="104"/>
      <c r="C663" s="104"/>
      <c r="D663" s="105"/>
      <c r="E663" s="135"/>
      <c r="F663" s="107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6"/>
    </row>
    <row r="664" ht="15.75" customHeight="1">
      <c r="A664" s="109"/>
      <c r="B664" s="104"/>
      <c r="C664" s="104"/>
      <c r="D664" s="105"/>
      <c r="E664" s="135"/>
      <c r="F664" s="107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6"/>
    </row>
    <row r="665" ht="15.75" customHeight="1">
      <c r="A665" s="109"/>
      <c r="B665" s="104"/>
      <c r="C665" s="104"/>
      <c r="D665" s="105"/>
      <c r="E665" s="135"/>
      <c r="F665" s="107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6"/>
    </row>
    <row r="666" ht="15.75" customHeight="1">
      <c r="A666" s="109"/>
      <c r="B666" s="104"/>
      <c r="C666" s="104"/>
      <c r="D666" s="105"/>
      <c r="E666" s="135"/>
      <c r="F666" s="107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6"/>
    </row>
    <row r="667" ht="15.75" customHeight="1">
      <c r="A667" s="109"/>
      <c r="B667" s="104"/>
      <c r="C667" s="104"/>
      <c r="D667" s="105"/>
      <c r="E667" s="135"/>
      <c r="F667" s="107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6"/>
    </row>
    <row r="668" ht="15.75" customHeight="1">
      <c r="A668" s="109"/>
      <c r="B668" s="104"/>
      <c r="C668" s="104"/>
      <c r="D668" s="105"/>
      <c r="E668" s="135"/>
      <c r="F668" s="107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6"/>
    </row>
    <row r="669" ht="15.75" customHeight="1">
      <c r="A669" s="109"/>
      <c r="B669" s="104"/>
      <c r="C669" s="104"/>
      <c r="D669" s="105"/>
      <c r="E669" s="135"/>
      <c r="F669" s="107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6"/>
    </row>
    <row r="670" ht="15.75" customHeight="1">
      <c r="A670" s="109"/>
      <c r="B670" s="104"/>
      <c r="C670" s="104"/>
      <c r="D670" s="105"/>
      <c r="E670" s="135"/>
      <c r="F670" s="107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6"/>
    </row>
    <row r="671" ht="15.75" customHeight="1">
      <c r="A671" s="109"/>
      <c r="B671" s="104"/>
      <c r="C671" s="104"/>
      <c r="D671" s="105"/>
      <c r="E671" s="135"/>
      <c r="F671" s="107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6"/>
    </row>
    <row r="672" ht="15.75" customHeight="1">
      <c r="A672" s="109"/>
      <c r="B672" s="104"/>
      <c r="C672" s="104"/>
      <c r="D672" s="105"/>
      <c r="E672" s="135"/>
      <c r="F672" s="107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6"/>
    </row>
    <row r="673" ht="15.75" customHeight="1">
      <c r="A673" s="109"/>
      <c r="B673" s="104"/>
      <c r="C673" s="104"/>
      <c r="D673" s="105"/>
      <c r="E673" s="135"/>
      <c r="F673" s="107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6"/>
    </row>
    <row r="674" ht="15.75" customHeight="1">
      <c r="A674" s="109"/>
      <c r="B674" s="104"/>
      <c r="C674" s="104"/>
      <c r="D674" s="105"/>
      <c r="E674" s="135"/>
      <c r="F674" s="107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6"/>
    </row>
    <row r="675" ht="15.75" customHeight="1">
      <c r="A675" s="109"/>
      <c r="B675" s="104"/>
      <c r="C675" s="104"/>
      <c r="D675" s="105"/>
      <c r="E675" s="135"/>
      <c r="F675" s="107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6"/>
    </row>
    <row r="676" ht="15.75" customHeight="1">
      <c r="A676" s="109"/>
      <c r="B676" s="104"/>
      <c r="C676" s="104"/>
      <c r="D676" s="105"/>
      <c r="E676" s="135"/>
      <c r="F676" s="107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6"/>
    </row>
    <row r="677" ht="15.75" customHeight="1">
      <c r="A677" s="109"/>
      <c r="B677" s="104"/>
      <c r="C677" s="104"/>
      <c r="D677" s="105"/>
      <c r="E677" s="135"/>
      <c r="F677" s="107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6"/>
    </row>
    <row r="678" ht="15.75" customHeight="1">
      <c r="A678" s="109"/>
      <c r="B678" s="104"/>
      <c r="C678" s="104"/>
      <c r="D678" s="105"/>
      <c r="E678" s="135"/>
      <c r="F678" s="107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6"/>
    </row>
    <row r="679" ht="15.75" customHeight="1">
      <c r="A679" s="109"/>
      <c r="B679" s="104"/>
      <c r="C679" s="104"/>
      <c r="D679" s="105"/>
      <c r="E679" s="135"/>
      <c r="F679" s="107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6"/>
    </row>
    <row r="680" ht="15.75" customHeight="1">
      <c r="A680" s="109"/>
      <c r="B680" s="104"/>
      <c r="C680" s="104"/>
      <c r="D680" s="105"/>
      <c r="E680" s="135"/>
      <c r="F680" s="107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6"/>
    </row>
    <row r="681" ht="15.75" customHeight="1">
      <c r="A681" s="109"/>
      <c r="B681" s="104"/>
      <c r="C681" s="104"/>
      <c r="D681" s="105"/>
      <c r="E681" s="135"/>
      <c r="F681" s="107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6"/>
    </row>
    <row r="682" ht="15.75" customHeight="1">
      <c r="A682" s="109"/>
      <c r="B682" s="104"/>
      <c r="C682" s="104"/>
      <c r="D682" s="105"/>
      <c r="E682" s="135"/>
      <c r="F682" s="107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6"/>
    </row>
    <row r="683" ht="15.75" customHeight="1">
      <c r="A683" s="109"/>
      <c r="B683" s="104"/>
      <c r="C683" s="104"/>
      <c r="D683" s="105"/>
      <c r="E683" s="135"/>
      <c r="F683" s="107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6"/>
    </row>
    <row r="684" ht="15.75" customHeight="1">
      <c r="A684" s="109"/>
      <c r="B684" s="104"/>
      <c r="C684" s="104"/>
      <c r="D684" s="105"/>
      <c r="E684" s="135"/>
      <c r="F684" s="107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6"/>
    </row>
    <row r="685" ht="15.75" customHeight="1">
      <c r="A685" s="109"/>
      <c r="B685" s="104"/>
      <c r="C685" s="104"/>
      <c r="D685" s="105"/>
      <c r="E685" s="135"/>
      <c r="F685" s="107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6"/>
    </row>
    <row r="686" ht="15.75" customHeight="1">
      <c r="A686" s="109"/>
      <c r="B686" s="104"/>
      <c r="C686" s="104"/>
      <c r="D686" s="105"/>
      <c r="E686" s="135"/>
      <c r="F686" s="107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6"/>
    </row>
    <row r="687" ht="15.75" customHeight="1">
      <c r="A687" s="109"/>
      <c r="B687" s="104"/>
      <c r="C687" s="104"/>
      <c r="D687" s="105"/>
      <c r="E687" s="135"/>
      <c r="F687" s="107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6"/>
    </row>
    <row r="688" ht="15.75" customHeight="1">
      <c r="A688" s="109"/>
      <c r="B688" s="104"/>
      <c r="C688" s="104"/>
      <c r="D688" s="105"/>
      <c r="E688" s="135"/>
      <c r="F688" s="107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6"/>
    </row>
    <row r="689" ht="15.75" customHeight="1">
      <c r="A689" s="109"/>
      <c r="B689" s="104"/>
      <c r="C689" s="104"/>
      <c r="D689" s="105"/>
      <c r="E689" s="135"/>
      <c r="F689" s="107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6"/>
    </row>
    <row r="690" ht="15.75" customHeight="1">
      <c r="A690" s="109"/>
      <c r="B690" s="104"/>
      <c r="C690" s="104"/>
      <c r="D690" s="105"/>
      <c r="E690" s="135"/>
      <c r="F690" s="107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6"/>
    </row>
    <row r="691" ht="15.75" customHeight="1">
      <c r="A691" s="109"/>
      <c r="B691" s="104"/>
      <c r="C691" s="104"/>
      <c r="D691" s="105"/>
      <c r="E691" s="135"/>
      <c r="F691" s="107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6"/>
    </row>
    <row r="692" ht="15.75" customHeight="1">
      <c r="A692" s="109"/>
      <c r="B692" s="104"/>
      <c r="C692" s="104"/>
      <c r="D692" s="105"/>
      <c r="E692" s="135"/>
      <c r="F692" s="107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6"/>
    </row>
    <row r="693" ht="15.75" customHeight="1">
      <c r="A693" s="109"/>
      <c r="B693" s="104"/>
      <c r="C693" s="104"/>
      <c r="D693" s="105"/>
      <c r="E693" s="135"/>
      <c r="F693" s="107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6"/>
    </row>
    <row r="694" ht="15.75" customHeight="1">
      <c r="A694" s="109"/>
      <c r="B694" s="104"/>
      <c r="C694" s="104"/>
      <c r="D694" s="105"/>
      <c r="E694" s="135"/>
      <c r="F694" s="107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6"/>
    </row>
    <row r="695" ht="15.75" customHeight="1">
      <c r="A695" s="109"/>
      <c r="B695" s="104"/>
      <c r="C695" s="104"/>
      <c r="D695" s="105"/>
      <c r="E695" s="135"/>
      <c r="F695" s="107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6"/>
    </row>
    <row r="696" ht="15.75" customHeight="1">
      <c r="A696" s="109"/>
      <c r="B696" s="104"/>
      <c r="C696" s="104"/>
      <c r="D696" s="105"/>
      <c r="E696" s="135"/>
      <c r="F696" s="107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6"/>
    </row>
    <row r="697" ht="15.75" customHeight="1">
      <c r="A697" s="109"/>
      <c r="B697" s="104"/>
      <c r="C697" s="104"/>
      <c r="D697" s="105"/>
      <c r="E697" s="135"/>
      <c r="F697" s="107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6"/>
    </row>
    <row r="698" ht="15.75" customHeight="1">
      <c r="A698" s="109"/>
      <c r="B698" s="104"/>
      <c r="C698" s="104"/>
      <c r="D698" s="105"/>
      <c r="E698" s="135"/>
      <c r="F698" s="107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6"/>
    </row>
    <row r="699" ht="15.75" customHeight="1">
      <c r="A699" s="109"/>
      <c r="B699" s="104"/>
      <c r="C699" s="104"/>
      <c r="D699" s="105"/>
      <c r="E699" s="135"/>
      <c r="F699" s="107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6"/>
    </row>
    <row r="700" ht="15.75" customHeight="1">
      <c r="A700" s="109"/>
      <c r="B700" s="104"/>
      <c r="C700" s="104"/>
      <c r="D700" s="105"/>
      <c r="E700" s="135"/>
      <c r="F700" s="107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6"/>
    </row>
    <row r="701" ht="15.75" customHeight="1">
      <c r="A701" s="109"/>
      <c r="B701" s="104"/>
      <c r="C701" s="104"/>
      <c r="D701" s="105"/>
      <c r="E701" s="135"/>
      <c r="F701" s="107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6"/>
    </row>
    <row r="702" ht="15.75" customHeight="1">
      <c r="A702" s="109"/>
      <c r="B702" s="104"/>
      <c r="C702" s="104"/>
      <c r="D702" s="105"/>
      <c r="E702" s="135"/>
      <c r="F702" s="107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6"/>
    </row>
    <row r="703" ht="15.75" customHeight="1">
      <c r="A703" s="109"/>
      <c r="B703" s="104"/>
      <c r="C703" s="104"/>
      <c r="D703" s="105"/>
      <c r="E703" s="135"/>
      <c r="F703" s="107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6"/>
    </row>
    <row r="704" ht="15.75" customHeight="1">
      <c r="A704" s="109"/>
      <c r="B704" s="104"/>
      <c r="C704" s="104"/>
      <c r="D704" s="105"/>
      <c r="E704" s="135"/>
      <c r="F704" s="107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6"/>
    </row>
    <row r="705" ht="15.75" customHeight="1">
      <c r="A705" s="109"/>
      <c r="B705" s="104"/>
      <c r="C705" s="104"/>
      <c r="D705" s="105"/>
      <c r="E705" s="135"/>
      <c r="F705" s="107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6"/>
    </row>
    <row r="706" ht="15.75" customHeight="1">
      <c r="A706" s="109"/>
      <c r="B706" s="104"/>
      <c r="C706" s="104"/>
      <c r="D706" s="105"/>
      <c r="E706" s="135"/>
      <c r="F706" s="107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6"/>
    </row>
    <row r="707" ht="15.75" customHeight="1">
      <c r="A707" s="109"/>
      <c r="B707" s="104"/>
      <c r="C707" s="104"/>
      <c r="D707" s="105"/>
      <c r="E707" s="135"/>
      <c r="F707" s="107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6"/>
    </row>
    <row r="708" ht="15.75" customHeight="1">
      <c r="A708" s="109"/>
      <c r="B708" s="104"/>
      <c r="C708" s="104"/>
      <c r="D708" s="105"/>
      <c r="E708" s="135"/>
      <c r="F708" s="107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6"/>
    </row>
    <row r="709" ht="15.75" customHeight="1">
      <c r="A709" s="109"/>
      <c r="B709" s="104"/>
      <c r="C709" s="104"/>
      <c r="D709" s="105"/>
      <c r="E709" s="135"/>
      <c r="F709" s="107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6"/>
    </row>
    <row r="710" ht="15.75" customHeight="1">
      <c r="A710" s="109"/>
      <c r="B710" s="104"/>
      <c r="C710" s="104"/>
      <c r="D710" s="105"/>
      <c r="E710" s="135"/>
      <c r="F710" s="107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6"/>
    </row>
    <row r="711" ht="15.75" customHeight="1">
      <c r="A711" s="109"/>
      <c r="B711" s="104"/>
      <c r="C711" s="104"/>
      <c r="D711" s="105"/>
      <c r="E711" s="135"/>
      <c r="F711" s="107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6"/>
    </row>
    <row r="712" ht="15.75" customHeight="1">
      <c r="A712" s="109"/>
      <c r="B712" s="104"/>
      <c r="C712" s="104"/>
      <c r="D712" s="105"/>
      <c r="E712" s="135"/>
      <c r="F712" s="107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6"/>
    </row>
    <row r="713" ht="15.75" customHeight="1">
      <c r="A713" s="109"/>
      <c r="B713" s="104"/>
      <c r="C713" s="104"/>
      <c r="D713" s="105"/>
      <c r="E713" s="135"/>
      <c r="F713" s="107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6"/>
    </row>
    <row r="714" ht="15.75" customHeight="1">
      <c r="A714" s="109"/>
      <c r="B714" s="104"/>
      <c r="C714" s="104"/>
      <c r="D714" s="105"/>
      <c r="E714" s="135"/>
      <c r="F714" s="107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6"/>
    </row>
    <row r="715" ht="15.75" customHeight="1">
      <c r="A715" s="109"/>
      <c r="B715" s="104"/>
      <c r="C715" s="104"/>
      <c r="D715" s="105"/>
      <c r="E715" s="135"/>
      <c r="F715" s="107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6"/>
    </row>
    <row r="716" ht="15.75" customHeight="1">
      <c r="A716" s="109"/>
      <c r="B716" s="104"/>
      <c r="C716" s="104"/>
      <c r="D716" s="105"/>
      <c r="E716" s="135"/>
      <c r="F716" s="107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6"/>
    </row>
    <row r="717" ht="15.75" customHeight="1">
      <c r="A717" s="109"/>
      <c r="B717" s="104"/>
      <c r="C717" s="104"/>
      <c r="D717" s="105"/>
      <c r="E717" s="135"/>
      <c r="F717" s="107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6"/>
    </row>
    <row r="718" ht="15.75" customHeight="1">
      <c r="A718" s="109"/>
      <c r="B718" s="104"/>
      <c r="C718" s="104"/>
      <c r="D718" s="105"/>
      <c r="E718" s="135"/>
      <c r="F718" s="107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6"/>
    </row>
    <row r="719" ht="15.75" customHeight="1">
      <c r="A719" s="109"/>
      <c r="B719" s="104"/>
      <c r="C719" s="104"/>
      <c r="D719" s="105"/>
      <c r="E719" s="135"/>
      <c r="F719" s="107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6"/>
    </row>
    <row r="720" ht="15.75" customHeight="1">
      <c r="A720" s="109"/>
      <c r="B720" s="104"/>
      <c r="C720" s="104"/>
      <c r="D720" s="105"/>
      <c r="E720" s="135"/>
      <c r="F720" s="107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6"/>
    </row>
    <row r="721" ht="15.75" customHeight="1">
      <c r="A721" s="109"/>
      <c r="B721" s="104"/>
      <c r="C721" s="104"/>
      <c r="D721" s="105"/>
      <c r="E721" s="135"/>
      <c r="F721" s="107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6"/>
    </row>
    <row r="722" ht="15.75" customHeight="1">
      <c r="A722" s="109"/>
      <c r="B722" s="104"/>
      <c r="C722" s="104"/>
      <c r="D722" s="105"/>
      <c r="E722" s="135"/>
      <c r="F722" s="107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6"/>
    </row>
    <row r="723" ht="15.75" customHeight="1">
      <c r="A723" s="109"/>
      <c r="B723" s="104"/>
      <c r="C723" s="104"/>
      <c r="D723" s="105"/>
      <c r="E723" s="135"/>
      <c r="F723" s="107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6"/>
    </row>
    <row r="724" ht="15.75" customHeight="1">
      <c r="A724" s="109"/>
      <c r="B724" s="104"/>
      <c r="C724" s="104"/>
      <c r="D724" s="105"/>
      <c r="E724" s="135"/>
      <c r="F724" s="107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6"/>
    </row>
    <row r="725" ht="15.75" customHeight="1">
      <c r="A725" s="109"/>
      <c r="B725" s="104"/>
      <c r="C725" s="104"/>
      <c r="D725" s="105"/>
      <c r="E725" s="135"/>
      <c r="F725" s="107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6"/>
    </row>
    <row r="726" ht="15.75" customHeight="1">
      <c r="A726" s="109"/>
      <c r="B726" s="104"/>
      <c r="C726" s="104"/>
      <c r="D726" s="105"/>
      <c r="E726" s="135"/>
      <c r="F726" s="107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6"/>
    </row>
    <row r="727" ht="15.75" customHeight="1">
      <c r="A727" s="109"/>
      <c r="B727" s="104"/>
      <c r="C727" s="104"/>
      <c r="D727" s="105"/>
      <c r="E727" s="135"/>
      <c r="F727" s="107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6"/>
    </row>
    <row r="728" ht="15.75" customHeight="1">
      <c r="A728" s="109"/>
      <c r="B728" s="104"/>
      <c r="C728" s="104"/>
      <c r="D728" s="105"/>
      <c r="E728" s="135"/>
      <c r="F728" s="107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6"/>
    </row>
    <row r="729" ht="15.75" customHeight="1">
      <c r="A729" s="109"/>
      <c r="B729" s="104"/>
      <c r="C729" s="104"/>
      <c r="D729" s="105"/>
      <c r="E729" s="135"/>
      <c r="F729" s="107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6"/>
    </row>
    <row r="730" ht="15.75" customHeight="1">
      <c r="A730" s="109"/>
      <c r="B730" s="104"/>
      <c r="C730" s="104"/>
      <c r="D730" s="105"/>
      <c r="E730" s="135"/>
      <c r="F730" s="107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6"/>
    </row>
    <row r="731" ht="15.75" customHeight="1">
      <c r="A731" s="109"/>
      <c r="B731" s="104"/>
      <c r="C731" s="104"/>
      <c r="D731" s="105"/>
      <c r="E731" s="135"/>
      <c r="F731" s="107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6"/>
    </row>
    <row r="732" ht="15.75" customHeight="1">
      <c r="A732" s="109"/>
      <c r="B732" s="104"/>
      <c r="C732" s="104"/>
      <c r="D732" s="105"/>
      <c r="E732" s="135"/>
      <c r="F732" s="107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6"/>
    </row>
    <row r="733" ht="15.75" customHeight="1">
      <c r="A733" s="109"/>
      <c r="B733" s="104"/>
      <c r="C733" s="104"/>
      <c r="D733" s="105"/>
      <c r="E733" s="135"/>
      <c r="F733" s="107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6"/>
    </row>
    <row r="734" ht="15.75" customHeight="1">
      <c r="A734" s="109"/>
      <c r="B734" s="104"/>
      <c r="C734" s="104"/>
      <c r="D734" s="105"/>
      <c r="E734" s="135"/>
      <c r="F734" s="107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6"/>
    </row>
    <row r="735" ht="15.75" customHeight="1">
      <c r="A735" s="109"/>
      <c r="B735" s="104"/>
      <c r="C735" s="104"/>
      <c r="D735" s="105"/>
      <c r="E735" s="135"/>
      <c r="F735" s="107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6"/>
    </row>
    <row r="736" ht="15.75" customHeight="1">
      <c r="A736" s="109"/>
      <c r="B736" s="104"/>
      <c r="C736" s="104"/>
      <c r="D736" s="105"/>
      <c r="E736" s="135"/>
      <c r="F736" s="107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6"/>
    </row>
    <row r="737" ht="15.75" customHeight="1">
      <c r="A737" s="109"/>
      <c r="B737" s="104"/>
      <c r="C737" s="104"/>
      <c r="D737" s="105"/>
      <c r="E737" s="135"/>
      <c r="F737" s="107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6"/>
    </row>
    <row r="738" ht="15.75" customHeight="1">
      <c r="A738" s="109"/>
      <c r="B738" s="104"/>
      <c r="C738" s="104"/>
      <c r="D738" s="105"/>
      <c r="E738" s="135"/>
      <c r="F738" s="107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6"/>
    </row>
    <row r="739" ht="15.75" customHeight="1">
      <c r="A739" s="109"/>
      <c r="B739" s="104"/>
      <c r="C739" s="104"/>
      <c r="D739" s="105"/>
      <c r="E739" s="135"/>
      <c r="F739" s="107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6"/>
    </row>
    <row r="740" ht="15.75" customHeight="1">
      <c r="A740" s="109"/>
      <c r="B740" s="104"/>
      <c r="C740" s="104"/>
      <c r="D740" s="105"/>
      <c r="E740" s="135"/>
      <c r="F740" s="107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6"/>
    </row>
    <row r="741" ht="15.75" customHeight="1">
      <c r="A741" s="109"/>
      <c r="B741" s="104"/>
      <c r="C741" s="104"/>
      <c r="D741" s="105"/>
      <c r="E741" s="135"/>
      <c r="F741" s="107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6"/>
    </row>
    <row r="742" ht="15.75" customHeight="1">
      <c r="A742" s="109"/>
      <c r="B742" s="104"/>
      <c r="C742" s="104"/>
      <c r="D742" s="105"/>
      <c r="E742" s="135"/>
      <c r="F742" s="107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6"/>
    </row>
    <row r="743" ht="15.75" customHeight="1">
      <c r="A743" s="109"/>
      <c r="B743" s="104"/>
      <c r="C743" s="104"/>
      <c r="D743" s="105"/>
      <c r="E743" s="135"/>
      <c r="F743" s="107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6"/>
    </row>
    <row r="744" ht="15.75" customHeight="1">
      <c r="A744" s="109"/>
      <c r="B744" s="104"/>
      <c r="C744" s="104"/>
      <c r="D744" s="105"/>
      <c r="E744" s="135"/>
      <c r="F744" s="107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6"/>
    </row>
    <row r="745" ht="15.75" customHeight="1">
      <c r="A745" s="109"/>
      <c r="B745" s="104"/>
      <c r="C745" s="104"/>
      <c r="D745" s="105"/>
      <c r="E745" s="135"/>
      <c r="F745" s="107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6"/>
    </row>
    <row r="746" ht="15.75" customHeight="1">
      <c r="A746" s="109"/>
      <c r="B746" s="104"/>
      <c r="C746" s="104"/>
      <c r="D746" s="105"/>
      <c r="E746" s="135"/>
      <c r="F746" s="107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6"/>
    </row>
    <row r="747" ht="15.75" customHeight="1">
      <c r="A747" s="109"/>
      <c r="B747" s="104"/>
      <c r="C747" s="104"/>
      <c r="D747" s="105"/>
      <c r="E747" s="135"/>
      <c r="F747" s="107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6"/>
    </row>
    <row r="748" ht="15.75" customHeight="1">
      <c r="A748" s="109"/>
      <c r="B748" s="104"/>
      <c r="C748" s="104"/>
      <c r="D748" s="105"/>
      <c r="E748" s="135"/>
      <c r="F748" s="107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6"/>
    </row>
    <row r="749" ht="15.75" customHeight="1">
      <c r="A749" s="109"/>
      <c r="B749" s="104"/>
      <c r="C749" s="104"/>
      <c r="D749" s="105"/>
      <c r="E749" s="135"/>
      <c r="F749" s="107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6"/>
    </row>
    <row r="750" ht="15.75" customHeight="1">
      <c r="A750" s="109"/>
      <c r="B750" s="104"/>
      <c r="C750" s="104"/>
      <c r="D750" s="105"/>
      <c r="E750" s="135"/>
      <c r="F750" s="107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6"/>
    </row>
    <row r="751" ht="15.75" customHeight="1">
      <c r="A751" s="109"/>
      <c r="B751" s="104"/>
      <c r="C751" s="104"/>
      <c r="D751" s="105"/>
      <c r="E751" s="135"/>
      <c r="F751" s="107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6"/>
    </row>
    <row r="752" ht="15.75" customHeight="1">
      <c r="A752" s="109"/>
      <c r="B752" s="104"/>
      <c r="C752" s="104"/>
      <c r="D752" s="105"/>
      <c r="E752" s="135"/>
      <c r="F752" s="107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6"/>
    </row>
    <row r="753" ht="15.75" customHeight="1">
      <c r="A753" s="109"/>
      <c r="B753" s="104"/>
      <c r="C753" s="104"/>
      <c r="D753" s="105"/>
      <c r="E753" s="135"/>
      <c r="F753" s="107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6"/>
    </row>
    <row r="754" ht="15.75" customHeight="1">
      <c r="A754" s="109"/>
      <c r="B754" s="104"/>
      <c r="C754" s="104"/>
      <c r="D754" s="105"/>
      <c r="E754" s="135"/>
      <c r="F754" s="107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6"/>
    </row>
    <row r="755" ht="15.75" customHeight="1">
      <c r="A755" s="109"/>
      <c r="B755" s="104"/>
      <c r="C755" s="104"/>
      <c r="D755" s="105"/>
      <c r="E755" s="135"/>
      <c r="F755" s="107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6"/>
    </row>
    <row r="756" ht="15.75" customHeight="1">
      <c r="A756" s="109"/>
      <c r="B756" s="104"/>
      <c r="C756" s="104"/>
      <c r="D756" s="105"/>
      <c r="E756" s="135"/>
      <c r="F756" s="107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6"/>
    </row>
    <row r="757" ht="15.75" customHeight="1">
      <c r="A757" s="109"/>
      <c r="B757" s="104"/>
      <c r="C757" s="104"/>
      <c r="D757" s="105"/>
      <c r="E757" s="135"/>
      <c r="F757" s="107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6"/>
    </row>
    <row r="758" ht="15.75" customHeight="1">
      <c r="A758" s="109"/>
      <c r="B758" s="104"/>
      <c r="C758" s="104"/>
      <c r="D758" s="105"/>
      <c r="E758" s="135"/>
      <c r="F758" s="107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6"/>
    </row>
    <row r="759" ht="15.75" customHeight="1">
      <c r="A759" s="109"/>
      <c r="B759" s="104"/>
      <c r="C759" s="104"/>
      <c r="D759" s="105"/>
      <c r="E759" s="135"/>
      <c r="F759" s="107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6"/>
    </row>
    <row r="760" ht="15.75" customHeight="1">
      <c r="A760" s="109"/>
      <c r="B760" s="104"/>
      <c r="C760" s="104"/>
      <c r="D760" s="105"/>
      <c r="E760" s="135"/>
      <c r="F760" s="107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6"/>
    </row>
    <row r="761" ht="15.75" customHeight="1">
      <c r="A761" s="109"/>
      <c r="B761" s="104"/>
      <c r="C761" s="104"/>
      <c r="D761" s="105"/>
      <c r="E761" s="135"/>
      <c r="F761" s="107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6"/>
    </row>
    <row r="762" ht="15.75" customHeight="1">
      <c r="A762" s="109"/>
      <c r="B762" s="104"/>
      <c r="C762" s="104"/>
      <c r="D762" s="105"/>
      <c r="E762" s="135"/>
      <c r="F762" s="107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6"/>
    </row>
    <row r="763" ht="15.75" customHeight="1">
      <c r="A763" s="109"/>
      <c r="B763" s="104"/>
      <c r="C763" s="104"/>
      <c r="D763" s="105"/>
      <c r="E763" s="135"/>
      <c r="F763" s="107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6"/>
    </row>
    <row r="764" ht="15.75" customHeight="1">
      <c r="A764" s="109"/>
      <c r="B764" s="104"/>
      <c r="C764" s="104"/>
      <c r="D764" s="105"/>
      <c r="E764" s="135"/>
      <c r="F764" s="107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6"/>
    </row>
    <row r="765" ht="15.75" customHeight="1">
      <c r="A765" s="109"/>
      <c r="B765" s="104"/>
      <c r="C765" s="104"/>
      <c r="D765" s="105"/>
      <c r="E765" s="135"/>
      <c r="F765" s="107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6"/>
    </row>
    <row r="766" ht="15.75" customHeight="1">
      <c r="A766" s="109"/>
      <c r="B766" s="104"/>
      <c r="C766" s="104"/>
      <c r="D766" s="105"/>
      <c r="E766" s="135"/>
      <c r="F766" s="107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6"/>
    </row>
    <row r="767" ht="15.75" customHeight="1">
      <c r="A767" s="109"/>
      <c r="B767" s="104"/>
      <c r="C767" s="104"/>
      <c r="D767" s="105"/>
      <c r="E767" s="135"/>
      <c r="F767" s="107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6"/>
    </row>
    <row r="768" ht="15.75" customHeight="1">
      <c r="A768" s="109"/>
      <c r="B768" s="104"/>
      <c r="C768" s="104"/>
      <c r="D768" s="105"/>
      <c r="E768" s="135"/>
      <c r="F768" s="107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6"/>
    </row>
    <row r="769" ht="15.75" customHeight="1">
      <c r="A769" s="109"/>
      <c r="B769" s="104"/>
      <c r="C769" s="104"/>
      <c r="D769" s="105"/>
      <c r="E769" s="135"/>
      <c r="F769" s="107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6"/>
    </row>
    <row r="770" ht="15.75" customHeight="1">
      <c r="A770" s="109"/>
      <c r="B770" s="104"/>
      <c r="C770" s="104"/>
      <c r="D770" s="105"/>
      <c r="E770" s="135"/>
      <c r="F770" s="107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6"/>
    </row>
    <row r="771" ht="15.75" customHeight="1">
      <c r="A771" s="109"/>
      <c r="B771" s="104"/>
      <c r="C771" s="104"/>
      <c r="D771" s="105"/>
      <c r="E771" s="135"/>
      <c r="F771" s="107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6"/>
    </row>
    <row r="772" ht="15.75" customHeight="1">
      <c r="A772" s="109"/>
      <c r="B772" s="104"/>
      <c r="C772" s="104"/>
      <c r="D772" s="105"/>
      <c r="E772" s="135"/>
      <c r="F772" s="107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6"/>
    </row>
    <row r="773" ht="15.75" customHeight="1">
      <c r="A773" s="109"/>
      <c r="B773" s="104"/>
      <c r="C773" s="104"/>
      <c r="D773" s="105"/>
      <c r="E773" s="135"/>
      <c r="F773" s="107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6"/>
    </row>
    <row r="774" ht="15.75" customHeight="1">
      <c r="A774" s="109"/>
      <c r="B774" s="104"/>
      <c r="C774" s="104"/>
      <c r="D774" s="105"/>
      <c r="E774" s="135"/>
      <c r="F774" s="107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6"/>
    </row>
    <row r="775" ht="15.75" customHeight="1">
      <c r="A775" s="109"/>
      <c r="B775" s="104"/>
      <c r="C775" s="104"/>
      <c r="D775" s="105"/>
      <c r="E775" s="135"/>
      <c r="F775" s="107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6"/>
    </row>
    <row r="776" ht="15.75" customHeight="1">
      <c r="A776" s="109"/>
      <c r="B776" s="104"/>
      <c r="C776" s="104"/>
      <c r="D776" s="105"/>
      <c r="E776" s="135"/>
      <c r="F776" s="107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6"/>
    </row>
    <row r="777" ht="15.75" customHeight="1">
      <c r="A777" s="109"/>
      <c r="B777" s="104"/>
      <c r="C777" s="104"/>
      <c r="D777" s="105"/>
      <c r="E777" s="135"/>
      <c r="F777" s="107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6"/>
    </row>
    <row r="778" ht="15.75" customHeight="1">
      <c r="A778" s="109"/>
      <c r="B778" s="104"/>
      <c r="C778" s="104"/>
      <c r="D778" s="105"/>
      <c r="E778" s="135"/>
      <c r="F778" s="107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6"/>
    </row>
    <row r="779" ht="15.75" customHeight="1">
      <c r="A779" s="109"/>
      <c r="B779" s="104"/>
      <c r="C779" s="104"/>
      <c r="D779" s="105"/>
      <c r="E779" s="135"/>
      <c r="F779" s="107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6"/>
    </row>
    <row r="780" ht="15.75" customHeight="1">
      <c r="A780" s="109"/>
      <c r="B780" s="104"/>
      <c r="C780" s="104"/>
      <c r="D780" s="105"/>
      <c r="E780" s="135"/>
      <c r="F780" s="107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6"/>
    </row>
    <row r="781" ht="15.75" customHeight="1">
      <c r="A781" s="109"/>
      <c r="B781" s="104"/>
      <c r="C781" s="104"/>
      <c r="D781" s="105"/>
      <c r="E781" s="135"/>
      <c r="F781" s="107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6"/>
    </row>
    <row r="782" ht="15.75" customHeight="1">
      <c r="A782" s="109"/>
      <c r="B782" s="104"/>
      <c r="C782" s="104"/>
      <c r="D782" s="105"/>
      <c r="E782" s="135"/>
      <c r="F782" s="107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6"/>
    </row>
    <row r="783" ht="15.75" customHeight="1">
      <c r="A783" s="109"/>
      <c r="B783" s="104"/>
      <c r="C783" s="104"/>
      <c r="D783" s="105"/>
      <c r="E783" s="135"/>
      <c r="F783" s="107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6"/>
    </row>
    <row r="784" ht="15.75" customHeight="1">
      <c r="A784" s="109"/>
      <c r="B784" s="104"/>
      <c r="C784" s="104"/>
      <c r="D784" s="105"/>
      <c r="E784" s="135"/>
      <c r="F784" s="107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6"/>
    </row>
    <row r="785" ht="15.75" customHeight="1">
      <c r="A785" s="109"/>
      <c r="B785" s="104"/>
      <c r="C785" s="104"/>
      <c r="D785" s="105"/>
      <c r="E785" s="135"/>
      <c r="F785" s="107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6"/>
    </row>
    <row r="786" ht="15.75" customHeight="1">
      <c r="A786" s="109"/>
      <c r="B786" s="104"/>
      <c r="C786" s="104"/>
      <c r="D786" s="105"/>
      <c r="E786" s="135"/>
      <c r="F786" s="107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6"/>
    </row>
    <row r="787" ht="15.75" customHeight="1">
      <c r="A787" s="109"/>
      <c r="B787" s="104"/>
      <c r="C787" s="104"/>
      <c r="D787" s="105"/>
      <c r="E787" s="135"/>
      <c r="F787" s="107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6"/>
    </row>
    <row r="788" ht="15.75" customHeight="1">
      <c r="A788" s="109"/>
      <c r="B788" s="104"/>
      <c r="C788" s="104"/>
      <c r="D788" s="105"/>
      <c r="E788" s="135"/>
      <c r="F788" s="107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6"/>
    </row>
    <row r="789" ht="15.75" customHeight="1">
      <c r="A789" s="109"/>
      <c r="B789" s="104"/>
      <c r="C789" s="104"/>
      <c r="D789" s="105"/>
      <c r="E789" s="135"/>
      <c r="F789" s="107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6"/>
    </row>
    <row r="790" ht="15.75" customHeight="1">
      <c r="A790" s="109"/>
      <c r="B790" s="104"/>
      <c r="C790" s="104"/>
      <c r="D790" s="105"/>
      <c r="E790" s="135"/>
      <c r="F790" s="107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6"/>
    </row>
    <row r="791" ht="15.75" customHeight="1">
      <c r="A791" s="109"/>
      <c r="B791" s="104"/>
      <c r="C791" s="104"/>
      <c r="D791" s="105"/>
      <c r="E791" s="135"/>
      <c r="F791" s="107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6"/>
    </row>
    <row r="792" ht="15.75" customHeight="1">
      <c r="A792" s="109"/>
      <c r="B792" s="104"/>
      <c r="C792" s="104"/>
      <c r="D792" s="105"/>
      <c r="E792" s="135"/>
      <c r="F792" s="107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6"/>
    </row>
    <row r="793" ht="15.75" customHeight="1">
      <c r="A793" s="109"/>
      <c r="B793" s="104"/>
      <c r="C793" s="104"/>
      <c r="D793" s="105"/>
      <c r="E793" s="135"/>
      <c r="F793" s="107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6"/>
    </row>
    <row r="794" ht="15.75" customHeight="1">
      <c r="A794" s="109"/>
      <c r="B794" s="104"/>
      <c r="C794" s="104"/>
      <c r="D794" s="105"/>
      <c r="E794" s="135"/>
      <c r="F794" s="107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6"/>
    </row>
    <row r="795" ht="15.75" customHeight="1">
      <c r="A795" s="109"/>
      <c r="B795" s="104"/>
      <c r="C795" s="104"/>
      <c r="D795" s="105"/>
      <c r="E795" s="135"/>
      <c r="F795" s="107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6"/>
    </row>
    <row r="796" ht="15.75" customHeight="1">
      <c r="A796" s="109"/>
      <c r="B796" s="104"/>
      <c r="C796" s="104"/>
      <c r="D796" s="105"/>
      <c r="E796" s="135"/>
      <c r="F796" s="107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6"/>
    </row>
    <row r="797" ht="15.75" customHeight="1">
      <c r="A797" s="109"/>
      <c r="B797" s="104"/>
      <c r="C797" s="104"/>
      <c r="D797" s="105"/>
      <c r="E797" s="135"/>
      <c r="F797" s="107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6"/>
    </row>
    <row r="798" ht="15.75" customHeight="1">
      <c r="A798" s="109"/>
      <c r="B798" s="104"/>
      <c r="C798" s="104"/>
      <c r="D798" s="105"/>
      <c r="E798" s="135"/>
      <c r="F798" s="107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6"/>
    </row>
    <row r="799" ht="15.75" customHeight="1">
      <c r="A799" s="109"/>
      <c r="B799" s="104"/>
      <c r="C799" s="104"/>
      <c r="D799" s="105"/>
      <c r="E799" s="135"/>
      <c r="F799" s="107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6"/>
    </row>
    <row r="800" ht="15.75" customHeight="1">
      <c r="A800" s="109"/>
      <c r="B800" s="104"/>
      <c r="C800" s="104"/>
      <c r="D800" s="105"/>
      <c r="E800" s="135"/>
      <c r="F800" s="107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6"/>
    </row>
    <row r="801" ht="15.75" customHeight="1">
      <c r="A801" s="109"/>
      <c r="B801" s="104"/>
      <c r="C801" s="104"/>
      <c r="D801" s="105"/>
      <c r="E801" s="135"/>
      <c r="F801" s="107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6"/>
    </row>
    <row r="802" ht="15.75" customHeight="1">
      <c r="A802" s="109"/>
      <c r="B802" s="104"/>
      <c r="C802" s="104"/>
      <c r="D802" s="105"/>
      <c r="E802" s="135"/>
      <c r="F802" s="107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6"/>
    </row>
    <row r="803" ht="15.75" customHeight="1">
      <c r="A803" s="109"/>
      <c r="B803" s="104"/>
      <c r="C803" s="104"/>
      <c r="D803" s="105"/>
      <c r="E803" s="135"/>
      <c r="F803" s="107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6"/>
    </row>
    <row r="804" ht="15.75" customHeight="1">
      <c r="A804" s="109"/>
      <c r="B804" s="104"/>
      <c r="C804" s="104"/>
      <c r="D804" s="105"/>
      <c r="E804" s="135"/>
      <c r="F804" s="107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6"/>
    </row>
    <row r="805" ht="15.75" customHeight="1">
      <c r="A805" s="109"/>
      <c r="B805" s="104"/>
      <c r="C805" s="104"/>
      <c r="D805" s="105"/>
      <c r="E805" s="135"/>
      <c r="F805" s="107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6"/>
    </row>
    <row r="806" ht="15.75" customHeight="1">
      <c r="A806" s="109"/>
      <c r="B806" s="104"/>
      <c r="C806" s="104"/>
      <c r="D806" s="105"/>
      <c r="E806" s="135"/>
      <c r="F806" s="107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6"/>
    </row>
    <row r="807" ht="15.75" customHeight="1">
      <c r="A807" s="109"/>
      <c r="B807" s="104"/>
      <c r="C807" s="104"/>
      <c r="D807" s="105"/>
      <c r="E807" s="135"/>
      <c r="F807" s="107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6"/>
    </row>
    <row r="808" ht="15.75" customHeight="1">
      <c r="A808" s="109"/>
      <c r="B808" s="104"/>
      <c r="C808" s="104"/>
      <c r="D808" s="105"/>
      <c r="E808" s="135"/>
      <c r="F808" s="107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6"/>
    </row>
    <row r="809" ht="15.75" customHeight="1">
      <c r="A809" s="109"/>
      <c r="B809" s="104"/>
      <c r="C809" s="104"/>
      <c r="D809" s="105"/>
      <c r="E809" s="135"/>
      <c r="F809" s="107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6"/>
    </row>
    <row r="810" ht="15.75" customHeight="1">
      <c r="A810" s="109"/>
      <c r="B810" s="104"/>
      <c r="C810" s="104"/>
      <c r="D810" s="105"/>
      <c r="E810" s="135"/>
      <c r="F810" s="107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6"/>
    </row>
    <row r="811" ht="15.75" customHeight="1">
      <c r="A811" s="109"/>
      <c r="B811" s="104"/>
      <c r="C811" s="104"/>
      <c r="D811" s="105"/>
      <c r="E811" s="135"/>
      <c r="F811" s="107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6"/>
    </row>
    <row r="812" ht="15.75" customHeight="1">
      <c r="A812" s="109"/>
      <c r="B812" s="104"/>
      <c r="C812" s="104"/>
      <c r="D812" s="105"/>
      <c r="E812" s="135"/>
      <c r="F812" s="107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6"/>
    </row>
    <row r="813" ht="15.75" customHeight="1">
      <c r="A813" s="109"/>
      <c r="B813" s="104"/>
      <c r="C813" s="104"/>
      <c r="D813" s="105"/>
      <c r="E813" s="135"/>
      <c r="F813" s="107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6"/>
    </row>
    <row r="814" ht="15.75" customHeight="1">
      <c r="A814" s="109"/>
      <c r="B814" s="104"/>
      <c r="C814" s="104"/>
      <c r="D814" s="105"/>
      <c r="E814" s="135"/>
      <c r="F814" s="107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6"/>
    </row>
    <row r="815" ht="15.75" customHeight="1">
      <c r="A815" s="109"/>
      <c r="B815" s="104"/>
      <c r="C815" s="104"/>
      <c r="D815" s="105"/>
      <c r="E815" s="135"/>
      <c r="F815" s="107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6"/>
    </row>
    <row r="816" ht="15.75" customHeight="1">
      <c r="A816" s="109"/>
      <c r="B816" s="104"/>
      <c r="C816" s="104"/>
      <c r="D816" s="105"/>
      <c r="E816" s="135"/>
      <c r="F816" s="107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6"/>
    </row>
    <row r="817" ht="15.75" customHeight="1">
      <c r="A817" s="109"/>
      <c r="B817" s="104"/>
      <c r="C817" s="104"/>
      <c r="D817" s="105"/>
      <c r="E817" s="135"/>
      <c r="F817" s="107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6"/>
    </row>
    <row r="818" ht="15.75" customHeight="1">
      <c r="A818" s="109"/>
      <c r="B818" s="104"/>
      <c r="C818" s="104"/>
      <c r="D818" s="105"/>
      <c r="E818" s="135"/>
      <c r="F818" s="107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6"/>
    </row>
    <row r="819" ht="15.75" customHeight="1">
      <c r="A819" s="109"/>
      <c r="B819" s="104"/>
      <c r="C819" s="104"/>
      <c r="D819" s="105"/>
      <c r="E819" s="135"/>
      <c r="F819" s="107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6"/>
    </row>
    <row r="820" ht="15.75" customHeight="1">
      <c r="A820" s="109"/>
      <c r="B820" s="104"/>
      <c r="C820" s="104"/>
      <c r="D820" s="105"/>
      <c r="E820" s="135"/>
      <c r="F820" s="107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6"/>
    </row>
    <row r="821" ht="15.75" customHeight="1">
      <c r="A821" s="109"/>
      <c r="B821" s="104"/>
      <c r="C821" s="104"/>
      <c r="D821" s="105"/>
      <c r="E821" s="135"/>
      <c r="F821" s="107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6"/>
    </row>
    <row r="822" ht="15.75" customHeight="1">
      <c r="A822" s="109"/>
      <c r="B822" s="104"/>
      <c r="C822" s="104"/>
      <c r="D822" s="105"/>
      <c r="E822" s="135"/>
      <c r="F822" s="107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6"/>
    </row>
    <row r="823" ht="15.75" customHeight="1">
      <c r="A823" s="109"/>
      <c r="B823" s="104"/>
      <c r="C823" s="104"/>
      <c r="D823" s="105"/>
      <c r="E823" s="135"/>
      <c r="F823" s="107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6"/>
    </row>
    <row r="824" ht="15.75" customHeight="1">
      <c r="A824" s="109"/>
      <c r="B824" s="104"/>
      <c r="C824" s="104"/>
      <c r="D824" s="105"/>
      <c r="E824" s="135"/>
      <c r="F824" s="107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6"/>
    </row>
    <row r="825" ht="15.75" customHeight="1">
      <c r="A825" s="109"/>
      <c r="B825" s="104"/>
      <c r="C825" s="104"/>
      <c r="D825" s="105"/>
      <c r="E825" s="135"/>
      <c r="F825" s="107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6"/>
    </row>
    <row r="826" ht="15.75" customHeight="1">
      <c r="A826" s="109"/>
      <c r="B826" s="104"/>
      <c r="C826" s="104"/>
      <c r="D826" s="105"/>
      <c r="E826" s="135"/>
      <c r="F826" s="107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6"/>
    </row>
    <row r="827" ht="15.75" customHeight="1">
      <c r="A827" s="109"/>
      <c r="B827" s="104"/>
      <c r="C827" s="104"/>
      <c r="D827" s="105"/>
      <c r="E827" s="135"/>
      <c r="F827" s="107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6"/>
    </row>
    <row r="828" ht="15.75" customHeight="1">
      <c r="A828" s="109"/>
      <c r="B828" s="104"/>
      <c r="C828" s="104"/>
      <c r="D828" s="105"/>
      <c r="E828" s="135"/>
      <c r="F828" s="107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6"/>
    </row>
    <row r="829" ht="15.75" customHeight="1">
      <c r="A829" s="109"/>
      <c r="B829" s="104"/>
      <c r="C829" s="104"/>
      <c r="D829" s="105"/>
      <c r="E829" s="135"/>
      <c r="F829" s="107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6"/>
    </row>
    <row r="830" ht="15.75" customHeight="1">
      <c r="A830" s="109"/>
      <c r="B830" s="104"/>
      <c r="C830" s="104"/>
      <c r="D830" s="105"/>
      <c r="E830" s="135"/>
      <c r="F830" s="107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6"/>
    </row>
    <row r="831" ht="15.75" customHeight="1">
      <c r="A831" s="109"/>
      <c r="B831" s="104"/>
      <c r="C831" s="104"/>
      <c r="D831" s="105"/>
      <c r="E831" s="135"/>
      <c r="F831" s="107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6"/>
    </row>
    <row r="832" ht="15.75" customHeight="1">
      <c r="A832" s="109"/>
      <c r="B832" s="104"/>
      <c r="C832" s="104"/>
      <c r="D832" s="105"/>
      <c r="E832" s="135"/>
      <c r="F832" s="107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6"/>
    </row>
    <row r="833" ht="15.75" customHeight="1">
      <c r="A833" s="109"/>
      <c r="B833" s="104"/>
      <c r="C833" s="104"/>
      <c r="D833" s="105"/>
      <c r="E833" s="135"/>
      <c r="F833" s="107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6"/>
    </row>
    <row r="834" ht="15.75" customHeight="1">
      <c r="A834" s="109"/>
      <c r="B834" s="104"/>
      <c r="C834" s="104"/>
      <c r="D834" s="105"/>
      <c r="E834" s="135"/>
      <c r="F834" s="107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6"/>
    </row>
    <row r="835" ht="15.75" customHeight="1">
      <c r="A835" s="109"/>
      <c r="B835" s="104"/>
      <c r="C835" s="104"/>
      <c r="D835" s="105"/>
      <c r="E835" s="135"/>
      <c r="F835" s="107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6"/>
    </row>
    <row r="836" ht="15.75" customHeight="1">
      <c r="A836" s="109"/>
      <c r="B836" s="104"/>
      <c r="C836" s="104"/>
      <c r="D836" s="105"/>
      <c r="E836" s="135"/>
      <c r="F836" s="107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6"/>
    </row>
    <row r="837" ht="15.75" customHeight="1">
      <c r="A837" s="109"/>
      <c r="B837" s="104"/>
      <c r="C837" s="104"/>
      <c r="D837" s="105"/>
      <c r="E837" s="135"/>
      <c r="F837" s="107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6"/>
    </row>
    <row r="838" ht="15.75" customHeight="1">
      <c r="A838" s="109"/>
      <c r="B838" s="104"/>
      <c r="C838" s="104"/>
      <c r="D838" s="105"/>
      <c r="E838" s="135"/>
      <c r="F838" s="107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6"/>
    </row>
    <row r="839" ht="15.75" customHeight="1">
      <c r="A839" s="109"/>
      <c r="B839" s="104"/>
      <c r="C839" s="104"/>
      <c r="D839" s="105"/>
      <c r="E839" s="135"/>
      <c r="F839" s="107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6"/>
    </row>
    <row r="840" ht="15.75" customHeight="1">
      <c r="A840" s="109"/>
      <c r="B840" s="104"/>
      <c r="C840" s="104"/>
      <c r="D840" s="105"/>
      <c r="E840" s="135"/>
      <c r="F840" s="107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6"/>
    </row>
    <row r="841" ht="15.75" customHeight="1">
      <c r="A841" s="109"/>
      <c r="B841" s="104"/>
      <c r="C841" s="104"/>
      <c r="D841" s="105"/>
      <c r="E841" s="135"/>
      <c r="F841" s="107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6"/>
    </row>
    <row r="842" ht="15.75" customHeight="1">
      <c r="A842" s="109"/>
      <c r="B842" s="104"/>
      <c r="C842" s="104"/>
      <c r="D842" s="105"/>
      <c r="E842" s="135"/>
      <c r="F842" s="107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6"/>
    </row>
    <row r="843" ht="15.75" customHeight="1">
      <c r="A843" s="109"/>
      <c r="B843" s="104"/>
      <c r="C843" s="104"/>
      <c r="D843" s="105"/>
      <c r="E843" s="135"/>
      <c r="F843" s="107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6"/>
    </row>
    <row r="844" ht="15.75" customHeight="1">
      <c r="A844" s="109"/>
      <c r="B844" s="104"/>
      <c r="C844" s="104"/>
      <c r="D844" s="105"/>
      <c r="E844" s="135"/>
      <c r="F844" s="107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6"/>
    </row>
    <row r="845" ht="15.75" customHeight="1">
      <c r="A845" s="109"/>
      <c r="B845" s="104"/>
      <c r="C845" s="104"/>
      <c r="D845" s="105"/>
      <c r="E845" s="135"/>
      <c r="F845" s="107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6"/>
    </row>
    <row r="846" ht="15.75" customHeight="1">
      <c r="A846" s="109"/>
      <c r="B846" s="104"/>
      <c r="C846" s="104"/>
      <c r="D846" s="105"/>
      <c r="E846" s="135"/>
      <c r="F846" s="107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6"/>
    </row>
    <row r="847" ht="15.75" customHeight="1">
      <c r="A847" s="109"/>
      <c r="B847" s="104"/>
      <c r="C847" s="104"/>
      <c r="D847" s="105"/>
      <c r="E847" s="135"/>
      <c r="F847" s="107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6"/>
    </row>
    <row r="848" ht="15.75" customHeight="1">
      <c r="A848" s="109"/>
      <c r="B848" s="104"/>
      <c r="C848" s="104"/>
      <c r="D848" s="105"/>
      <c r="E848" s="135"/>
      <c r="F848" s="107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6"/>
    </row>
    <row r="849" ht="15.75" customHeight="1">
      <c r="A849" s="109"/>
      <c r="B849" s="104"/>
      <c r="C849" s="104"/>
      <c r="D849" s="105"/>
      <c r="E849" s="135"/>
      <c r="F849" s="107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6"/>
    </row>
    <row r="850" ht="15.75" customHeight="1">
      <c r="A850" s="109"/>
      <c r="B850" s="104"/>
      <c r="C850" s="104"/>
      <c r="D850" s="105"/>
      <c r="E850" s="135"/>
      <c r="F850" s="107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6"/>
    </row>
    <row r="851" ht="15.75" customHeight="1">
      <c r="A851" s="109"/>
      <c r="B851" s="104"/>
      <c r="C851" s="104"/>
      <c r="D851" s="105"/>
      <c r="E851" s="135"/>
      <c r="F851" s="107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6"/>
    </row>
    <row r="852" ht="15.75" customHeight="1">
      <c r="A852" s="109"/>
      <c r="B852" s="104"/>
      <c r="C852" s="104"/>
      <c r="D852" s="105"/>
      <c r="E852" s="135"/>
      <c r="F852" s="107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6"/>
    </row>
    <row r="853" ht="15.75" customHeight="1">
      <c r="A853" s="109"/>
      <c r="B853" s="104"/>
      <c r="C853" s="104"/>
      <c r="D853" s="105"/>
      <c r="E853" s="135"/>
      <c r="F853" s="107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6"/>
    </row>
    <row r="854" ht="15.75" customHeight="1">
      <c r="A854" s="109"/>
      <c r="B854" s="104"/>
      <c r="C854" s="104"/>
      <c r="D854" s="105"/>
      <c r="E854" s="135"/>
      <c r="F854" s="107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6"/>
    </row>
    <row r="855" ht="15.75" customHeight="1">
      <c r="A855" s="109"/>
      <c r="B855" s="104"/>
      <c r="C855" s="104"/>
      <c r="D855" s="105"/>
      <c r="E855" s="135"/>
      <c r="F855" s="107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6"/>
    </row>
    <row r="856" ht="15.75" customHeight="1">
      <c r="A856" s="109"/>
      <c r="B856" s="104"/>
      <c r="C856" s="104"/>
      <c r="D856" s="105"/>
      <c r="E856" s="135"/>
      <c r="F856" s="107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6"/>
    </row>
    <row r="857" ht="15.75" customHeight="1">
      <c r="A857" s="109"/>
      <c r="B857" s="104"/>
      <c r="C857" s="104"/>
      <c r="D857" s="105"/>
      <c r="E857" s="135"/>
      <c r="F857" s="107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6"/>
    </row>
    <row r="858" ht="15.75" customHeight="1">
      <c r="A858" s="109"/>
      <c r="B858" s="104"/>
      <c r="C858" s="104"/>
      <c r="D858" s="105"/>
      <c r="E858" s="135"/>
      <c r="F858" s="107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6"/>
    </row>
    <row r="859" ht="15.75" customHeight="1">
      <c r="A859" s="109"/>
      <c r="B859" s="104"/>
      <c r="C859" s="104"/>
      <c r="D859" s="105"/>
      <c r="E859" s="135"/>
      <c r="F859" s="107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6"/>
    </row>
    <row r="860" ht="15.75" customHeight="1">
      <c r="A860" s="109"/>
      <c r="B860" s="104"/>
      <c r="C860" s="104"/>
      <c r="D860" s="105"/>
      <c r="E860" s="135"/>
      <c r="F860" s="107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6"/>
    </row>
    <row r="861" ht="15.75" customHeight="1">
      <c r="A861" s="109"/>
      <c r="B861" s="104"/>
      <c r="C861" s="104"/>
      <c r="D861" s="105"/>
      <c r="E861" s="135"/>
      <c r="F861" s="107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6"/>
    </row>
    <row r="862" ht="15.75" customHeight="1">
      <c r="A862" s="109"/>
      <c r="B862" s="104"/>
      <c r="C862" s="104"/>
      <c r="D862" s="105"/>
      <c r="E862" s="135"/>
      <c r="F862" s="107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6"/>
    </row>
    <row r="863" ht="15.75" customHeight="1">
      <c r="A863" s="109"/>
      <c r="B863" s="104"/>
      <c r="C863" s="104"/>
      <c r="D863" s="105"/>
      <c r="E863" s="135"/>
      <c r="F863" s="107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6"/>
    </row>
    <row r="864" ht="15.75" customHeight="1">
      <c r="A864" s="109"/>
      <c r="B864" s="104"/>
      <c r="C864" s="104"/>
      <c r="D864" s="105"/>
      <c r="E864" s="135"/>
      <c r="F864" s="107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6"/>
    </row>
    <row r="865" ht="15.75" customHeight="1">
      <c r="A865" s="109"/>
      <c r="B865" s="104"/>
      <c r="C865" s="104"/>
      <c r="D865" s="105"/>
      <c r="E865" s="135"/>
      <c r="F865" s="107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6"/>
    </row>
    <row r="866" ht="15.75" customHeight="1">
      <c r="A866" s="109"/>
      <c r="B866" s="104"/>
      <c r="C866" s="104"/>
      <c r="D866" s="105"/>
      <c r="E866" s="135"/>
      <c r="F866" s="107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6"/>
    </row>
    <row r="867" ht="15.75" customHeight="1">
      <c r="A867" s="109"/>
      <c r="B867" s="104"/>
      <c r="C867" s="104"/>
      <c r="D867" s="105"/>
      <c r="E867" s="135"/>
      <c r="F867" s="107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6"/>
    </row>
    <row r="868" ht="15.75" customHeight="1">
      <c r="A868" s="109"/>
      <c r="B868" s="104"/>
      <c r="C868" s="104"/>
      <c r="D868" s="105"/>
      <c r="E868" s="135"/>
      <c r="F868" s="107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6"/>
    </row>
    <row r="869" ht="15.75" customHeight="1">
      <c r="A869" s="109"/>
      <c r="B869" s="104"/>
      <c r="C869" s="104"/>
      <c r="D869" s="105"/>
      <c r="E869" s="135"/>
      <c r="F869" s="107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6"/>
    </row>
    <row r="870" ht="15.75" customHeight="1">
      <c r="A870" s="109"/>
      <c r="B870" s="104"/>
      <c r="C870" s="104"/>
      <c r="D870" s="105"/>
      <c r="E870" s="135"/>
      <c r="F870" s="107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6"/>
    </row>
    <row r="871" ht="15.75" customHeight="1">
      <c r="A871" s="109"/>
      <c r="B871" s="104"/>
      <c r="C871" s="104"/>
      <c r="D871" s="105"/>
      <c r="E871" s="135"/>
      <c r="F871" s="107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6"/>
    </row>
    <row r="872" ht="15.75" customHeight="1">
      <c r="A872" s="109"/>
      <c r="B872" s="104"/>
      <c r="C872" s="104"/>
      <c r="D872" s="105"/>
      <c r="E872" s="135"/>
      <c r="F872" s="107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6"/>
    </row>
    <row r="873" ht="15.75" customHeight="1">
      <c r="A873" s="109"/>
      <c r="B873" s="104"/>
      <c r="C873" s="104"/>
      <c r="D873" s="105"/>
      <c r="E873" s="135"/>
      <c r="F873" s="107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6"/>
    </row>
    <row r="874" ht="15.75" customHeight="1">
      <c r="A874" s="109"/>
      <c r="B874" s="104"/>
      <c r="C874" s="104"/>
      <c r="D874" s="105"/>
      <c r="E874" s="135"/>
      <c r="F874" s="107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6"/>
    </row>
    <row r="875" ht="15.75" customHeight="1">
      <c r="A875" s="109"/>
      <c r="B875" s="104"/>
      <c r="C875" s="104"/>
      <c r="D875" s="105"/>
      <c r="E875" s="135"/>
      <c r="F875" s="107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6"/>
    </row>
    <row r="876" ht="15.75" customHeight="1">
      <c r="A876" s="109"/>
      <c r="B876" s="104"/>
      <c r="C876" s="104"/>
      <c r="D876" s="105"/>
      <c r="E876" s="135"/>
      <c r="F876" s="107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6"/>
    </row>
    <row r="877" ht="15.75" customHeight="1">
      <c r="A877" s="109"/>
      <c r="B877" s="104"/>
      <c r="C877" s="104"/>
      <c r="D877" s="105"/>
      <c r="E877" s="135"/>
      <c r="F877" s="107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6"/>
    </row>
    <row r="878" ht="15.75" customHeight="1">
      <c r="A878" s="109"/>
      <c r="B878" s="104"/>
      <c r="C878" s="104"/>
      <c r="D878" s="105"/>
      <c r="E878" s="135"/>
      <c r="F878" s="107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6"/>
    </row>
    <row r="879" ht="15.75" customHeight="1">
      <c r="A879" s="109"/>
      <c r="B879" s="104"/>
      <c r="C879" s="104"/>
      <c r="D879" s="105"/>
      <c r="E879" s="135"/>
      <c r="F879" s="107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6"/>
    </row>
    <row r="880" ht="15.75" customHeight="1">
      <c r="A880" s="109"/>
      <c r="B880" s="104"/>
      <c r="C880" s="104"/>
      <c r="D880" s="105"/>
      <c r="E880" s="135"/>
      <c r="F880" s="107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6"/>
    </row>
    <row r="881" ht="15.75" customHeight="1">
      <c r="A881" s="109"/>
      <c r="B881" s="104"/>
      <c r="C881" s="104"/>
      <c r="D881" s="105"/>
      <c r="E881" s="135"/>
      <c r="F881" s="107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6"/>
    </row>
    <row r="882" ht="15.75" customHeight="1">
      <c r="A882" s="109"/>
      <c r="B882" s="104"/>
      <c r="C882" s="104"/>
      <c r="D882" s="105"/>
      <c r="E882" s="135"/>
      <c r="F882" s="107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6"/>
    </row>
    <row r="883" ht="15.75" customHeight="1">
      <c r="A883" s="109"/>
      <c r="B883" s="104"/>
      <c r="C883" s="104"/>
      <c r="D883" s="105"/>
      <c r="E883" s="135"/>
      <c r="F883" s="107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6"/>
    </row>
    <row r="884" ht="15.75" customHeight="1">
      <c r="A884" s="109"/>
      <c r="B884" s="104"/>
      <c r="C884" s="104"/>
      <c r="D884" s="105"/>
      <c r="E884" s="135"/>
      <c r="F884" s="107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6"/>
    </row>
    <row r="885" ht="15.75" customHeight="1">
      <c r="A885" s="109"/>
      <c r="B885" s="104"/>
      <c r="C885" s="104"/>
      <c r="D885" s="105"/>
      <c r="E885" s="135"/>
      <c r="F885" s="107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6"/>
    </row>
    <row r="886" ht="15.75" customHeight="1">
      <c r="A886" s="109"/>
      <c r="B886" s="104"/>
      <c r="C886" s="104"/>
      <c r="D886" s="105"/>
      <c r="E886" s="135"/>
      <c r="F886" s="107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6"/>
    </row>
    <row r="887" ht="15.75" customHeight="1">
      <c r="A887" s="109"/>
      <c r="B887" s="104"/>
      <c r="C887" s="104"/>
      <c r="D887" s="105"/>
      <c r="E887" s="135"/>
      <c r="F887" s="107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6"/>
    </row>
    <row r="888" ht="15.75" customHeight="1">
      <c r="A888" s="109"/>
      <c r="B888" s="104"/>
      <c r="C888" s="104"/>
      <c r="D888" s="105"/>
      <c r="E888" s="135"/>
      <c r="F888" s="107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6"/>
    </row>
    <row r="889" ht="15.75" customHeight="1">
      <c r="A889" s="109"/>
      <c r="B889" s="104"/>
      <c r="C889" s="104"/>
      <c r="D889" s="105"/>
      <c r="E889" s="135"/>
      <c r="F889" s="107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6"/>
    </row>
    <row r="890" ht="15.75" customHeight="1">
      <c r="A890" s="109"/>
      <c r="B890" s="104"/>
      <c r="C890" s="104"/>
      <c r="D890" s="105"/>
      <c r="E890" s="135"/>
      <c r="F890" s="107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6"/>
    </row>
    <row r="891" ht="15.75" customHeight="1">
      <c r="A891" s="109"/>
      <c r="B891" s="104"/>
      <c r="C891" s="104"/>
      <c r="D891" s="105"/>
      <c r="E891" s="135"/>
      <c r="F891" s="107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6"/>
    </row>
    <row r="892" ht="15.75" customHeight="1">
      <c r="A892" s="109"/>
      <c r="B892" s="104"/>
      <c r="C892" s="104"/>
      <c r="D892" s="105"/>
      <c r="E892" s="135"/>
      <c r="F892" s="107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6"/>
    </row>
    <row r="893" ht="15.75" customHeight="1">
      <c r="A893" s="109"/>
      <c r="B893" s="104"/>
      <c r="C893" s="104"/>
      <c r="D893" s="105"/>
      <c r="E893" s="135"/>
      <c r="F893" s="107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6"/>
    </row>
    <row r="894" ht="15.75" customHeight="1">
      <c r="A894" s="109"/>
      <c r="B894" s="104"/>
      <c r="C894" s="104"/>
      <c r="D894" s="105"/>
      <c r="E894" s="135"/>
      <c r="F894" s="107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6"/>
    </row>
    <row r="895" ht="15.75" customHeight="1">
      <c r="A895" s="109"/>
      <c r="B895" s="104"/>
      <c r="C895" s="104"/>
      <c r="D895" s="105"/>
      <c r="E895" s="135"/>
      <c r="F895" s="107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6"/>
    </row>
    <row r="896" ht="15.75" customHeight="1">
      <c r="A896" s="109"/>
      <c r="B896" s="104"/>
      <c r="C896" s="104"/>
      <c r="D896" s="105"/>
      <c r="E896" s="135"/>
      <c r="F896" s="107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6"/>
    </row>
    <row r="897" ht="15.75" customHeight="1">
      <c r="A897" s="109"/>
      <c r="B897" s="104"/>
      <c r="C897" s="104"/>
      <c r="D897" s="105"/>
      <c r="E897" s="135"/>
      <c r="F897" s="107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6"/>
    </row>
    <row r="898" ht="15.75" customHeight="1">
      <c r="A898" s="109"/>
      <c r="B898" s="104"/>
      <c r="C898" s="104"/>
      <c r="D898" s="105"/>
      <c r="E898" s="135"/>
      <c r="F898" s="107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6"/>
    </row>
    <row r="899" ht="15.75" customHeight="1">
      <c r="A899" s="109"/>
      <c r="B899" s="104"/>
      <c r="C899" s="104"/>
      <c r="D899" s="105"/>
      <c r="E899" s="135"/>
      <c r="F899" s="107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6"/>
    </row>
    <row r="900" ht="15.75" customHeight="1">
      <c r="A900" s="109"/>
      <c r="B900" s="104"/>
      <c r="C900" s="104"/>
      <c r="D900" s="105"/>
      <c r="E900" s="135"/>
      <c r="F900" s="107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6"/>
    </row>
    <row r="901" ht="15.75" customHeight="1">
      <c r="A901" s="109"/>
      <c r="B901" s="104"/>
      <c r="C901" s="104"/>
      <c r="D901" s="105"/>
      <c r="E901" s="135"/>
      <c r="F901" s="107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6"/>
    </row>
    <row r="902" ht="15.75" customHeight="1">
      <c r="A902" s="109"/>
      <c r="B902" s="104"/>
      <c r="C902" s="104"/>
      <c r="D902" s="105"/>
      <c r="E902" s="135"/>
      <c r="F902" s="107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6"/>
    </row>
    <row r="903" ht="15.75" customHeight="1">
      <c r="A903" s="109"/>
      <c r="B903" s="104"/>
      <c r="C903" s="104"/>
      <c r="D903" s="105"/>
      <c r="E903" s="135"/>
      <c r="F903" s="107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6"/>
    </row>
    <row r="904" ht="15.75" customHeight="1">
      <c r="A904" s="109"/>
      <c r="B904" s="104"/>
      <c r="C904" s="104"/>
      <c r="D904" s="105"/>
      <c r="E904" s="135"/>
      <c r="F904" s="107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6"/>
    </row>
    <row r="905" ht="15.75" customHeight="1">
      <c r="A905" s="109"/>
      <c r="B905" s="104"/>
      <c r="C905" s="104"/>
      <c r="D905" s="105"/>
      <c r="E905" s="135"/>
      <c r="F905" s="107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6"/>
    </row>
    <row r="906" ht="15.75" customHeight="1">
      <c r="A906" s="109"/>
      <c r="B906" s="104"/>
      <c r="C906" s="104"/>
      <c r="D906" s="105"/>
      <c r="E906" s="135"/>
      <c r="F906" s="107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6"/>
    </row>
    <row r="907" ht="15.75" customHeight="1">
      <c r="A907" s="109"/>
      <c r="B907" s="104"/>
      <c r="C907" s="104"/>
      <c r="D907" s="105"/>
      <c r="E907" s="135"/>
      <c r="F907" s="107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6"/>
    </row>
    <row r="908" ht="15.75" customHeight="1">
      <c r="A908" s="109"/>
      <c r="B908" s="104"/>
      <c r="C908" s="104"/>
      <c r="D908" s="105"/>
      <c r="E908" s="135"/>
      <c r="F908" s="107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6"/>
    </row>
    <row r="909" ht="15.75" customHeight="1">
      <c r="A909" s="109"/>
      <c r="B909" s="104"/>
      <c r="C909" s="104"/>
      <c r="D909" s="105"/>
      <c r="E909" s="135"/>
      <c r="F909" s="107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6"/>
    </row>
    <row r="910" ht="15.75" customHeight="1">
      <c r="A910" s="109"/>
      <c r="B910" s="104"/>
      <c r="C910" s="104"/>
      <c r="D910" s="105"/>
      <c r="E910" s="135"/>
      <c r="F910" s="107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6"/>
    </row>
    <row r="911" ht="15.75" customHeight="1">
      <c r="A911" s="109"/>
      <c r="B911" s="104"/>
      <c r="C911" s="104"/>
      <c r="D911" s="105"/>
      <c r="E911" s="135"/>
      <c r="F911" s="107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6"/>
    </row>
    <row r="912" ht="15.75" customHeight="1">
      <c r="A912" s="109"/>
      <c r="B912" s="104"/>
      <c r="C912" s="104"/>
      <c r="D912" s="105"/>
      <c r="E912" s="135"/>
      <c r="F912" s="107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6"/>
    </row>
    <row r="913" ht="15.75" customHeight="1">
      <c r="A913" s="109"/>
      <c r="B913" s="104"/>
      <c r="C913" s="104"/>
      <c r="D913" s="105"/>
      <c r="E913" s="135"/>
      <c r="F913" s="107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6"/>
    </row>
    <row r="914" ht="15.75" customHeight="1">
      <c r="A914" s="109"/>
      <c r="B914" s="104"/>
      <c r="C914" s="104"/>
      <c r="D914" s="105"/>
      <c r="E914" s="135"/>
      <c r="F914" s="107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6"/>
    </row>
    <row r="915" ht="15.75" customHeight="1">
      <c r="A915" s="109"/>
      <c r="B915" s="104"/>
      <c r="C915" s="104"/>
      <c r="D915" s="105"/>
      <c r="E915" s="135"/>
      <c r="F915" s="107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6"/>
    </row>
    <row r="916" ht="15.75" customHeight="1">
      <c r="A916" s="109"/>
      <c r="B916" s="104"/>
      <c r="C916" s="104"/>
      <c r="D916" s="105"/>
      <c r="E916" s="135"/>
      <c r="F916" s="107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6"/>
    </row>
    <row r="917" ht="15.75" customHeight="1">
      <c r="A917" s="109"/>
      <c r="B917" s="104"/>
      <c r="C917" s="104"/>
      <c r="D917" s="105"/>
      <c r="E917" s="135"/>
      <c r="F917" s="107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6"/>
    </row>
    <row r="918" ht="15.75" customHeight="1">
      <c r="A918" s="109"/>
      <c r="B918" s="104"/>
      <c r="C918" s="104"/>
      <c r="D918" s="105"/>
      <c r="E918" s="135"/>
      <c r="F918" s="107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6"/>
    </row>
    <row r="919" ht="15.75" customHeight="1">
      <c r="A919" s="109"/>
      <c r="B919" s="104"/>
      <c r="C919" s="104"/>
      <c r="D919" s="105"/>
      <c r="E919" s="135"/>
      <c r="F919" s="107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6"/>
    </row>
    <row r="920" ht="15.75" customHeight="1">
      <c r="A920" s="109"/>
      <c r="B920" s="104"/>
      <c r="C920" s="104"/>
      <c r="D920" s="105"/>
      <c r="E920" s="135"/>
      <c r="F920" s="107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6"/>
    </row>
    <row r="921" ht="15.75" customHeight="1">
      <c r="A921" s="109"/>
      <c r="B921" s="104"/>
      <c r="C921" s="104"/>
      <c r="D921" s="105"/>
      <c r="E921" s="135"/>
      <c r="F921" s="107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6"/>
    </row>
    <row r="922" ht="15.75" customHeight="1">
      <c r="A922" s="109"/>
      <c r="B922" s="104"/>
      <c r="C922" s="104"/>
      <c r="D922" s="105"/>
      <c r="E922" s="135"/>
      <c r="F922" s="107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6"/>
    </row>
    <row r="923" ht="15.75" customHeight="1">
      <c r="A923" s="109"/>
      <c r="B923" s="104"/>
      <c r="C923" s="104"/>
      <c r="D923" s="105"/>
      <c r="E923" s="135"/>
      <c r="F923" s="107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6"/>
    </row>
    <row r="924" ht="15.75" customHeight="1">
      <c r="A924" s="109"/>
      <c r="B924" s="104"/>
      <c r="C924" s="104"/>
      <c r="D924" s="105"/>
      <c r="E924" s="135"/>
      <c r="F924" s="107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6"/>
    </row>
    <row r="925" ht="15.75" customHeight="1">
      <c r="A925" s="109"/>
      <c r="B925" s="104"/>
      <c r="C925" s="104"/>
      <c r="D925" s="105"/>
      <c r="E925" s="135"/>
      <c r="F925" s="107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6"/>
    </row>
    <row r="926" ht="15.75" customHeight="1">
      <c r="A926" s="109"/>
      <c r="B926" s="104"/>
      <c r="C926" s="104"/>
      <c r="D926" s="105"/>
      <c r="E926" s="135"/>
      <c r="F926" s="107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6"/>
    </row>
    <row r="927" ht="15.75" customHeight="1">
      <c r="A927" s="109"/>
      <c r="B927" s="104"/>
      <c r="C927" s="104"/>
      <c r="D927" s="105"/>
      <c r="E927" s="135"/>
      <c r="F927" s="107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6"/>
    </row>
    <row r="928" ht="15.75" customHeight="1">
      <c r="A928" s="109"/>
      <c r="B928" s="104"/>
      <c r="C928" s="104"/>
      <c r="D928" s="105"/>
      <c r="E928" s="135"/>
      <c r="F928" s="107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6"/>
    </row>
    <row r="929" ht="15.75" customHeight="1">
      <c r="A929" s="109"/>
      <c r="B929" s="104"/>
      <c r="C929" s="104"/>
      <c r="D929" s="105"/>
      <c r="E929" s="135"/>
      <c r="F929" s="107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6"/>
    </row>
    <row r="930" ht="15.75" customHeight="1">
      <c r="A930" s="109"/>
      <c r="B930" s="104"/>
      <c r="C930" s="104"/>
      <c r="D930" s="105"/>
      <c r="E930" s="135"/>
      <c r="F930" s="107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6"/>
    </row>
    <row r="931" ht="15.75" customHeight="1">
      <c r="A931" s="109"/>
      <c r="B931" s="104"/>
      <c r="C931" s="104"/>
      <c r="D931" s="105"/>
      <c r="E931" s="135"/>
      <c r="F931" s="107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6"/>
    </row>
    <row r="932" ht="15.75" customHeight="1">
      <c r="A932" s="109"/>
      <c r="B932" s="104"/>
      <c r="C932" s="104"/>
      <c r="D932" s="105"/>
      <c r="E932" s="135"/>
      <c r="F932" s="107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6"/>
    </row>
    <row r="933" ht="15.75" customHeight="1">
      <c r="A933" s="109"/>
      <c r="B933" s="104"/>
      <c r="C933" s="104"/>
      <c r="D933" s="105"/>
      <c r="E933" s="135"/>
      <c r="F933" s="107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6"/>
    </row>
    <row r="934" ht="15.75" customHeight="1">
      <c r="A934" s="109"/>
      <c r="B934" s="104"/>
      <c r="C934" s="104"/>
      <c r="D934" s="105"/>
      <c r="E934" s="135"/>
      <c r="F934" s="107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6"/>
    </row>
    <row r="935" ht="15.75" customHeight="1">
      <c r="A935" s="109"/>
      <c r="B935" s="104"/>
      <c r="C935" s="104"/>
      <c r="D935" s="105"/>
      <c r="E935" s="135"/>
      <c r="F935" s="107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6"/>
    </row>
    <row r="936" ht="15.75" customHeight="1">
      <c r="A936" s="109"/>
      <c r="B936" s="104"/>
      <c r="C936" s="104"/>
      <c r="D936" s="105"/>
      <c r="E936" s="135"/>
      <c r="F936" s="107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6"/>
    </row>
    <row r="937" ht="15.75" customHeight="1">
      <c r="A937" s="109"/>
      <c r="B937" s="104"/>
      <c r="C937" s="104"/>
      <c r="D937" s="105"/>
      <c r="E937" s="135"/>
      <c r="F937" s="107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6"/>
    </row>
    <row r="938" ht="15.75" customHeight="1">
      <c r="A938" s="109"/>
      <c r="B938" s="104"/>
      <c r="C938" s="104"/>
      <c r="D938" s="105"/>
      <c r="E938" s="135"/>
      <c r="F938" s="107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6"/>
    </row>
    <row r="939" ht="15.75" customHeight="1">
      <c r="A939" s="109"/>
      <c r="B939" s="104"/>
      <c r="C939" s="104"/>
      <c r="D939" s="105"/>
      <c r="E939" s="135"/>
      <c r="F939" s="107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6"/>
    </row>
    <row r="940" ht="15.75" customHeight="1">
      <c r="A940" s="109"/>
      <c r="B940" s="104"/>
      <c r="C940" s="104"/>
      <c r="D940" s="105"/>
      <c r="E940" s="135"/>
      <c r="F940" s="107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6"/>
    </row>
    <row r="941" ht="15.75" customHeight="1">
      <c r="A941" s="109"/>
      <c r="B941" s="104"/>
      <c r="C941" s="104"/>
      <c r="D941" s="105"/>
      <c r="E941" s="135"/>
      <c r="F941" s="107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6"/>
    </row>
    <row r="942" ht="15.75" customHeight="1">
      <c r="A942" s="109"/>
      <c r="B942" s="104"/>
      <c r="C942" s="104"/>
      <c r="D942" s="105"/>
      <c r="E942" s="135"/>
      <c r="F942" s="107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6"/>
    </row>
    <row r="943" ht="15.75" customHeight="1">
      <c r="A943" s="109"/>
      <c r="B943" s="104"/>
      <c r="C943" s="104"/>
      <c r="D943" s="105"/>
      <c r="E943" s="135"/>
      <c r="F943" s="107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6"/>
    </row>
    <row r="944" ht="15.75" customHeight="1">
      <c r="A944" s="109"/>
      <c r="B944" s="104"/>
      <c r="C944" s="104"/>
      <c r="D944" s="105"/>
      <c r="E944" s="135"/>
      <c r="F944" s="107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6"/>
    </row>
    <row r="945" ht="15.75" customHeight="1">
      <c r="A945" s="109"/>
      <c r="B945" s="104"/>
      <c r="C945" s="104"/>
      <c r="D945" s="105"/>
      <c r="E945" s="135"/>
      <c r="F945" s="107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6"/>
    </row>
    <row r="946" ht="15.75" customHeight="1">
      <c r="A946" s="109"/>
      <c r="B946" s="104"/>
      <c r="C946" s="104"/>
      <c r="D946" s="105"/>
      <c r="E946" s="135"/>
      <c r="F946" s="107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6"/>
    </row>
    <row r="947" ht="15.75" customHeight="1">
      <c r="A947" s="109"/>
      <c r="B947" s="104"/>
      <c r="C947" s="104"/>
      <c r="D947" s="105"/>
      <c r="E947" s="135"/>
      <c r="F947" s="107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6"/>
    </row>
    <row r="948" ht="15.75" customHeight="1">
      <c r="A948" s="109"/>
      <c r="B948" s="104"/>
      <c r="C948" s="104"/>
      <c r="D948" s="105"/>
      <c r="E948" s="135"/>
      <c r="F948" s="107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6"/>
    </row>
    <row r="949" ht="15.75" customHeight="1">
      <c r="A949" s="109"/>
      <c r="B949" s="104"/>
      <c r="C949" s="104"/>
      <c r="D949" s="105"/>
      <c r="E949" s="135"/>
      <c r="F949" s="107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6"/>
    </row>
    <row r="950" ht="15.75" customHeight="1">
      <c r="A950" s="109"/>
      <c r="B950" s="104"/>
      <c r="C950" s="104"/>
      <c r="D950" s="105"/>
      <c r="E950" s="135"/>
      <c r="F950" s="107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6"/>
    </row>
    <row r="951" ht="15.75" customHeight="1">
      <c r="A951" s="109"/>
      <c r="B951" s="104"/>
      <c r="C951" s="104"/>
      <c r="D951" s="105"/>
      <c r="E951" s="135"/>
      <c r="F951" s="107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6"/>
    </row>
    <row r="952" ht="15.75" customHeight="1">
      <c r="A952" s="109"/>
      <c r="B952" s="104"/>
      <c r="C952" s="104"/>
      <c r="D952" s="105"/>
      <c r="E952" s="135"/>
      <c r="F952" s="107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6"/>
    </row>
    <row r="953" ht="15.75" customHeight="1">
      <c r="A953" s="109"/>
      <c r="B953" s="104"/>
      <c r="C953" s="104"/>
      <c r="D953" s="105"/>
      <c r="E953" s="135"/>
      <c r="F953" s="107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6"/>
    </row>
    <row r="954" ht="15.75" customHeight="1">
      <c r="A954" s="109"/>
      <c r="B954" s="104"/>
      <c r="C954" s="104"/>
      <c r="D954" s="105"/>
      <c r="E954" s="135"/>
      <c r="F954" s="107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6"/>
    </row>
    <row r="955" ht="15.75" customHeight="1">
      <c r="A955" s="109"/>
      <c r="B955" s="104"/>
      <c r="C955" s="104"/>
      <c r="D955" s="105"/>
      <c r="E955" s="135"/>
      <c r="F955" s="107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6"/>
    </row>
    <row r="956" ht="15.75" customHeight="1">
      <c r="A956" s="109"/>
      <c r="B956" s="104"/>
      <c r="C956" s="104"/>
      <c r="D956" s="105"/>
      <c r="E956" s="135"/>
      <c r="F956" s="107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6"/>
    </row>
    <row r="957" ht="15.75" customHeight="1">
      <c r="A957" s="109"/>
      <c r="B957" s="104"/>
      <c r="C957" s="104"/>
      <c r="D957" s="105"/>
      <c r="E957" s="135"/>
      <c r="F957" s="107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6"/>
    </row>
    <row r="958" ht="15.75" customHeight="1">
      <c r="A958" s="109"/>
      <c r="B958" s="104"/>
      <c r="C958" s="104"/>
      <c r="D958" s="105"/>
      <c r="E958" s="135"/>
      <c r="F958" s="107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6"/>
    </row>
    <row r="959" ht="15.75" customHeight="1">
      <c r="A959" s="109"/>
      <c r="B959" s="104"/>
      <c r="C959" s="104"/>
      <c r="D959" s="105"/>
      <c r="E959" s="135"/>
      <c r="F959" s="107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6"/>
    </row>
    <row r="960" ht="15.75" customHeight="1">
      <c r="A960" s="109"/>
      <c r="B960" s="104"/>
      <c r="C960" s="104"/>
      <c r="D960" s="105"/>
      <c r="E960" s="135"/>
      <c r="F960" s="107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6"/>
    </row>
    <row r="961" ht="15.75" customHeight="1">
      <c r="A961" s="109"/>
      <c r="B961" s="104"/>
      <c r="C961" s="104"/>
      <c r="D961" s="105"/>
      <c r="E961" s="135"/>
      <c r="F961" s="107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6"/>
    </row>
    <row r="962" ht="15.75" customHeight="1">
      <c r="A962" s="109"/>
      <c r="B962" s="104"/>
      <c r="C962" s="104"/>
      <c r="D962" s="105"/>
      <c r="E962" s="135"/>
      <c r="F962" s="107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6"/>
    </row>
    <row r="963" ht="15.75" customHeight="1">
      <c r="A963" s="109"/>
      <c r="B963" s="104"/>
      <c r="C963" s="104"/>
      <c r="D963" s="105"/>
      <c r="E963" s="135"/>
      <c r="F963" s="107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6"/>
    </row>
    <row r="964" ht="15.75" customHeight="1">
      <c r="A964" s="109"/>
      <c r="B964" s="104"/>
      <c r="C964" s="104"/>
      <c r="D964" s="105"/>
      <c r="E964" s="135"/>
      <c r="F964" s="107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6"/>
    </row>
    <row r="965" ht="15.75" customHeight="1">
      <c r="A965" s="109"/>
      <c r="B965" s="104"/>
      <c r="C965" s="104"/>
      <c r="D965" s="105"/>
      <c r="E965" s="135"/>
      <c r="F965" s="107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6"/>
    </row>
    <row r="966" ht="15.75" customHeight="1">
      <c r="A966" s="109"/>
      <c r="B966" s="104"/>
      <c r="C966" s="104"/>
      <c r="D966" s="105"/>
      <c r="E966" s="135"/>
      <c r="F966" s="107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6"/>
    </row>
    <row r="967" ht="15.75" customHeight="1">
      <c r="A967" s="109"/>
      <c r="B967" s="104"/>
      <c r="C967" s="104"/>
      <c r="D967" s="105"/>
      <c r="E967" s="135"/>
      <c r="F967" s="107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6"/>
    </row>
    <row r="968" ht="15.75" customHeight="1">
      <c r="A968" s="109"/>
      <c r="B968" s="104"/>
      <c r="C968" s="104"/>
      <c r="D968" s="105"/>
      <c r="E968" s="135"/>
      <c r="F968" s="107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6"/>
    </row>
    <row r="969" ht="15.75" customHeight="1">
      <c r="A969" s="109"/>
      <c r="B969" s="104"/>
      <c r="C969" s="104"/>
      <c r="D969" s="105"/>
      <c r="E969" s="135"/>
      <c r="F969" s="107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6"/>
    </row>
    <row r="970" ht="15.75" customHeight="1">
      <c r="A970" s="109"/>
      <c r="B970" s="104"/>
      <c r="C970" s="104"/>
      <c r="D970" s="105"/>
      <c r="E970" s="135"/>
      <c r="F970" s="107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6"/>
    </row>
    <row r="971" ht="15.75" customHeight="1">
      <c r="A971" s="109"/>
      <c r="B971" s="104"/>
      <c r="C971" s="104"/>
      <c r="D971" s="105"/>
      <c r="E971" s="135"/>
      <c r="F971" s="107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6"/>
    </row>
    <row r="972" ht="15.75" customHeight="1">
      <c r="A972" s="109"/>
      <c r="B972" s="104"/>
      <c r="C972" s="104"/>
      <c r="D972" s="105"/>
      <c r="E972" s="135"/>
      <c r="F972" s="107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6"/>
    </row>
    <row r="973" ht="15.75" customHeight="1">
      <c r="A973" s="109"/>
      <c r="B973" s="104"/>
      <c r="C973" s="104"/>
      <c r="D973" s="105"/>
      <c r="E973" s="135"/>
      <c r="F973" s="107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6"/>
    </row>
    <row r="974" ht="15.75" customHeight="1">
      <c r="A974" s="109"/>
      <c r="B974" s="104"/>
      <c r="C974" s="104"/>
      <c r="D974" s="105"/>
      <c r="E974" s="135"/>
      <c r="F974" s="107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6"/>
    </row>
    <row r="975" ht="15.75" customHeight="1">
      <c r="A975" s="109"/>
      <c r="B975" s="104"/>
      <c r="C975" s="104"/>
      <c r="D975" s="105"/>
      <c r="E975" s="135"/>
      <c r="F975" s="107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6"/>
    </row>
    <row r="976" ht="15.75" customHeight="1">
      <c r="A976" s="109"/>
      <c r="B976" s="104"/>
      <c r="C976" s="104"/>
      <c r="D976" s="105"/>
      <c r="E976" s="135"/>
      <c r="F976" s="107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6"/>
    </row>
    <row r="977" ht="15.75" customHeight="1">
      <c r="A977" s="109"/>
      <c r="B977" s="104"/>
      <c r="C977" s="104"/>
      <c r="D977" s="105"/>
      <c r="E977" s="135"/>
      <c r="F977" s="107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6"/>
    </row>
    <row r="978" ht="15.75" customHeight="1">
      <c r="A978" s="109"/>
      <c r="B978" s="104"/>
      <c r="C978" s="104"/>
      <c r="D978" s="105"/>
      <c r="E978" s="135"/>
      <c r="F978" s="107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6"/>
    </row>
    <row r="979" ht="15.75" customHeight="1">
      <c r="A979" s="109"/>
      <c r="B979" s="104"/>
      <c r="C979" s="104"/>
      <c r="D979" s="105"/>
      <c r="E979" s="135"/>
      <c r="F979" s="107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6"/>
    </row>
    <row r="980" ht="15.75" customHeight="1">
      <c r="A980" s="109"/>
      <c r="B980" s="104"/>
      <c r="C980" s="104"/>
      <c r="D980" s="105"/>
      <c r="E980" s="135"/>
      <c r="F980" s="107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6"/>
    </row>
    <row r="981" ht="15.75" customHeight="1">
      <c r="A981" s="109"/>
      <c r="B981" s="104"/>
      <c r="C981" s="104"/>
      <c r="D981" s="105"/>
      <c r="E981" s="135"/>
      <c r="F981" s="107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6"/>
    </row>
    <row r="982" ht="15.75" customHeight="1">
      <c r="A982" s="109"/>
      <c r="B982" s="104"/>
      <c r="C982" s="104"/>
      <c r="D982" s="105"/>
      <c r="E982" s="135"/>
      <c r="F982" s="107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6"/>
    </row>
    <row r="983" ht="15.75" customHeight="1">
      <c r="A983" s="109"/>
      <c r="B983" s="104"/>
      <c r="C983" s="104"/>
      <c r="D983" s="105"/>
      <c r="E983" s="135"/>
      <c r="F983" s="107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6"/>
    </row>
    <row r="984" ht="15.75" customHeight="1">
      <c r="A984" s="109"/>
      <c r="B984" s="104"/>
      <c r="C984" s="104"/>
      <c r="D984" s="105"/>
      <c r="E984" s="135"/>
      <c r="F984" s="107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6"/>
    </row>
    <row r="985" ht="15.75" customHeight="1">
      <c r="A985" s="109"/>
      <c r="B985" s="104"/>
      <c r="C985" s="104"/>
      <c r="D985" s="105"/>
      <c r="E985" s="135"/>
      <c r="F985" s="107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6"/>
    </row>
    <row r="986" ht="15.75" customHeight="1">
      <c r="A986" s="109"/>
      <c r="B986" s="104"/>
      <c r="C986" s="104"/>
      <c r="D986" s="105"/>
      <c r="E986" s="135"/>
      <c r="F986" s="107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6"/>
    </row>
    <row r="987" ht="15.75" customHeight="1">
      <c r="A987" s="109"/>
      <c r="B987" s="104"/>
      <c r="C987" s="104"/>
      <c r="D987" s="105"/>
      <c r="E987" s="135"/>
      <c r="F987" s="107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6"/>
    </row>
    <row r="988" ht="15.75" customHeight="1">
      <c r="A988" s="109"/>
      <c r="B988" s="104"/>
      <c r="C988" s="104"/>
      <c r="D988" s="105"/>
      <c r="E988" s="135"/>
      <c r="F988" s="107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6"/>
    </row>
    <row r="989" ht="15.75" customHeight="1">
      <c r="A989" s="109"/>
      <c r="B989" s="104"/>
      <c r="C989" s="104"/>
      <c r="D989" s="105"/>
      <c r="E989" s="135"/>
      <c r="F989" s="107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6"/>
    </row>
    <row r="990" ht="15.75" customHeight="1">
      <c r="A990" s="109"/>
      <c r="B990" s="104"/>
      <c r="C990" s="104"/>
      <c r="D990" s="105"/>
      <c r="E990" s="135"/>
      <c r="F990" s="107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6"/>
    </row>
    <row r="991" ht="15.75" customHeight="1">
      <c r="A991" s="109"/>
      <c r="B991" s="104"/>
      <c r="C991" s="104"/>
      <c r="D991" s="105"/>
      <c r="E991" s="135"/>
      <c r="F991" s="107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6"/>
    </row>
    <row r="992" ht="15.75" customHeight="1">
      <c r="A992" s="109"/>
      <c r="B992" s="104"/>
      <c r="C992" s="104"/>
      <c r="D992" s="105"/>
      <c r="E992" s="135"/>
      <c r="F992" s="107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6"/>
    </row>
    <row r="993" ht="15.75" customHeight="1">
      <c r="A993" s="109"/>
      <c r="B993" s="104"/>
      <c r="C993" s="104"/>
      <c r="D993" s="105"/>
      <c r="E993" s="135"/>
      <c r="F993" s="107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6"/>
    </row>
    <row r="994" ht="15.75" customHeight="1">
      <c r="A994" s="109"/>
      <c r="B994" s="104"/>
      <c r="C994" s="104"/>
      <c r="D994" s="105"/>
      <c r="E994" s="135"/>
      <c r="F994" s="107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6"/>
    </row>
    <row r="995" ht="15.75" customHeight="1">
      <c r="A995" s="109"/>
      <c r="B995" s="104"/>
      <c r="C995" s="104"/>
      <c r="D995" s="105"/>
      <c r="E995" s="135"/>
      <c r="F995" s="107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6"/>
    </row>
    <row r="996" ht="15.75" customHeight="1">
      <c r="A996" s="109"/>
      <c r="B996" s="104"/>
      <c r="C996" s="104"/>
      <c r="D996" s="105"/>
      <c r="E996" s="135"/>
      <c r="F996" s="107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6"/>
    </row>
    <row r="997" ht="15.75" customHeight="1">
      <c r="A997" s="109"/>
      <c r="B997" s="104"/>
      <c r="C997" s="104"/>
      <c r="D997" s="105"/>
      <c r="E997" s="135"/>
      <c r="F997" s="107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6"/>
    </row>
    <row r="998" ht="15.75" customHeight="1">
      <c r="A998" s="109"/>
      <c r="B998" s="104"/>
      <c r="C998" s="104"/>
      <c r="D998" s="105"/>
      <c r="E998" s="135"/>
      <c r="F998" s="107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6"/>
    </row>
    <row r="999" ht="15.75" customHeight="1">
      <c r="A999" s="109"/>
      <c r="B999" s="104"/>
      <c r="C999" s="104"/>
      <c r="D999" s="105"/>
      <c r="E999" s="135"/>
      <c r="F999" s="107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6"/>
    </row>
    <row r="1000" ht="15.75" customHeight="1">
      <c r="A1000" s="109"/>
      <c r="B1000" s="104"/>
      <c r="C1000" s="104"/>
      <c r="D1000" s="105"/>
      <c r="E1000" s="135"/>
      <c r="F1000" s="107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6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1.22" defaultRowHeight="15.0"/>
  <cols>
    <col customWidth="1" min="1" max="1" width="22.78"/>
    <col customWidth="1" min="2" max="2" width="16.44"/>
    <col customWidth="1" min="3" max="3" width="13.44"/>
    <col customWidth="1" min="4" max="4" width="14.11"/>
    <col customWidth="1" min="5" max="7" width="16.78"/>
    <col customWidth="1" min="8" max="8" width="17.33"/>
    <col customWidth="1" min="9" max="11" width="16.78"/>
    <col customWidth="1" min="12" max="12" width="20.0"/>
    <col customWidth="1" min="13" max="15" width="16.78"/>
    <col customWidth="1" min="16" max="16" width="22.78"/>
    <col customWidth="1" min="17" max="17" width="20.67"/>
    <col customWidth="1" min="18" max="18" width="98.89"/>
  </cols>
  <sheetData>
    <row r="1" ht="15.75" customHeight="1">
      <c r="A1" s="25" t="s">
        <v>28</v>
      </c>
      <c r="B1" s="26"/>
      <c r="C1" s="26"/>
      <c r="D1" s="27"/>
      <c r="E1" s="28"/>
      <c r="F1" s="29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28"/>
    </row>
    <row r="2" ht="15.75" customHeight="1">
      <c r="A2" s="31" t="s">
        <v>29</v>
      </c>
      <c r="B2" s="26"/>
      <c r="C2" s="26"/>
      <c r="D2" s="27"/>
      <c r="E2" s="28"/>
      <c r="F2" s="29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28"/>
    </row>
    <row r="3" ht="15.75" customHeight="1">
      <c r="A3" s="32" t="s">
        <v>30</v>
      </c>
      <c r="B3" s="26"/>
      <c r="C3" s="26"/>
      <c r="D3" s="27"/>
      <c r="E3" s="28"/>
      <c r="F3" s="29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28"/>
    </row>
    <row r="4" ht="21.75" customHeight="1">
      <c r="A4" s="33" t="s">
        <v>31</v>
      </c>
      <c r="B4" s="136" t="s">
        <v>126</v>
      </c>
      <c r="C4" s="26"/>
      <c r="D4" s="27"/>
      <c r="E4" s="28"/>
      <c r="F4" s="29"/>
      <c r="G4" s="30"/>
      <c r="H4" s="30"/>
      <c r="I4" s="35"/>
      <c r="J4" s="30"/>
      <c r="K4" s="30"/>
      <c r="L4" s="30"/>
      <c r="M4" s="30"/>
      <c r="N4" s="30"/>
      <c r="O4" s="30"/>
      <c r="P4" s="30"/>
      <c r="Q4" s="30"/>
      <c r="R4" s="28"/>
    </row>
    <row r="5" ht="24.0" customHeight="1">
      <c r="A5" s="36"/>
      <c r="B5" s="37" t="s">
        <v>32</v>
      </c>
      <c r="C5" s="38">
        <v>8.0</v>
      </c>
      <c r="D5" s="27"/>
      <c r="E5" s="28"/>
      <c r="F5" s="29"/>
      <c r="G5" s="30"/>
      <c r="H5" s="39"/>
      <c r="I5" s="35" t="s">
        <v>33</v>
      </c>
      <c r="J5" s="30"/>
      <c r="K5" s="30"/>
      <c r="L5" s="30"/>
      <c r="M5" s="30"/>
      <c r="N5" s="30"/>
      <c r="O5" s="30"/>
      <c r="P5" s="30"/>
      <c r="Q5" s="30"/>
      <c r="R5" s="39"/>
    </row>
    <row r="6" ht="15.75" customHeight="1">
      <c r="A6" s="40"/>
      <c r="B6" s="26"/>
      <c r="C6" s="26"/>
      <c r="D6" s="27"/>
      <c r="E6" s="28"/>
      <c r="F6" s="29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28"/>
    </row>
    <row r="7" ht="15.75" customHeight="1">
      <c r="A7" s="40"/>
      <c r="B7" s="26"/>
      <c r="C7" s="26"/>
      <c r="D7" s="27"/>
      <c r="E7" s="28"/>
      <c r="F7" s="29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28"/>
    </row>
    <row r="8" ht="15.75" customHeight="1">
      <c r="A8" s="40"/>
      <c r="B8" s="26"/>
      <c r="C8" s="26"/>
      <c r="D8" s="27"/>
      <c r="E8" s="28"/>
      <c r="F8" s="29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28"/>
    </row>
    <row r="9" ht="15.75" customHeight="1">
      <c r="A9" s="40"/>
      <c r="B9" s="26"/>
      <c r="C9" s="26"/>
      <c r="D9" s="27"/>
      <c r="E9" s="28"/>
      <c r="F9" s="29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28"/>
    </row>
    <row r="10" ht="78.75" customHeight="1">
      <c r="A10" s="41" t="s">
        <v>34</v>
      </c>
      <c r="B10" s="42" t="s">
        <v>35</v>
      </c>
      <c r="C10" s="42" t="s">
        <v>36</v>
      </c>
      <c r="D10" s="42" t="s">
        <v>37</v>
      </c>
      <c r="E10" s="43" t="s">
        <v>38</v>
      </c>
      <c r="F10" s="44" t="s">
        <v>39</v>
      </c>
      <c r="G10" s="45" t="s">
        <v>40</v>
      </c>
      <c r="H10" s="45" t="s">
        <v>41</v>
      </c>
      <c r="I10" s="45" t="s">
        <v>42</v>
      </c>
      <c r="J10" s="45" t="s">
        <v>43</v>
      </c>
      <c r="K10" s="45" t="s">
        <v>44</v>
      </c>
      <c r="L10" s="45" t="s">
        <v>45</v>
      </c>
      <c r="M10" s="45" t="s">
        <v>46</v>
      </c>
      <c r="N10" s="45" t="s">
        <v>43</v>
      </c>
      <c r="O10" s="45" t="s">
        <v>44</v>
      </c>
      <c r="P10" s="46" t="s">
        <v>47</v>
      </c>
      <c r="Q10" s="46" t="s">
        <v>64</v>
      </c>
      <c r="R10" s="44" t="s">
        <v>49</v>
      </c>
    </row>
    <row r="11" ht="15.75" customHeight="1">
      <c r="A11" s="47">
        <v>45662.0</v>
      </c>
      <c r="B11" s="48">
        <v>8.0</v>
      </c>
      <c r="C11" s="49">
        <f t="shared" ref="C11:C75" si="1">IF(B11=0,"",B11/C$5)</f>
        <v>1</v>
      </c>
      <c r="D11" s="50">
        <v>6600.0</v>
      </c>
      <c r="E11" s="51">
        <f t="shared" ref="E11:E14" si="2">IFERROR(D11/B11,"")</f>
        <v>825</v>
      </c>
      <c r="F11" s="50">
        <v>4700.0</v>
      </c>
      <c r="G11" s="52">
        <f t="shared" ref="G11:G75" si="3">IFERROR(F11/D11,"")</f>
        <v>0.7121212121</v>
      </c>
      <c r="H11" s="53"/>
      <c r="I11" s="53"/>
      <c r="J11" s="54"/>
      <c r="K11" s="55"/>
      <c r="L11" s="53"/>
      <c r="M11" s="53"/>
      <c r="N11" s="55"/>
      <c r="O11" s="55"/>
      <c r="P11" s="53"/>
      <c r="Q11" s="53"/>
      <c r="R11" s="56" t="s">
        <v>127</v>
      </c>
    </row>
    <row r="12" ht="15.75" customHeight="1">
      <c r="A12" s="57">
        <f t="shared" ref="A12:A14" si="4">A11+7</f>
        <v>45669</v>
      </c>
      <c r="B12" s="48">
        <v>8.0</v>
      </c>
      <c r="C12" s="49">
        <f t="shared" si="1"/>
        <v>1</v>
      </c>
      <c r="D12" s="50">
        <v>6600.0</v>
      </c>
      <c r="E12" s="51">
        <f t="shared" si="2"/>
        <v>825</v>
      </c>
      <c r="F12" s="50">
        <v>4700.0</v>
      </c>
      <c r="G12" s="52">
        <f t="shared" si="3"/>
        <v>0.7121212121</v>
      </c>
      <c r="H12" s="58"/>
      <c r="I12" s="58"/>
      <c r="J12" s="54"/>
      <c r="K12" s="55"/>
      <c r="L12" s="58"/>
      <c r="M12" s="58"/>
      <c r="N12" s="55"/>
      <c r="O12" s="55"/>
      <c r="P12" s="58"/>
      <c r="Q12" s="58"/>
      <c r="R12" s="147" t="s">
        <v>128</v>
      </c>
    </row>
    <row r="13" ht="15.75" customHeight="1">
      <c r="A13" s="57">
        <f t="shared" si="4"/>
        <v>45676</v>
      </c>
      <c r="B13" s="48">
        <v>8.0</v>
      </c>
      <c r="C13" s="49">
        <f t="shared" si="1"/>
        <v>1</v>
      </c>
      <c r="D13" s="50">
        <v>6600.0</v>
      </c>
      <c r="E13" s="51">
        <f t="shared" si="2"/>
        <v>825</v>
      </c>
      <c r="F13" s="50">
        <v>4999.0</v>
      </c>
      <c r="G13" s="52">
        <f t="shared" si="3"/>
        <v>0.7574242424</v>
      </c>
      <c r="H13" s="58"/>
      <c r="I13" s="58"/>
      <c r="J13" s="54"/>
      <c r="K13" s="55"/>
      <c r="L13" s="58"/>
      <c r="M13" s="58"/>
      <c r="N13" s="55"/>
      <c r="O13" s="55"/>
      <c r="P13" s="58"/>
      <c r="Q13" s="58"/>
      <c r="R13" s="147" t="s">
        <v>129</v>
      </c>
    </row>
    <row r="14" ht="15.75" customHeight="1">
      <c r="A14" s="57">
        <f t="shared" si="4"/>
        <v>45683</v>
      </c>
      <c r="B14" s="48">
        <v>8.0</v>
      </c>
      <c r="C14" s="49">
        <f t="shared" si="1"/>
        <v>1</v>
      </c>
      <c r="D14" s="50">
        <v>6600.0</v>
      </c>
      <c r="E14" s="51">
        <f t="shared" si="2"/>
        <v>825</v>
      </c>
      <c r="F14" s="50">
        <v>5698.0</v>
      </c>
      <c r="G14" s="52">
        <f t="shared" si="3"/>
        <v>0.8633333333</v>
      </c>
      <c r="H14" s="60"/>
      <c r="I14" s="60"/>
      <c r="J14" s="54"/>
      <c r="K14" s="55"/>
      <c r="L14" s="58"/>
      <c r="M14" s="58"/>
      <c r="N14" s="55"/>
      <c r="O14" s="55"/>
      <c r="P14" s="58"/>
      <c r="Q14" s="58"/>
      <c r="R14" s="59"/>
    </row>
    <row r="15" ht="15.75" customHeight="1">
      <c r="A15" s="61" t="s">
        <v>51</v>
      </c>
      <c r="B15" s="62">
        <v>7.0</v>
      </c>
      <c r="C15" s="63">
        <f t="shared" si="1"/>
        <v>0.875</v>
      </c>
      <c r="D15" s="64">
        <v>6072.0</v>
      </c>
      <c r="E15" s="65">
        <f>D15/B15</f>
        <v>867.4285714</v>
      </c>
      <c r="F15" s="64">
        <v>6072.0</v>
      </c>
      <c r="G15" s="66">
        <f t="shared" si="3"/>
        <v>1</v>
      </c>
      <c r="H15" s="67">
        <v>6450.0</v>
      </c>
      <c r="I15" s="67">
        <v>6072.0</v>
      </c>
      <c r="J15" s="68">
        <f>IF(H15=0,"",H15-I15)</f>
        <v>378</v>
      </c>
      <c r="K15" s="69">
        <f>IFERROR((H15-I15)/H15,"")</f>
        <v>0.05860465116</v>
      </c>
      <c r="L15" s="67">
        <v>3793.0</v>
      </c>
      <c r="M15" s="67">
        <v>3500.0</v>
      </c>
      <c r="N15" s="68">
        <f>IF(L15=0,"",L15-M15)</f>
        <v>293</v>
      </c>
      <c r="O15" s="69">
        <f>IFERROR((L15-M15)/L15,"")</f>
        <v>0.0772475613</v>
      </c>
      <c r="P15" s="70">
        <f t="shared" ref="P15:Q15" si="5">H15-L15</f>
        <v>2657</v>
      </c>
      <c r="Q15" s="70">
        <f t="shared" si="5"/>
        <v>2572</v>
      </c>
      <c r="R15" s="87"/>
    </row>
    <row r="16" ht="15.75" customHeight="1">
      <c r="A16" s="57">
        <f>A14+7</f>
        <v>45690</v>
      </c>
      <c r="B16" s="48">
        <v>8.0</v>
      </c>
      <c r="C16" s="49">
        <f t="shared" si="1"/>
        <v>1</v>
      </c>
      <c r="D16" s="50">
        <v>6600.0</v>
      </c>
      <c r="E16" s="51">
        <f t="shared" ref="E16:E19" si="6">IFERROR(D16/B16,"")</f>
        <v>825</v>
      </c>
      <c r="F16" s="50">
        <v>1700.0</v>
      </c>
      <c r="G16" s="72">
        <f t="shared" si="3"/>
        <v>0.2575757576</v>
      </c>
      <c r="H16" s="73"/>
      <c r="I16" s="74"/>
      <c r="J16" s="75"/>
      <c r="K16" s="76"/>
      <c r="L16" s="74"/>
      <c r="M16" s="74"/>
      <c r="N16" s="77"/>
      <c r="O16" s="55"/>
      <c r="P16" s="74"/>
      <c r="Q16" s="74"/>
      <c r="R16" s="59"/>
    </row>
    <row r="17" ht="15.75" customHeight="1">
      <c r="A17" s="57">
        <f t="shared" ref="A17:A19" si="7">A16+7</f>
        <v>45697</v>
      </c>
      <c r="B17" s="48">
        <v>8.0</v>
      </c>
      <c r="C17" s="49">
        <f t="shared" si="1"/>
        <v>1</v>
      </c>
      <c r="D17" s="50">
        <v>6600.0</v>
      </c>
      <c r="E17" s="51">
        <f t="shared" si="6"/>
        <v>825</v>
      </c>
      <c r="F17" s="50">
        <v>4000.0</v>
      </c>
      <c r="G17" s="52">
        <f t="shared" si="3"/>
        <v>0.6060606061</v>
      </c>
      <c r="H17" s="78"/>
      <c r="I17" s="78"/>
      <c r="J17" s="54"/>
      <c r="K17" s="55"/>
      <c r="L17" s="78"/>
      <c r="M17" s="78"/>
      <c r="N17" s="55"/>
      <c r="O17" s="55"/>
      <c r="P17" s="78"/>
      <c r="Q17" s="78"/>
      <c r="R17" s="59"/>
    </row>
    <row r="18" ht="15.75" customHeight="1">
      <c r="A18" s="57">
        <f t="shared" si="7"/>
        <v>45704</v>
      </c>
      <c r="B18" s="48">
        <v>8.0</v>
      </c>
      <c r="C18" s="49">
        <f t="shared" si="1"/>
        <v>1</v>
      </c>
      <c r="D18" s="50">
        <v>6600.0</v>
      </c>
      <c r="E18" s="51">
        <f t="shared" si="6"/>
        <v>825</v>
      </c>
      <c r="F18" s="50">
        <v>4750.0</v>
      </c>
      <c r="G18" s="52">
        <f t="shared" si="3"/>
        <v>0.7196969697</v>
      </c>
      <c r="H18" s="58"/>
      <c r="I18" s="58"/>
      <c r="J18" s="54"/>
      <c r="K18" s="55"/>
      <c r="L18" s="58"/>
      <c r="M18" s="58"/>
      <c r="N18" s="55"/>
      <c r="O18" s="55"/>
      <c r="P18" s="58"/>
      <c r="Q18" s="58"/>
      <c r="R18" s="59"/>
    </row>
    <row r="19" ht="15.75" customHeight="1">
      <c r="A19" s="57">
        <f t="shared" si="7"/>
        <v>45711</v>
      </c>
      <c r="B19" s="48">
        <v>8.0</v>
      </c>
      <c r="C19" s="49">
        <f t="shared" si="1"/>
        <v>1</v>
      </c>
      <c r="D19" s="50">
        <v>6600.0</v>
      </c>
      <c r="E19" s="51">
        <f t="shared" si="6"/>
        <v>825</v>
      </c>
      <c r="F19" s="50">
        <v>5916.0</v>
      </c>
      <c r="G19" s="52">
        <f t="shared" si="3"/>
        <v>0.8963636364</v>
      </c>
      <c r="H19" s="60"/>
      <c r="I19" s="60"/>
      <c r="J19" s="54"/>
      <c r="K19" s="55"/>
      <c r="L19" s="58"/>
      <c r="M19" s="58"/>
      <c r="N19" s="55"/>
      <c r="O19" s="55"/>
      <c r="P19" s="58"/>
      <c r="Q19" s="58"/>
      <c r="R19" s="59"/>
    </row>
    <row r="20" ht="15.75" customHeight="1">
      <c r="A20" s="61" t="s">
        <v>51</v>
      </c>
      <c r="B20" s="62">
        <v>7.0</v>
      </c>
      <c r="C20" s="63">
        <f t="shared" si="1"/>
        <v>0.875</v>
      </c>
      <c r="D20" s="64">
        <v>6072.0</v>
      </c>
      <c r="E20" s="70">
        <f>D20/B20</f>
        <v>867.4285714</v>
      </c>
      <c r="F20" s="64">
        <v>6072.0</v>
      </c>
      <c r="G20" s="66">
        <f t="shared" si="3"/>
        <v>1</v>
      </c>
      <c r="H20" s="67">
        <v>8966.0</v>
      </c>
      <c r="I20" s="67">
        <v>6072.0</v>
      </c>
      <c r="J20" s="68">
        <f>IF(H20=0,"",H20-I20)</f>
        <v>2894</v>
      </c>
      <c r="K20" s="69">
        <f>IFERROR((H20-I20)/H20,"")</f>
        <v>0.3227749275</v>
      </c>
      <c r="L20" s="67">
        <v>2504.0</v>
      </c>
      <c r="M20" s="67">
        <v>3500.0</v>
      </c>
      <c r="N20" s="68">
        <f>IF(L20=0,"",L20-M20)</f>
        <v>-996</v>
      </c>
      <c r="O20" s="69">
        <f>IFERROR((L20-M20)/L20,"")</f>
        <v>-0.3977635783</v>
      </c>
      <c r="P20" s="70">
        <f t="shared" ref="P20:Q20" si="8">H20-L20</f>
        <v>6462</v>
      </c>
      <c r="Q20" s="70">
        <f t="shared" si="8"/>
        <v>2572</v>
      </c>
      <c r="R20" s="87"/>
    </row>
    <row r="21" ht="15.75" customHeight="1">
      <c r="A21" s="57">
        <f>A19+7</f>
        <v>45718</v>
      </c>
      <c r="B21" s="48">
        <v>8.0</v>
      </c>
      <c r="C21" s="49">
        <f t="shared" si="1"/>
        <v>1</v>
      </c>
      <c r="D21" s="50">
        <v>6600.0</v>
      </c>
      <c r="E21" s="51">
        <f t="shared" ref="E21:E25" si="9">IFERROR(D21/B21,"")</f>
        <v>825</v>
      </c>
      <c r="F21" s="50">
        <v>1700.0</v>
      </c>
      <c r="G21" s="79">
        <f t="shared" si="3"/>
        <v>0.2575757576</v>
      </c>
      <c r="H21" s="80"/>
      <c r="I21" s="81"/>
      <c r="J21" s="54"/>
      <c r="K21" s="76"/>
      <c r="L21" s="73"/>
      <c r="M21" s="74"/>
      <c r="N21" s="77"/>
      <c r="O21" s="55"/>
      <c r="P21" s="73"/>
      <c r="Q21" s="74"/>
      <c r="R21" s="59"/>
    </row>
    <row r="22" ht="15.75" customHeight="1">
      <c r="A22" s="57">
        <f t="shared" ref="A22:A25" si="10">A21+7</f>
        <v>45725</v>
      </c>
      <c r="B22" s="48">
        <v>8.0</v>
      </c>
      <c r="C22" s="49">
        <f t="shared" si="1"/>
        <v>1</v>
      </c>
      <c r="D22" s="50">
        <v>6600.0</v>
      </c>
      <c r="E22" s="51">
        <f t="shared" si="9"/>
        <v>825</v>
      </c>
      <c r="F22" s="50">
        <v>1700.0</v>
      </c>
      <c r="G22" s="52">
        <f t="shared" si="3"/>
        <v>0.2575757576</v>
      </c>
      <c r="H22" s="78"/>
      <c r="I22" s="78"/>
      <c r="J22" s="54"/>
      <c r="K22" s="55"/>
      <c r="L22" s="78"/>
      <c r="M22" s="78"/>
      <c r="N22" s="55"/>
      <c r="O22" s="55"/>
      <c r="P22" s="78"/>
      <c r="Q22" s="78"/>
      <c r="R22" s="59"/>
    </row>
    <row r="23" ht="15.75" customHeight="1">
      <c r="A23" s="57">
        <f t="shared" si="10"/>
        <v>45732</v>
      </c>
      <c r="B23" s="48">
        <v>8.0</v>
      </c>
      <c r="C23" s="49">
        <f t="shared" si="1"/>
        <v>1</v>
      </c>
      <c r="D23" s="50">
        <v>6600.0</v>
      </c>
      <c r="E23" s="51">
        <f t="shared" si="9"/>
        <v>825</v>
      </c>
      <c r="F23" s="50">
        <v>3750.0</v>
      </c>
      <c r="G23" s="52">
        <f t="shared" si="3"/>
        <v>0.5681818182</v>
      </c>
      <c r="H23" s="58"/>
      <c r="I23" s="58"/>
      <c r="J23" s="54"/>
      <c r="K23" s="55"/>
      <c r="L23" s="58"/>
      <c r="M23" s="58"/>
      <c r="N23" s="55"/>
      <c r="O23" s="55"/>
      <c r="P23" s="58"/>
      <c r="Q23" s="58"/>
      <c r="R23" s="59"/>
    </row>
    <row r="24" ht="15.75" customHeight="1">
      <c r="A24" s="57">
        <f t="shared" si="10"/>
        <v>45739</v>
      </c>
      <c r="B24" s="48">
        <v>8.0</v>
      </c>
      <c r="C24" s="49">
        <f t="shared" si="1"/>
        <v>1</v>
      </c>
      <c r="D24" s="50">
        <v>6600.0</v>
      </c>
      <c r="E24" s="51">
        <f t="shared" si="9"/>
        <v>825</v>
      </c>
      <c r="F24" s="50">
        <v>5700.0</v>
      </c>
      <c r="G24" s="52">
        <f t="shared" si="3"/>
        <v>0.8636363636</v>
      </c>
      <c r="H24" s="58"/>
      <c r="I24" s="58"/>
      <c r="J24" s="54"/>
      <c r="K24" s="55"/>
      <c r="L24" s="58"/>
      <c r="M24" s="58"/>
      <c r="N24" s="55"/>
      <c r="O24" s="55"/>
      <c r="P24" s="58"/>
      <c r="Q24" s="58"/>
      <c r="R24" s="59"/>
    </row>
    <row r="25" ht="15.75" customHeight="1">
      <c r="A25" s="57">
        <f t="shared" si="10"/>
        <v>45746</v>
      </c>
      <c r="B25" s="48">
        <v>8.0</v>
      </c>
      <c r="C25" s="49">
        <f t="shared" si="1"/>
        <v>1</v>
      </c>
      <c r="D25" s="50">
        <v>6600.0</v>
      </c>
      <c r="E25" s="51">
        <f t="shared" si="9"/>
        <v>825</v>
      </c>
      <c r="F25" s="50">
        <v>6800.0</v>
      </c>
      <c r="G25" s="52">
        <f t="shared" si="3"/>
        <v>1.03030303</v>
      </c>
      <c r="H25" s="82"/>
      <c r="I25" s="82"/>
      <c r="J25" s="54"/>
      <c r="K25" s="55"/>
      <c r="L25" s="82"/>
      <c r="M25" s="82"/>
      <c r="N25" s="55"/>
      <c r="O25" s="55"/>
      <c r="P25" s="82"/>
      <c r="Q25" s="82"/>
      <c r="R25" s="59"/>
    </row>
    <row r="26" ht="15.75" customHeight="1">
      <c r="A26" s="61" t="s">
        <v>51</v>
      </c>
      <c r="B26" s="62">
        <v>7.0</v>
      </c>
      <c r="C26" s="63">
        <f t="shared" si="1"/>
        <v>0.875</v>
      </c>
      <c r="D26" s="64">
        <v>6072.0</v>
      </c>
      <c r="E26" s="70">
        <f>D26/B26</f>
        <v>867.4285714</v>
      </c>
      <c r="F26" s="64">
        <v>6072.0</v>
      </c>
      <c r="G26" s="66">
        <f t="shared" si="3"/>
        <v>1</v>
      </c>
      <c r="H26" s="83">
        <v>6709.0</v>
      </c>
      <c r="I26" s="67">
        <v>6072.0</v>
      </c>
      <c r="J26" s="68">
        <f>IF(H26=0,"",H26-I26)</f>
        <v>637</v>
      </c>
      <c r="K26" s="69">
        <f>IFERROR((H26-I26)/H26,"")</f>
        <v>0.094947086</v>
      </c>
      <c r="L26" s="83">
        <v>4283.0</v>
      </c>
      <c r="M26" s="67">
        <v>3500.0</v>
      </c>
      <c r="N26" s="68">
        <f>IF(L26=0,"",L26-M26)</f>
        <v>783</v>
      </c>
      <c r="O26" s="69">
        <f>IFERROR((L26-M26)/L26,"")</f>
        <v>0.1828157833</v>
      </c>
      <c r="P26" s="84">
        <f t="shared" ref="P26:Q26" si="11">H26-L26</f>
        <v>2426</v>
      </c>
      <c r="Q26" s="84">
        <f t="shared" si="11"/>
        <v>2572</v>
      </c>
      <c r="R26" s="87"/>
    </row>
    <row r="27" ht="15.75" customHeight="1">
      <c r="A27" s="57">
        <f>A25+7</f>
        <v>45753</v>
      </c>
      <c r="B27" s="48">
        <v>8.0</v>
      </c>
      <c r="C27" s="49">
        <f t="shared" si="1"/>
        <v>1</v>
      </c>
      <c r="D27" s="50">
        <v>6600.0</v>
      </c>
      <c r="E27" s="51">
        <f t="shared" ref="E27:E30" si="12">IFERROR(D27/B27,"")</f>
        <v>825</v>
      </c>
      <c r="F27" s="50">
        <v>1608.0</v>
      </c>
      <c r="G27" s="52">
        <f t="shared" si="3"/>
        <v>0.2436363636</v>
      </c>
      <c r="H27" s="53"/>
      <c r="I27" s="53"/>
      <c r="J27" s="54"/>
      <c r="K27" s="55"/>
      <c r="L27" s="53"/>
      <c r="M27" s="53"/>
      <c r="N27" s="55"/>
      <c r="O27" s="55"/>
      <c r="P27" s="53"/>
      <c r="Q27" s="53"/>
      <c r="R27" s="59"/>
    </row>
    <row r="28" ht="15.75" customHeight="1">
      <c r="A28" s="57">
        <f t="shared" ref="A28:A30" si="13">A27+7</f>
        <v>45760</v>
      </c>
      <c r="B28" s="48">
        <v>8.0</v>
      </c>
      <c r="C28" s="49">
        <f t="shared" si="1"/>
        <v>1</v>
      </c>
      <c r="D28" s="50">
        <v>6600.0</v>
      </c>
      <c r="E28" s="51">
        <f t="shared" si="12"/>
        <v>825</v>
      </c>
      <c r="F28" s="50">
        <v>3333.0</v>
      </c>
      <c r="G28" s="52">
        <f t="shared" si="3"/>
        <v>0.505</v>
      </c>
      <c r="H28" s="58"/>
      <c r="I28" s="58"/>
      <c r="J28" s="54"/>
      <c r="K28" s="55"/>
      <c r="L28" s="58"/>
      <c r="M28" s="58"/>
      <c r="N28" s="55"/>
      <c r="O28" s="55"/>
      <c r="P28" s="58"/>
      <c r="Q28" s="58"/>
      <c r="R28" s="59"/>
    </row>
    <row r="29" ht="15.75" customHeight="1">
      <c r="A29" s="57">
        <f t="shared" si="13"/>
        <v>45767</v>
      </c>
      <c r="B29" s="48">
        <v>8.0</v>
      </c>
      <c r="C29" s="49">
        <f t="shared" si="1"/>
        <v>1</v>
      </c>
      <c r="D29" s="50">
        <v>6600.0</v>
      </c>
      <c r="E29" s="51">
        <f t="shared" si="12"/>
        <v>825</v>
      </c>
      <c r="F29" s="50">
        <v>3883.0</v>
      </c>
      <c r="G29" s="52">
        <f t="shared" si="3"/>
        <v>0.5883333333</v>
      </c>
      <c r="H29" s="58"/>
      <c r="I29" s="58"/>
      <c r="J29" s="54"/>
      <c r="K29" s="55"/>
      <c r="L29" s="58"/>
      <c r="M29" s="58"/>
      <c r="N29" s="55"/>
      <c r="O29" s="55"/>
      <c r="P29" s="58"/>
      <c r="Q29" s="58"/>
      <c r="R29" s="59"/>
    </row>
    <row r="30" ht="15.75" customHeight="1">
      <c r="A30" s="85">
        <f t="shared" si="13"/>
        <v>45774</v>
      </c>
      <c r="B30" s="48">
        <v>8.0</v>
      </c>
      <c r="C30" s="49">
        <f t="shared" si="1"/>
        <v>1</v>
      </c>
      <c r="D30" s="50">
        <v>6600.0</v>
      </c>
      <c r="E30" s="51">
        <f t="shared" si="12"/>
        <v>825</v>
      </c>
      <c r="F30" s="50">
        <v>3883.0</v>
      </c>
      <c r="G30" s="52">
        <f t="shared" si="3"/>
        <v>0.5883333333</v>
      </c>
      <c r="H30" s="82"/>
      <c r="I30" s="82"/>
      <c r="J30" s="54"/>
      <c r="K30" s="55"/>
      <c r="L30" s="82"/>
      <c r="M30" s="82"/>
      <c r="N30" s="55"/>
      <c r="O30" s="55"/>
      <c r="P30" s="82"/>
      <c r="Q30" s="82"/>
      <c r="R30" s="59"/>
    </row>
    <row r="31" ht="15.75" customHeight="1">
      <c r="A31" s="61" t="s">
        <v>51</v>
      </c>
      <c r="B31" s="62">
        <v>7.0</v>
      </c>
      <c r="C31" s="63">
        <f t="shared" si="1"/>
        <v>0.875</v>
      </c>
      <c r="D31" s="64">
        <v>6072.0</v>
      </c>
      <c r="E31" s="70">
        <f>D31/B31</f>
        <v>867.4285714</v>
      </c>
      <c r="F31" s="64">
        <v>6072.0</v>
      </c>
      <c r="G31" s="66">
        <f t="shared" si="3"/>
        <v>1</v>
      </c>
      <c r="H31" s="83">
        <v>3883.0</v>
      </c>
      <c r="I31" s="67">
        <v>6072.0</v>
      </c>
      <c r="J31" s="68">
        <f>IF(H31=0,"",H31-I31)</f>
        <v>-2189</v>
      </c>
      <c r="K31" s="69">
        <f>IFERROR((H31-I31)/H31,"")</f>
        <v>-0.5637393768</v>
      </c>
      <c r="L31" s="83">
        <v>3750.0</v>
      </c>
      <c r="M31" s="67">
        <v>3500.0</v>
      </c>
      <c r="N31" s="68">
        <f>IF(L31=0,"",L31-M31)</f>
        <v>250</v>
      </c>
      <c r="O31" s="69">
        <f>IFERROR((L31-M31)/L31,"")</f>
        <v>0.06666666667</v>
      </c>
      <c r="P31" s="84">
        <f t="shared" ref="P31:Q31" si="14">H31-L31</f>
        <v>133</v>
      </c>
      <c r="Q31" s="84">
        <f t="shared" si="14"/>
        <v>2572</v>
      </c>
      <c r="R31" s="87"/>
    </row>
    <row r="32" ht="15.75" customHeight="1">
      <c r="A32" s="57">
        <f>A30+7</f>
        <v>45781</v>
      </c>
      <c r="B32" s="48">
        <v>8.0</v>
      </c>
      <c r="C32" s="49">
        <f t="shared" si="1"/>
        <v>1</v>
      </c>
      <c r="D32" s="50">
        <v>6600.0</v>
      </c>
      <c r="E32" s="51">
        <f t="shared" ref="E32:E35" si="15">IFERROR(D32/B32,"")</f>
        <v>825</v>
      </c>
      <c r="F32" s="50">
        <v>1300.0</v>
      </c>
      <c r="G32" s="52">
        <f t="shared" si="3"/>
        <v>0.196969697</v>
      </c>
      <c r="H32" s="53"/>
      <c r="I32" s="53"/>
      <c r="J32" s="54"/>
      <c r="K32" s="55"/>
      <c r="L32" s="53"/>
      <c r="M32" s="53"/>
      <c r="N32" s="55"/>
      <c r="O32" s="55"/>
      <c r="P32" s="53"/>
      <c r="Q32" s="53"/>
      <c r="R32" s="59"/>
    </row>
    <row r="33" ht="15.75" customHeight="1">
      <c r="A33" s="57">
        <f t="shared" ref="A33:A35" si="16">A32+7</f>
        <v>45788</v>
      </c>
      <c r="B33" s="48">
        <v>8.0</v>
      </c>
      <c r="C33" s="49">
        <f t="shared" si="1"/>
        <v>1</v>
      </c>
      <c r="D33" s="50">
        <v>6600.0</v>
      </c>
      <c r="E33" s="51">
        <f t="shared" si="15"/>
        <v>825</v>
      </c>
      <c r="F33" s="50">
        <v>1625.0</v>
      </c>
      <c r="G33" s="52">
        <f t="shared" si="3"/>
        <v>0.2462121212</v>
      </c>
      <c r="H33" s="58"/>
      <c r="I33" s="58"/>
      <c r="J33" s="54"/>
      <c r="K33" s="55"/>
      <c r="L33" s="58"/>
      <c r="M33" s="58"/>
      <c r="N33" s="55"/>
      <c r="O33" s="55"/>
      <c r="P33" s="58"/>
      <c r="Q33" s="58"/>
      <c r="R33" s="86"/>
    </row>
    <row r="34" ht="15.75" customHeight="1">
      <c r="A34" s="57">
        <f t="shared" si="16"/>
        <v>45795</v>
      </c>
      <c r="B34" s="48">
        <v>8.0</v>
      </c>
      <c r="C34" s="49">
        <f t="shared" si="1"/>
        <v>1</v>
      </c>
      <c r="D34" s="50">
        <v>6600.0</v>
      </c>
      <c r="E34" s="51">
        <f t="shared" si="15"/>
        <v>825</v>
      </c>
      <c r="F34" s="50">
        <v>2125.0</v>
      </c>
      <c r="G34" s="52">
        <f t="shared" si="3"/>
        <v>0.321969697</v>
      </c>
      <c r="H34" s="58"/>
      <c r="I34" s="58"/>
      <c r="J34" s="54"/>
      <c r="K34" s="55"/>
      <c r="L34" s="58"/>
      <c r="M34" s="58"/>
      <c r="N34" s="55"/>
      <c r="O34" s="55"/>
      <c r="P34" s="58"/>
      <c r="Q34" s="58"/>
      <c r="R34" s="86"/>
    </row>
    <row r="35" ht="15.75" customHeight="1">
      <c r="A35" s="57">
        <f t="shared" si="16"/>
        <v>45802</v>
      </c>
      <c r="B35" s="48">
        <v>8.0</v>
      </c>
      <c r="C35" s="49">
        <f t="shared" si="1"/>
        <v>1</v>
      </c>
      <c r="D35" s="50">
        <v>6600.0</v>
      </c>
      <c r="E35" s="51">
        <f t="shared" si="15"/>
        <v>825</v>
      </c>
      <c r="F35" s="50">
        <v>2675.0</v>
      </c>
      <c r="G35" s="52">
        <f t="shared" si="3"/>
        <v>0.4053030303</v>
      </c>
      <c r="H35" s="60"/>
      <c r="I35" s="60"/>
      <c r="J35" s="54"/>
      <c r="K35" s="55"/>
      <c r="L35" s="58"/>
      <c r="M35" s="58"/>
      <c r="N35" s="55"/>
      <c r="O35" s="55"/>
      <c r="P35" s="58"/>
      <c r="Q35" s="58"/>
      <c r="R35" s="86"/>
    </row>
    <row r="36" ht="15.75" customHeight="1">
      <c r="A36" s="61" t="s">
        <v>51</v>
      </c>
      <c r="B36" s="62">
        <v>7.0</v>
      </c>
      <c r="C36" s="63">
        <f t="shared" si="1"/>
        <v>0.875</v>
      </c>
      <c r="D36" s="64">
        <v>6072.0</v>
      </c>
      <c r="E36" s="70">
        <f>D36/B36</f>
        <v>867.4285714</v>
      </c>
      <c r="F36" s="64">
        <v>6072.0</v>
      </c>
      <c r="G36" s="66">
        <f t="shared" si="3"/>
        <v>1</v>
      </c>
      <c r="H36" s="67">
        <v>5525.0</v>
      </c>
      <c r="I36" s="67">
        <v>6072.0</v>
      </c>
      <c r="J36" s="68">
        <f>IF(H36=0,"",H36-I36)</f>
        <v>-547</v>
      </c>
      <c r="K36" s="69">
        <f>IFERROR((H36-I36)/H36,"")</f>
        <v>-0.09900452489</v>
      </c>
      <c r="L36" s="67">
        <v>4065.0</v>
      </c>
      <c r="M36" s="67">
        <v>3500.0</v>
      </c>
      <c r="N36" s="68">
        <f>IF(L36=0,"",L36-M36)</f>
        <v>565</v>
      </c>
      <c r="O36" s="69">
        <f>IFERROR((L36-M36)/L36,"")</f>
        <v>0.1389913899</v>
      </c>
      <c r="P36" s="70">
        <f t="shared" ref="P36:Q36" si="17">H36-L36</f>
        <v>1460</v>
      </c>
      <c r="Q36" s="70">
        <f t="shared" si="17"/>
        <v>2572</v>
      </c>
      <c r="R36" s="87"/>
    </row>
    <row r="37" ht="15.75" customHeight="1">
      <c r="A37" s="57">
        <f>A35+7</f>
        <v>45809</v>
      </c>
      <c r="B37" s="48">
        <v>8.0</v>
      </c>
      <c r="C37" s="49">
        <f t="shared" si="1"/>
        <v>1</v>
      </c>
      <c r="D37" s="50">
        <v>6600.0</v>
      </c>
      <c r="E37" s="51">
        <f t="shared" ref="E37:E41" si="18">IFERROR(D37/B37,"")</f>
        <v>825</v>
      </c>
      <c r="F37" s="50">
        <v>0.0</v>
      </c>
      <c r="G37" s="72">
        <f t="shared" si="3"/>
        <v>0</v>
      </c>
      <c r="H37" s="74"/>
      <c r="I37" s="80"/>
      <c r="J37" s="75"/>
      <c r="K37" s="55"/>
      <c r="L37" s="60"/>
      <c r="M37" s="60"/>
      <c r="N37" s="55"/>
      <c r="O37" s="55"/>
      <c r="P37" s="60"/>
      <c r="Q37" s="60"/>
      <c r="R37" s="86"/>
    </row>
    <row r="38" ht="15.75" customHeight="1">
      <c r="A38" s="57">
        <f t="shared" ref="A38:A41" si="19">A37+7</f>
        <v>45816</v>
      </c>
      <c r="B38" s="48">
        <v>8.0</v>
      </c>
      <c r="C38" s="49">
        <f t="shared" si="1"/>
        <v>1</v>
      </c>
      <c r="D38" s="50">
        <v>6600.0</v>
      </c>
      <c r="E38" s="51">
        <f t="shared" si="18"/>
        <v>825</v>
      </c>
      <c r="F38" s="50">
        <v>1050.0</v>
      </c>
      <c r="G38" s="52">
        <f t="shared" si="3"/>
        <v>0.1590909091</v>
      </c>
      <c r="H38" s="78"/>
      <c r="I38" s="78"/>
      <c r="J38" s="54"/>
      <c r="K38" s="76"/>
      <c r="L38" s="74"/>
      <c r="M38" s="74"/>
      <c r="N38" s="77"/>
      <c r="O38" s="55"/>
      <c r="P38" s="74"/>
      <c r="Q38" s="74"/>
      <c r="R38" s="86"/>
    </row>
    <row r="39" ht="15.75" customHeight="1">
      <c r="A39" s="57">
        <f t="shared" si="19"/>
        <v>45823</v>
      </c>
      <c r="B39" s="48">
        <v>8.0</v>
      </c>
      <c r="C39" s="49">
        <f t="shared" si="1"/>
        <v>1</v>
      </c>
      <c r="D39" s="50">
        <v>6600.0</v>
      </c>
      <c r="E39" s="51">
        <f t="shared" si="18"/>
        <v>825</v>
      </c>
      <c r="F39" s="50">
        <v>1050.0</v>
      </c>
      <c r="G39" s="52">
        <f t="shared" si="3"/>
        <v>0.1590909091</v>
      </c>
      <c r="H39" s="58"/>
      <c r="I39" s="58"/>
      <c r="J39" s="54"/>
      <c r="K39" s="55"/>
      <c r="L39" s="78"/>
      <c r="M39" s="78"/>
      <c r="N39" s="55"/>
      <c r="O39" s="55"/>
      <c r="P39" s="78"/>
      <c r="Q39" s="78"/>
      <c r="R39" s="86"/>
    </row>
    <row r="40" ht="15.75" customHeight="1">
      <c r="A40" s="57">
        <f t="shared" si="19"/>
        <v>45830</v>
      </c>
      <c r="B40" s="48">
        <v>8.0</v>
      </c>
      <c r="C40" s="49">
        <f t="shared" si="1"/>
        <v>1</v>
      </c>
      <c r="D40" s="50">
        <v>6600.0</v>
      </c>
      <c r="E40" s="51">
        <f t="shared" si="18"/>
        <v>825</v>
      </c>
      <c r="F40" s="50">
        <v>3525.0</v>
      </c>
      <c r="G40" s="52">
        <f t="shared" si="3"/>
        <v>0.5340909091</v>
      </c>
      <c r="H40" s="58"/>
      <c r="I40" s="58"/>
      <c r="J40" s="54"/>
      <c r="K40" s="55"/>
      <c r="L40" s="58"/>
      <c r="M40" s="58"/>
      <c r="N40" s="55"/>
      <c r="O40" s="55"/>
      <c r="P40" s="58"/>
      <c r="Q40" s="58"/>
      <c r="R40" s="86"/>
    </row>
    <row r="41" ht="15.75" customHeight="1">
      <c r="A41" s="57">
        <f t="shared" si="19"/>
        <v>45837</v>
      </c>
      <c r="B41" s="48">
        <v>8.0</v>
      </c>
      <c r="C41" s="49">
        <f t="shared" si="1"/>
        <v>1</v>
      </c>
      <c r="D41" s="50">
        <v>6600.0</v>
      </c>
      <c r="E41" s="51">
        <f t="shared" si="18"/>
        <v>825</v>
      </c>
      <c r="F41" s="50">
        <v>4525.0</v>
      </c>
      <c r="G41" s="52">
        <f t="shared" si="3"/>
        <v>0.6856060606</v>
      </c>
      <c r="H41" s="82"/>
      <c r="I41" s="82"/>
      <c r="J41" s="54"/>
      <c r="K41" s="55"/>
      <c r="L41" s="82"/>
      <c r="M41" s="82"/>
      <c r="N41" s="55"/>
      <c r="O41" s="55"/>
      <c r="P41" s="82"/>
      <c r="Q41" s="82"/>
      <c r="R41" s="86"/>
    </row>
    <row r="42" ht="15.75" customHeight="1">
      <c r="A42" s="61" t="s">
        <v>51</v>
      </c>
      <c r="B42" s="62">
        <v>7.0</v>
      </c>
      <c r="C42" s="63">
        <f t="shared" si="1"/>
        <v>0.875</v>
      </c>
      <c r="D42" s="64">
        <v>6072.0</v>
      </c>
      <c r="E42" s="70">
        <f>D42/B42</f>
        <v>867.4285714</v>
      </c>
      <c r="F42" s="64">
        <v>6072.0</v>
      </c>
      <c r="G42" s="66">
        <f t="shared" si="3"/>
        <v>1</v>
      </c>
      <c r="H42" s="83">
        <v>4375.0</v>
      </c>
      <c r="I42" s="67">
        <v>6072.0</v>
      </c>
      <c r="J42" s="68">
        <f>IF(H42=0,"",H42-I42)</f>
        <v>-1697</v>
      </c>
      <c r="K42" s="69">
        <f>IFERROR((H42-I42)/H42,"")</f>
        <v>-0.3878857143</v>
      </c>
      <c r="L42" s="83">
        <v>4500.0</v>
      </c>
      <c r="M42" s="67">
        <v>3500.0</v>
      </c>
      <c r="N42" s="68">
        <f>IF(L42=0,"",L42-M42)</f>
        <v>1000</v>
      </c>
      <c r="O42" s="69">
        <f>IFERROR((L42-M42)/L42,"")</f>
        <v>0.2222222222</v>
      </c>
      <c r="P42" s="84">
        <f t="shared" ref="P42:Q42" si="20">H42-L42</f>
        <v>-125</v>
      </c>
      <c r="Q42" s="84">
        <f t="shared" si="20"/>
        <v>2572</v>
      </c>
      <c r="R42" s="87"/>
    </row>
    <row r="43" ht="15.75" customHeight="1">
      <c r="A43" s="57">
        <f>A41+7</f>
        <v>45844</v>
      </c>
      <c r="B43" s="48">
        <v>8.0</v>
      </c>
      <c r="C43" s="49">
        <f t="shared" si="1"/>
        <v>1</v>
      </c>
      <c r="D43" s="50">
        <v>6600.0</v>
      </c>
      <c r="E43" s="51">
        <f t="shared" ref="E43:E47" si="21">IFERROR(D43/B43,"")</f>
        <v>825</v>
      </c>
      <c r="F43" s="50">
        <v>0.0</v>
      </c>
      <c r="G43" s="52">
        <f t="shared" si="3"/>
        <v>0</v>
      </c>
      <c r="H43" s="53"/>
      <c r="I43" s="53"/>
      <c r="J43" s="54"/>
      <c r="K43" s="55"/>
      <c r="L43" s="53"/>
      <c r="M43" s="53"/>
      <c r="N43" s="55"/>
      <c r="O43" s="55"/>
      <c r="P43" s="53"/>
      <c r="Q43" s="53"/>
      <c r="R43" s="86"/>
    </row>
    <row r="44" ht="15.75" customHeight="1">
      <c r="A44" s="57">
        <f t="shared" ref="A44:A47" si="22">A43+7</f>
        <v>45851</v>
      </c>
      <c r="B44" s="48">
        <v>8.0</v>
      </c>
      <c r="C44" s="49">
        <f t="shared" si="1"/>
        <v>1</v>
      </c>
      <c r="D44" s="50">
        <v>6600.0</v>
      </c>
      <c r="E44" s="51">
        <f t="shared" si="21"/>
        <v>825</v>
      </c>
      <c r="F44" s="50">
        <v>0.0</v>
      </c>
      <c r="G44" s="52">
        <f t="shared" si="3"/>
        <v>0</v>
      </c>
      <c r="H44" s="58"/>
      <c r="I44" s="58"/>
      <c r="J44" s="54"/>
      <c r="K44" s="55"/>
      <c r="L44" s="58"/>
      <c r="M44" s="58"/>
      <c r="N44" s="55"/>
      <c r="O44" s="55"/>
      <c r="P44" s="58"/>
      <c r="Q44" s="58"/>
      <c r="R44" s="86"/>
    </row>
    <row r="45" ht="15.75" customHeight="1">
      <c r="A45" s="57">
        <f t="shared" si="22"/>
        <v>45858</v>
      </c>
      <c r="B45" s="48">
        <v>8.0</v>
      </c>
      <c r="C45" s="49">
        <f t="shared" si="1"/>
        <v>1</v>
      </c>
      <c r="D45" s="50">
        <v>6600.0</v>
      </c>
      <c r="E45" s="51">
        <f t="shared" si="21"/>
        <v>825</v>
      </c>
      <c r="F45" s="50">
        <v>1825.0</v>
      </c>
      <c r="G45" s="52">
        <f t="shared" si="3"/>
        <v>0.2765151515</v>
      </c>
      <c r="H45" s="58"/>
      <c r="I45" s="58"/>
      <c r="J45" s="54"/>
      <c r="K45" s="55"/>
      <c r="L45" s="58"/>
      <c r="M45" s="58"/>
      <c r="N45" s="55"/>
      <c r="O45" s="55"/>
      <c r="P45" s="58"/>
      <c r="Q45" s="58"/>
      <c r="R45" s="86"/>
    </row>
    <row r="46" ht="15.75" customHeight="1">
      <c r="A46" s="57">
        <f t="shared" si="22"/>
        <v>45865</v>
      </c>
      <c r="B46" s="48">
        <v>8.0</v>
      </c>
      <c r="C46" s="49">
        <f t="shared" si="1"/>
        <v>1</v>
      </c>
      <c r="D46" s="50">
        <v>6600.0</v>
      </c>
      <c r="E46" s="51">
        <f t="shared" si="21"/>
        <v>825</v>
      </c>
      <c r="F46" s="50">
        <v>1825.0</v>
      </c>
      <c r="G46" s="52">
        <f t="shared" si="3"/>
        <v>0.2765151515</v>
      </c>
      <c r="H46" s="82"/>
      <c r="I46" s="82"/>
      <c r="J46" s="54"/>
      <c r="K46" s="55"/>
      <c r="L46" s="82"/>
      <c r="M46" s="82"/>
      <c r="N46" s="55"/>
      <c r="O46" s="55"/>
      <c r="P46" s="82"/>
      <c r="Q46" s="82"/>
      <c r="R46" s="86"/>
    </row>
    <row r="47" ht="15.75" customHeight="1">
      <c r="A47" s="57">
        <f t="shared" si="22"/>
        <v>45872</v>
      </c>
      <c r="B47" s="48">
        <v>8.0</v>
      </c>
      <c r="C47" s="49">
        <f t="shared" si="1"/>
        <v>1</v>
      </c>
      <c r="D47" s="50">
        <v>6600.0</v>
      </c>
      <c r="E47" s="51">
        <f t="shared" si="21"/>
        <v>825</v>
      </c>
      <c r="F47" s="50">
        <v>1825.0</v>
      </c>
      <c r="G47" s="52">
        <f t="shared" si="3"/>
        <v>0.2765151515</v>
      </c>
      <c r="H47" s="53"/>
      <c r="I47" s="53"/>
      <c r="J47" s="54"/>
      <c r="K47" s="55"/>
      <c r="L47" s="53"/>
      <c r="M47" s="53"/>
      <c r="N47" s="55"/>
      <c r="O47" s="55"/>
      <c r="P47" s="53"/>
      <c r="Q47" s="53"/>
      <c r="R47" s="86"/>
    </row>
    <row r="48" ht="15.75" customHeight="1">
      <c r="A48" s="61" t="s">
        <v>51</v>
      </c>
      <c r="B48" s="62">
        <v>7.0</v>
      </c>
      <c r="C48" s="63">
        <f t="shared" si="1"/>
        <v>0.875</v>
      </c>
      <c r="D48" s="64">
        <v>6072.0</v>
      </c>
      <c r="E48" s="70">
        <f>D48/B48</f>
        <v>867.4285714</v>
      </c>
      <c r="F48" s="64">
        <v>6072.0</v>
      </c>
      <c r="G48" s="66">
        <f t="shared" si="3"/>
        <v>1</v>
      </c>
      <c r="H48" s="84"/>
      <c r="I48" s="67">
        <v>6072.0</v>
      </c>
      <c r="J48" s="68" t="str">
        <f>IF(H48=0,"",H48-I48)</f>
        <v/>
      </c>
      <c r="K48" s="69" t="str">
        <f>IFERROR((H48-I48)/H48,"")</f>
        <v/>
      </c>
      <c r="L48" s="84"/>
      <c r="M48" s="67">
        <v>3500.0</v>
      </c>
      <c r="N48" s="68" t="str">
        <f>IF(L48=0,"",L48-M48)</f>
        <v/>
      </c>
      <c r="O48" s="69" t="str">
        <f>IFERROR((L48-M48)/L48,"")</f>
        <v/>
      </c>
      <c r="P48" s="84">
        <f t="shared" ref="P48:Q48" si="23">H48-L48</f>
        <v>0</v>
      </c>
      <c r="Q48" s="84">
        <f t="shared" si="23"/>
        <v>2572</v>
      </c>
      <c r="R48" s="87"/>
    </row>
    <row r="49" ht="15.75" customHeight="1">
      <c r="A49" s="57">
        <f>A47+7</f>
        <v>45879</v>
      </c>
      <c r="B49" s="48"/>
      <c r="C49" s="49" t="str">
        <f t="shared" si="1"/>
        <v/>
      </c>
      <c r="D49" s="91"/>
      <c r="E49" s="51" t="str">
        <f t="shared" ref="E49:E52" si="24">IFERROR(D49/B49,"")</f>
        <v/>
      </c>
      <c r="F49" s="91"/>
      <c r="G49" s="52" t="str">
        <f t="shared" si="3"/>
        <v/>
      </c>
      <c r="H49" s="58"/>
      <c r="I49" s="58"/>
      <c r="J49" s="54"/>
      <c r="K49" s="55"/>
      <c r="L49" s="58"/>
      <c r="M49" s="58"/>
      <c r="N49" s="55"/>
      <c r="O49" s="55"/>
      <c r="P49" s="58"/>
      <c r="Q49" s="58"/>
      <c r="R49" s="86"/>
    </row>
    <row r="50" ht="15.75" customHeight="1">
      <c r="A50" s="57">
        <f t="shared" ref="A50:A52" si="25">A49+7</f>
        <v>45886</v>
      </c>
      <c r="B50" s="48"/>
      <c r="C50" s="49" t="str">
        <f t="shared" si="1"/>
        <v/>
      </c>
      <c r="D50" s="91"/>
      <c r="E50" s="51" t="str">
        <f t="shared" si="24"/>
        <v/>
      </c>
      <c r="F50" s="91"/>
      <c r="G50" s="52" t="str">
        <f t="shared" si="3"/>
        <v/>
      </c>
      <c r="H50" s="58"/>
      <c r="I50" s="58"/>
      <c r="J50" s="54"/>
      <c r="K50" s="55"/>
      <c r="L50" s="58"/>
      <c r="M50" s="58"/>
      <c r="N50" s="55"/>
      <c r="O50" s="55"/>
      <c r="P50" s="58"/>
      <c r="Q50" s="58"/>
      <c r="R50" s="86"/>
    </row>
    <row r="51" ht="15.75" customHeight="1">
      <c r="A51" s="57">
        <f t="shared" si="25"/>
        <v>45893</v>
      </c>
      <c r="B51" s="148"/>
      <c r="C51" s="49" t="str">
        <f t="shared" si="1"/>
        <v/>
      </c>
      <c r="D51" s="91"/>
      <c r="E51" s="51" t="str">
        <f t="shared" si="24"/>
        <v/>
      </c>
      <c r="F51" s="91"/>
      <c r="G51" s="52" t="str">
        <f t="shared" si="3"/>
        <v/>
      </c>
      <c r="H51" s="60"/>
      <c r="I51" s="60"/>
      <c r="J51" s="54"/>
      <c r="K51" s="55"/>
      <c r="L51" s="58"/>
      <c r="M51" s="58"/>
      <c r="N51" s="55"/>
      <c r="O51" s="55"/>
      <c r="P51" s="58"/>
      <c r="Q51" s="58"/>
      <c r="R51" s="86"/>
    </row>
    <row r="52" ht="15.75" customHeight="1">
      <c r="A52" s="57">
        <f t="shared" si="25"/>
        <v>45900</v>
      </c>
      <c r="B52" s="148"/>
      <c r="C52" s="49" t="str">
        <f t="shared" si="1"/>
        <v/>
      </c>
      <c r="D52" s="91"/>
      <c r="E52" s="51" t="str">
        <f t="shared" si="24"/>
        <v/>
      </c>
      <c r="F52" s="91"/>
      <c r="G52" s="72" t="str">
        <f t="shared" si="3"/>
        <v/>
      </c>
      <c r="H52" s="74"/>
      <c r="I52" s="80"/>
      <c r="J52" s="75"/>
      <c r="K52" s="55"/>
      <c r="L52" s="60"/>
      <c r="M52" s="60"/>
      <c r="N52" s="55"/>
      <c r="O52" s="55"/>
      <c r="P52" s="60"/>
      <c r="Q52" s="60"/>
      <c r="R52" s="86"/>
    </row>
    <row r="53" ht="15.75" customHeight="1">
      <c r="A53" s="61" t="s">
        <v>51</v>
      </c>
      <c r="B53" s="62">
        <v>7.0</v>
      </c>
      <c r="C53" s="63">
        <f t="shared" si="1"/>
        <v>0.875</v>
      </c>
      <c r="D53" s="64">
        <v>6072.0</v>
      </c>
      <c r="E53" s="70">
        <f>D53/B53</f>
        <v>867.4285714</v>
      </c>
      <c r="F53" s="64">
        <v>6072.0</v>
      </c>
      <c r="G53" s="66">
        <f t="shared" si="3"/>
        <v>1</v>
      </c>
      <c r="H53" s="70"/>
      <c r="I53" s="67">
        <v>6072.0</v>
      </c>
      <c r="J53" s="68" t="str">
        <f>IF(H53=0,"",H53-I53)</f>
        <v/>
      </c>
      <c r="K53" s="69" t="str">
        <f>IFERROR((H53-I53)/H53,"")</f>
        <v/>
      </c>
      <c r="L53" s="70"/>
      <c r="M53" s="67">
        <v>3500.0</v>
      </c>
      <c r="N53" s="68" t="str">
        <f>IF(L53=0,"",L53-M53)</f>
        <v/>
      </c>
      <c r="O53" s="69" t="str">
        <f>IFERROR((L53-M53)/L53,"")</f>
        <v/>
      </c>
      <c r="P53" s="70">
        <f t="shared" ref="P53:Q53" si="26">H53-L53</f>
        <v>0</v>
      </c>
      <c r="Q53" s="70">
        <f t="shared" si="26"/>
        <v>2572</v>
      </c>
      <c r="R53" s="87"/>
    </row>
    <row r="54" ht="15.75" customHeight="1">
      <c r="A54" s="57">
        <f>A52+7</f>
        <v>45907</v>
      </c>
      <c r="B54" s="148"/>
      <c r="C54" s="49" t="str">
        <f t="shared" si="1"/>
        <v/>
      </c>
      <c r="D54" s="91"/>
      <c r="E54" s="51" t="str">
        <f t="shared" ref="E54:E56" si="27">IFERROR(D54/B54,"")</f>
        <v/>
      </c>
      <c r="F54" s="91"/>
      <c r="G54" s="52" t="str">
        <f t="shared" si="3"/>
        <v/>
      </c>
      <c r="H54" s="78"/>
      <c r="I54" s="78"/>
      <c r="J54" s="54"/>
      <c r="K54" s="76"/>
      <c r="L54" s="74"/>
      <c r="M54" s="74"/>
      <c r="N54" s="77"/>
      <c r="O54" s="55"/>
      <c r="P54" s="74"/>
      <c r="Q54" s="74"/>
      <c r="R54" s="86"/>
    </row>
    <row r="55" ht="15.75" customHeight="1">
      <c r="A55" s="57">
        <f t="shared" ref="A55:A57" si="28">A54+7</f>
        <v>45914</v>
      </c>
      <c r="B55" s="148"/>
      <c r="C55" s="49" t="str">
        <f t="shared" si="1"/>
        <v/>
      </c>
      <c r="D55" s="91"/>
      <c r="E55" s="51" t="str">
        <f t="shared" si="27"/>
        <v/>
      </c>
      <c r="F55" s="91"/>
      <c r="G55" s="52" t="str">
        <f t="shared" si="3"/>
        <v/>
      </c>
      <c r="H55" s="58"/>
      <c r="I55" s="58"/>
      <c r="J55" s="54"/>
      <c r="K55" s="55"/>
      <c r="L55" s="78"/>
      <c r="M55" s="78"/>
      <c r="N55" s="55"/>
      <c r="O55" s="55"/>
      <c r="P55" s="78"/>
      <c r="Q55" s="78"/>
      <c r="R55" s="86"/>
    </row>
    <row r="56" ht="15.75" customHeight="1">
      <c r="A56" s="57">
        <f t="shared" si="28"/>
        <v>45921</v>
      </c>
      <c r="B56" s="148"/>
      <c r="C56" s="49" t="str">
        <f t="shared" si="1"/>
        <v/>
      </c>
      <c r="D56" s="91"/>
      <c r="E56" s="51" t="str">
        <f t="shared" si="27"/>
        <v/>
      </c>
      <c r="F56" s="91"/>
      <c r="G56" s="52" t="str">
        <f t="shared" si="3"/>
        <v/>
      </c>
      <c r="H56" s="58"/>
      <c r="I56" s="58"/>
      <c r="J56" s="54"/>
      <c r="K56" s="55"/>
      <c r="L56" s="58"/>
      <c r="M56" s="58"/>
      <c r="N56" s="55"/>
      <c r="O56" s="55"/>
      <c r="P56" s="58"/>
      <c r="Q56" s="58"/>
      <c r="R56" s="86"/>
    </row>
    <row r="57" ht="15.75" customHeight="1">
      <c r="A57" s="57">
        <f t="shared" si="28"/>
        <v>45928</v>
      </c>
      <c r="B57" s="148"/>
      <c r="C57" s="49" t="str">
        <f t="shared" si="1"/>
        <v/>
      </c>
      <c r="D57" s="91"/>
      <c r="E57" s="51"/>
      <c r="F57" s="91"/>
      <c r="G57" s="52" t="str">
        <f t="shared" si="3"/>
        <v/>
      </c>
      <c r="H57" s="82"/>
      <c r="I57" s="82"/>
      <c r="J57" s="54"/>
      <c r="K57" s="55"/>
      <c r="L57" s="82"/>
      <c r="M57" s="82"/>
      <c r="N57" s="55"/>
      <c r="O57" s="55"/>
      <c r="P57" s="82"/>
      <c r="Q57" s="82"/>
      <c r="R57" s="86"/>
    </row>
    <row r="58" ht="15.75" customHeight="1">
      <c r="A58" s="61" t="s">
        <v>51</v>
      </c>
      <c r="B58" s="62">
        <v>7.0</v>
      </c>
      <c r="C58" s="63">
        <f t="shared" si="1"/>
        <v>0.875</v>
      </c>
      <c r="D58" s="64">
        <v>6072.0</v>
      </c>
      <c r="E58" s="70">
        <f>D58/B58</f>
        <v>867.4285714</v>
      </c>
      <c r="F58" s="64">
        <v>6072.0</v>
      </c>
      <c r="G58" s="66">
        <f t="shared" si="3"/>
        <v>1</v>
      </c>
      <c r="H58" s="84"/>
      <c r="I58" s="67">
        <v>6072.0</v>
      </c>
      <c r="J58" s="68" t="str">
        <f>IF(H58=0,"",H58-I58)</f>
        <v/>
      </c>
      <c r="K58" s="69" t="str">
        <f>IFERROR((H58-I58)/H58,"")</f>
        <v/>
      </c>
      <c r="L58" s="84"/>
      <c r="M58" s="67">
        <v>3500.0</v>
      </c>
      <c r="N58" s="68" t="str">
        <f>IF(L58=0,"",L58-M58)</f>
        <v/>
      </c>
      <c r="O58" s="69" t="str">
        <f>IFERROR((L58-M58)/L58,"")</f>
        <v/>
      </c>
      <c r="P58" s="84">
        <f t="shared" ref="P58:Q58" si="29">H58-L58</f>
        <v>0</v>
      </c>
      <c r="Q58" s="84">
        <f t="shared" si="29"/>
        <v>2572</v>
      </c>
      <c r="R58" s="87"/>
    </row>
    <row r="59" ht="15.75" customHeight="1">
      <c r="A59" s="57">
        <f>A57+7</f>
        <v>45935</v>
      </c>
      <c r="B59" s="148"/>
      <c r="C59" s="88" t="str">
        <f t="shared" si="1"/>
        <v/>
      </c>
      <c r="D59" s="91"/>
      <c r="E59" s="51" t="str">
        <f t="shared" ref="E59:E63" si="30">IFERROR(D59/B59,"")</f>
        <v/>
      </c>
      <c r="F59" s="91"/>
      <c r="G59" s="52" t="str">
        <f t="shared" si="3"/>
        <v/>
      </c>
      <c r="H59" s="53"/>
      <c r="I59" s="53"/>
      <c r="J59" s="54"/>
      <c r="K59" s="55"/>
      <c r="L59" s="53"/>
      <c r="M59" s="53"/>
      <c r="N59" s="55"/>
      <c r="O59" s="55"/>
      <c r="P59" s="53"/>
      <c r="Q59" s="53"/>
      <c r="R59" s="86"/>
    </row>
    <row r="60" ht="15.75" customHeight="1">
      <c r="A60" s="57">
        <f t="shared" ref="A60:A63" si="31">A59+7</f>
        <v>45942</v>
      </c>
      <c r="B60" s="148"/>
      <c r="C60" s="88" t="str">
        <f t="shared" si="1"/>
        <v/>
      </c>
      <c r="D60" s="91"/>
      <c r="E60" s="51" t="str">
        <f t="shared" si="30"/>
        <v/>
      </c>
      <c r="F60" s="91"/>
      <c r="G60" s="52" t="str">
        <f t="shared" si="3"/>
        <v/>
      </c>
      <c r="H60" s="58"/>
      <c r="I60" s="58"/>
      <c r="J60" s="54"/>
      <c r="K60" s="55"/>
      <c r="L60" s="58"/>
      <c r="M60" s="58"/>
      <c r="N60" s="55"/>
      <c r="O60" s="55"/>
      <c r="P60" s="58"/>
      <c r="Q60" s="58"/>
      <c r="R60" s="86"/>
    </row>
    <row r="61" ht="15.75" customHeight="1">
      <c r="A61" s="57">
        <f t="shared" si="31"/>
        <v>45949</v>
      </c>
      <c r="B61" s="148"/>
      <c r="C61" s="88" t="str">
        <f t="shared" si="1"/>
        <v/>
      </c>
      <c r="D61" s="91"/>
      <c r="E61" s="51" t="str">
        <f t="shared" si="30"/>
        <v/>
      </c>
      <c r="F61" s="91"/>
      <c r="G61" s="52" t="str">
        <f t="shared" si="3"/>
        <v/>
      </c>
      <c r="H61" s="58"/>
      <c r="I61" s="58"/>
      <c r="J61" s="54"/>
      <c r="K61" s="55"/>
      <c r="L61" s="58"/>
      <c r="M61" s="58"/>
      <c r="N61" s="55"/>
      <c r="O61" s="55"/>
      <c r="P61" s="58"/>
      <c r="Q61" s="58"/>
      <c r="R61" s="86"/>
    </row>
    <row r="62" ht="15.75" customHeight="1">
      <c r="A62" s="57">
        <f t="shared" si="31"/>
        <v>45956</v>
      </c>
      <c r="B62" s="148"/>
      <c r="C62" s="88" t="str">
        <f t="shared" si="1"/>
        <v/>
      </c>
      <c r="D62" s="91"/>
      <c r="E62" s="51" t="str">
        <f t="shared" si="30"/>
        <v/>
      </c>
      <c r="F62" s="91"/>
      <c r="G62" s="52" t="str">
        <f t="shared" si="3"/>
        <v/>
      </c>
      <c r="H62" s="60"/>
      <c r="I62" s="60"/>
      <c r="J62" s="54"/>
      <c r="K62" s="55"/>
      <c r="L62" s="58"/>
      <c r="M62" s="58"/>
      <c r="N62" s="55"/>
      <c r="O62" s="55"/>
      <c r="P62" s="58"/>
      <c r="Q62" s="58"/>
      <c r="R62" s="86"/>
    </row>
    <row r="63" ht="15.75" customHeight="1">
      <c r="A63" s="57">
        <f t="shared" si="31"/>
        <v>45963</v>
      </c>
      <c r="B63" s="148"/>
      <c r="C63" s="88" t="str">
        <f t="shared" si="1"/>
        <v/>
      </c>
      <c r="D63" s="91"/>
      <c r="E63" s="51" t="str">
        <f t="shared" si="30"/>
        <v/>
      </c>
      <c r="F63" s="91"/>
      <c r="G63" s="79" t="str">
        <f t="shared" si="3"/>
        <v/>
      </c>
      <c r="H63" s="81"/>
      <c r="I63" s="74"/>
      <c r="J63" s="75"/>
      <c r="K63" s="55"/>
      <c r="L63" s="60"/>
      <c r="M63" s="60"/>
      <c r="N63" s="55"/>
      <c r="O63" s="55"/>
      <c r="P63" s="60"/>
      <c r="Q63" s="60"/>
      <c r="R63" s="86"/>
    </row>
    <row r="64" ht="15.75" customHeight="1">
      <c r="A64" s="61" t="s">
        <v>51</v>
      </c>
      <c r="B64" s="62">
        <v>7.0</v>
      </c>
      <c r="C64" s="63">
        <f t="shared" si="1"/>
        <v>0.875</v>
      </c>
      <c r="D64" s="64">
        <v>6072.0</v>
      </c>
      <c r="E64" s="70">
        <f>D64/B64</f>
        <v>867.4285714</v>
      </c>
      <c r="F64" s="64">
        <v>6072.0</v>
      </c>
      <c r="G64" s="66">
        <f t="shared" si="3"/>
        <v>1</v>
      </c>
      <c r="H64" s="70"/>
      <c r="I64" s="67">
        <v>6072.0</v>
      </c>
      <c r="J64" s="68" t="str">
        <f>IF(H64=0,"",H64-I64)</f>
        <v/>
      </c>
      <c r="K64" s="69" t="str">
        <f>IFERROR((H64-I64)/H64,"")</f>
        <v/>
      </c>
      <c r="L64" s="70"/>
      <c r="M64" s="67">
        <v>3500.0</v>
      </c>
      <c r="N64" s="68" t="str">
        <f>IF(L64=0,"",L64-M64)</f>
        <v/>
      </c>
      <c r="O64" s="69" t="str">
        <f>IFERROR((L64-M64)/L64,"")</f>
        <v/>
      </c>
      <c r="P64" s="70">
        <f t="shared" ref="P64:Q64" si="32">H64-L64</f>
        <v>0</v>
      </c>
      <c r="Q64" s="70">
        <f t="shared" si="32"/>
        <v>2572</v>
      </c>
      <c r="R64" s="87"/>
    </row>
    <row r="65" ht="15.75" customHeight="1">
      <c r="A65" s="57">
        <f>A63+7</f>
        <v>45970</v>
      </c>
      <c r="B65" s="148"/>
      <c r="C65" s="88" t="str">
        <f t="shared" si="1"/>
        <v/>
      </c>
      <c r="D65" s="91"/>
      <c r="E65" s="51" t="str">
        <f t="shared" ref="E65:E68" si="33">IFERROR(D65/B65,"")</f>
        <v/>
      </c>
      <c r="F65" s="91"/>
      <c r="G65" s="52" t="str">
        <f t="shared" si="3"/>
        <v/>
      </c>
      <c r="H65" s="78"/>
      <c r="I65" s="78"/>
      <c r="J65" s="54"/>
      <c r="K65" s="55"/>
      <c r="L65" s="80"/>
      <c r="M65" s="81"/>
      <c r="N65" s="55"/>
      <c r="O65" s="55"/>
      <c r="P65" s="80"/>
      <c r="Q65" s="81"/>
      <c r="R65" s="86"/>
    </row>
    <row r="66" ht="15.75" customHeight="1">
      <c r="A66" s="57">
        <f t="shared" ref="A66:A68" si="34">A65+7</f>
        <v>45977</v>
      </c>
      <c r="B66" s="148"/>
      <c r="C66" s="88" t="str">
        <f t="shared" si="1"/>
        <v/>
      </c>
      <c r="D66" s="91"/>
      <c r="E66" s="51" t="str">
        <f t="shared" si="33"/>
        <v/>
      </c>
      <c r="F66" s="91"/>
      <c r="G66" s="52" t="str">
        <f t="shared" si="3"/>
        <v/>
      </c>
      <c r="H66" s="58"/>
      <c r="I66" s="58"/>
      <c r="J66" s="54"/>
      <c r="K66" s="55"/>
      <c r="L66" s="78"/>
      <c r="M66" s="78"/>
      <c r="N66" s="55"/>
      <c r="O66" s="55"/>
      <c r="P66" s="78"/>
      <c r="Q66" s="78"/>
      <c r="R66" s="86"/>
    </row>
    <row r="67" ht="15.75" customHeight="1">
      <c r="A67" s="57">
        <f t="shared" si="34"/>
        <v>45984</v>
      </c>
      <c r="B67" s="148"/>
      <c r="C67" s="88" t="str">
        <f t="shared" si="1"/>
        <v/>
      </c>
      <c r="D67" s="91"/>
      <c r="E67" s="51" t="str">
        <f t="shared" si="33"/>
        <v/>
      </c>
      <c r="F67" s="91"/>
      <c r="G67" s="52" t="str">
        <f t="shared" si="3"/>
        <v/>
      </c>
      <c r="H67" s="60"/>
      <c r="I67" s="60"/>
      <c r="J67" s="54"/>
      <c r="K67" s="55"/>
      <c r="L67" s="58"/>
      <c r="M67" s="58"/>
      <c r="N67" s="55"/>
      <c r="O67" s="55"/>
      <c r="P67" s="58"/>
      <c r="Q67" s="58"/>
      <c r="R67" s="86"/>
    </row>
    <row r="68" ht="15.75" customHeight="1">
      <c r="A68" s="57">
        <f t="shared" si="34"/>
        <v>45991</v>
      </c>
      <c r="B68" s="148"/>
      <c r="C68" s="88" t="str">
        <f t="shared" si="1"/>
        <v/>
      </c>
      <c r="D68" s="91"/>
      <c r="E68" s="51" t="str">
        <f t="shared" si="33"/>
        <v/>
      </c>
      <c r="F68" s="91"/>
      <c r="G68" s="79" t="str">
        <f t="shared" si="3"/>
        <v/>
      </c>
      <c r="H68" s="81"/>
      <c r="I68" s="74"/>
      <c r="J68" s="75"/>
      <c r="K68" s="55"/>
      <c r="L68" s="60"/>
      <c r="M68" s="60"/>
      <c r="N68" s="55"/>
      <c r="O68" s="55"/>
      <c r="P68" s="60"/>
      <c r="Q68" s="60"/>
      <c r="R68" s="86"/>
    </row>
    <row r="69" ht="15.75" customHeight="1">
      <c r="A69" s="61" t="s">
        <v>51</v>
      </c>
      <c r="B69" s="62">
        <v>7.0</v>
      </c>
      <c r="C69" s="63">
        <f t="shared" si="1"/>
        <v>0.875</v>
      </c>
      <c r="D69" s="64">
        <v>6072.0</v>
      </c>
      <c r="E69" s="70">
        <f>D69/B69</f>
        <v>867.4285714</v>
      </c>
      <c r="F69" s="64">
        <v>6072.0</v>
      </c>
      <c r="G69" s="66">
        <f t="shared" si="3"/>
        <v>1</v>
      </c>
      <c r="H69" s="70"/>
      <c r="I69" s="67">
        <v>6072.0</v>
      </c>
      <c r="J69" s="68" t="str">
        <f>IF(H69=0,"",H69-I69)</f>
        <v/>
      </c>
      <c r="K69" s="69" t="str">
        <f>IFERROR((H69-I69)/H69,"")</f>
        <v/>
      </c>
      <c r="L69" s="70"/>
      <c r="M69" s="67">
        <v>3500.0</v>
      </c>
      <c r="N69" s="68" t="str">
        <f>IF(L69=0,"",L69-M69)</f>
        <v/>
      </c>
      <c r="O69" s="69" t="str">
        <f>IFERROR((L69-M69)/L69,"")</f>
        <v/>
      </c>
      <c r="P69" s="70">
        <f t="shared" ref="P69:Q69" si="35">H69-L69</f>
        <v>0</v>
      </c>
      <c r="Q69" s="70">
        <f t="shared" si="35"/>
        <v>2572</v>
      </c>
      <c r="R69" s="87"/>
    </row>
    <row r="70" ht="15.75" customHeight="1">
      <c r="A70" s="57">
        <f>A68+7</f>
        <v>45998</v>
      </c>
      <c r="B70" s="90"/>
      <c r="C70" s="88" t="str">
        <f t="shared" si="1"/>
        <v/>
      </c>
      <c r="D70" s="91"/>
      <c r="E70" s="51" t="str">
        <f t="shared" ref="E70:E73" si="36">IFERROR(D70/B70,"")</f>
        <v/>
      </c>
      <c r="F70" s="91"/>
      <c r="G70" s="52" t="str">
        <f t="shared" si="3"/>
        <v/>
      </c>
      <c r="H70" s="78"/>
      <c r="I70" s="78"/>
      <c r="J70" s="54"/>
      <c r="K70" s="76"/>
      <c r="L70" s="74"/>
      <c r="M70" s="74"/>
      <c r="N70" s="77"/>
      <c r="O70" s="55"/>
      <c r="P70" s="74"/>
      <c r="Q70" s="74"/>
      <c r="R70" s="86"/>
    </row>
    <row r="71" ht="15.75" customHeight="1">
      <c r="A71" s="57">
        <f t="shared" ref="A71:A73" si="37">A70+7</f>
        <v>46005</v>
      </c>
      <c r="B71" s="90"/>
      <c r="C71" s="88" t="str">
        <f t="shared" si="1"/>
        <v/>
      </c>
      <c r="D71" s="91"/>
      <c r="E71" s="51" t="str">
        <f t="shared" si="36"/>
        <v/>
      </c>
      <c r="F71" s="91"/>
      <c r="G71" s="52" t="str">
        <f t="shared" si="3"/>
        <v/>
      </c>
      <c r="H71" s="58"/>
      <c r="I71" s="58"/>
      <c r="J71" s="54"/>
      <c r="K71" s="55"/>
      <c r="L71" s="78"/>
      <c r="M71" s="78"/>
      <c r="N71" s="55"/>
      <c r="O71" s="55"/>
      <c r="P71" s="78"/>
      <c r="Q71" s="78"/>
      <c r="R71" s="86"/>
    </row>
    <row r="72" ht="15.75" customHeight="1">
      <c r="A72" s="57">
        <f t="shared" si="37"/>
        <v>46012</v>
      </c>
      <c r="B72" s="90"/>
      <c r="C72" s="88" t="str">
        <f t="shared" si="1"/>
        <v/>
      </c>
      <c r="D72" s="91"/>
      <c r="E72" s="51" t="str">
        <f t="shared" si="36"/>
        <v/>
      </c>
      <c r="F72" s="91"/>
      <c r="G72" s="52" t="str">
        <f t="shared" si="3"/>
        <v/>
      </c>
      <c r="H72" s="58"/>
      <c r="I72" s="58"/>
      <c r="J72" s="54"/>
      <c r="K72" s="55"/>
      <c r="L72" s="58"/>
      <c r="M72" s="58"/>
      <c r="N72" s="55"/>
      <c r="O72" s="55"/>
      <c r="P72" s="58"/>
      <c r="Q72" s="58"/>
      <c r="R72" s="86"/>
    </row>
    <row r="73" ht="15.75" customHeight="1">
      <c r="A73" s="57">
        <f t="shared" si="37"/>
        <v>46019</v>
      </c>
      <c r="B73" s="90"/>
      <c r="C73" s="88" t="str">
        <f t="shared" si="1"/>
        <v/>
      </c>
      <c r="D73" s="91"/>
      <c r="E73" s="51" t="str">
        <f t="shared" si="36"/>
        <v/>
      </c>
      <c r="F73" s="91"/>
      <c r="G73" s="52" t="str">
        <f t="shared" si="3"/>
        <v/>
      </c>
      <c r="H73" s="82"/>
      <c r="I73" s="82"/>
      <c r="J73" s="54"/>
      <c r="K73" s="55"/>
      <c r="L73" s="82"/>
      <c r="M73" s="82"/>
      <c r="N73" s="55"/>
      <c r="O73" s="55"/>
      <c r="P73" s="82"/>
      <c r="Q73" s="82"/>
      <c r="R73" s="86"/>
    </row>
    <row r="74" ht="15.75" customHeight="1">
      <c r="A74" s="61" t="s">
        <v>51</v>
      </c>
      <c r="B74" s="62">
        <v>7.0</v>
      </c>
      <c r="C74" s="63">
        <f t="shared" si="1"/>
        <v>0.875</v>
      </c>
      <c r="D74" s="64">
        <v>6072.0</v>
      </c>
      <c r="E74" s="70">
        <f>D74/B74</f>
        <v>867.4285714</v>
      </c>
      <c r="F74" s="64">
        <v>6072.0</v>
      </c>
      <c r="G74" s="66">
        <f t="shared" si="3"/>
        <v>1</v>
      </c>
      <c r="H74" s="92"/>
      <c r="I74" s="67">
        <v>6072.0</v>
      </c>
      <c r="J74" s="68" t="str">
        <f t="shared" ref="J74:J75" si="40">IF(H74=0,"",H74-I74)</f>
        <v/>
      </c>
      <c r="K74" s="69" t="str">
        <f t="shared" ref="K74:K75" si="41">IFERROR((H74-I74)/H74,"")</f>
        <v/>
      </c>
      <c r="L74" s="92"/>
      <c r="M74" s="67">
        <v>3500.0</v>
      </c>
      <c r="N74" s="68" t="str">
        <f t="shared" ref="N74:N75" si="43">IF(L74=0,"",L74-M74)</f>
        <v/>
      </c>
      <c r="O74" s="69" t="str">
        <f t="shared" ref="O74:O75" si="44">IFERROR((L74-M74)/L74,"")</f>
        <v/>
      </c>
      <c r="P74" s="92">
        <f t="shared" ref="P74:Q74" si="38">H74-L74</f>
        <v>0</v>
      </c>
      <c r="Q74" s="92">
        <f t="shared" si="38"/>
        <v>2572</v>
      </c>
      <c r="R74" s="87"/>
    </row>
    <row r="75" ht="15.75" customHeight="1">
      <c r="A75" s="93" t="s">
        <v>61</v>
      </c>
      <c r="B75" s="94"/>
      <c r="C75" s="95" t="str">
        <f t="shared" si="1"/>
        <v/>
      </c>
      <c r="D75" s="96"/>
      <c r="E75" s="96" t="str">
        <f>IFERROR(D75/B75,"")</f>
        <v/>
      </c>
      <c r="F75" s="96"/>
      <c r="G75" s="97" t="str">
        <f t="shared" si="3"/>
        <v/>
      </c>
      <c r="H75" s="96">
        <f t="shared" ref="H75:I75" si="39">H15+H20+H26+H31+H36+H42+H48+H53+H58+H64+H69+H74</f>
        <v>35908</v>
      </c>
      <c r="I75" s="96">
        <f t="shared" si="39"/>
        <v>72864</v>
      </c>
      <c r="J75" s="96">
        <f t="shared" si="40"/>
        <v>-36956</v>
      </c>
      <c r="K75" s="95">
        <f t="shared" si="41"/>
        <v>-1.029185697</v>
      </c>
      <c r="L75" s="96">
        <f t="shared" ref="L75:M75" si="42">L15+L20+L26+L31+L36+L42+L48+L53+L58+L64+L69+L74</f>
        <v>22895</v>
      </c>
      <c r="M75" s="96">
        <f t="shared" si="42"/>
        <v>42000</v>
      </c>
      <c r="N75" s="95">
        <f t="shared" si="43"/>
        <v>-19105</v>
      </c>
      <c r="O75" s="95">
        <f t="shared" si="44"/>
        <v>-0.8344616729</v>
      </c>
      <c r="P75" s="96">
        <f t="shared" ref="P75:Q75" si="45">P15+P20+P26+P31+P36+P42+P48+P53+P58+P64+P69+P74</f>
        <v>13013</v>
      </c>
      <c r="Q75" s="96">
        <f t="shared" si="45"/>
        <v>30864</v>
      </c>
      <c r="R75" s="98"/>
    </row>
    <row r="76" ht="15.75" customHeight="1">
      <c r="A76" s="99" t="s">
        <v>62</v>
      </c>
      <c r="B76" s="100" t="s">
        <v>62</v>
      </c>
      <c r="C76" s="100" t="s">
        <v>62</v>
      </c>
      <c r="D76" s="101" t="s">
        <v>62</v>
      </c>
      <c r="E76" s="102" t="s">
        <v>62</v>
      </c>
      <c r="F76" s="101" t="s">
        <v>62</v>
      </c>
      <c r="G76" s="100" t="s">
        <v>62</v>
      </c>
      <c r="H76" s="102" t="s">
        <v>62</v>
      </c>
      <c r="I76" s="102" t="s">
        <v>62</v>
      </c>
      <c r="J76" s="102" t="s">
        <v>62</v>
      </c>
      <c r="K76" s="100" t="s">
        <v>62</v>
      </c>
      <c r="L76" s="102" t="s">
        <v>62</v>
      </c>
      <c r="M76" s="102" t="s">
        <v>62</v>
      </c>
      <c r="N76" s="100" t="s">
        <v>62</v>
      </c>
      <c r="O76" s="100" t="s">
        <v>62</v>
      </c>
      <c r="P76" s="102" t="s">
        <v>62</v>
      </c>
      <c r="Q76" s="102" t="s">
        <v>62</v>
      </c>
      <c r="R76" s="100" t="s">
        <v>62</v>
      </c>
    </row>
    <row r="77" ht="15.75" customHeight="1">
      <c r="A77" s="103"/>
      <c r="B77" s="104"/>
      <c r="C77" s="104"/>
      <c r="D77" s="105"/>
      <c r="E77" s="106"/>
      <c r="F77" s="107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6"/>
    </row>
    <row r="78" ht="15.75" customHeight="1">
      <c r="A78" s="103"/>
      <c r="B78" s="104"/>
      <c r="C78" s="104"/>
      <c r="D78" s="105"/>
      <c r="E78" s="106"/>
      <c r="F78" s="107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6"/>
    </row>
    <row r="79" ht="15.75" customHeight="1">
      <c r="A79" s="103"/>
      <c r="B79" s="104"/>
      <c r="C79" s="104"/>
      <c r="D79" s="105"/>
      <c r="E79" s="106"/>
      <c r="F79" s="107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6"/>
    </row>
    <row r="80" ht="15.75" customHeight="1">
      <c r="A80" s="103"/>
      <c r="B80" s="104"/>
      <c r="C80" s="104"/>
      <c r="D80" s="105"/>
      <c r="E80" s="106"/>
      <c r="F80" s="107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6"/>
    </row>
    <row r="81" ht="15.75" customHeight="1">
      <c r="A81" s="109"/>
      <c r="B81" s="104"/>
      <c r="C81" s="104"/>
      <c r="D81" s="105"/>
      <c r="E81" s="106"/>
      <c r="F81" s="107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6"/>
    </row>
    <row r="82" ht="15.75" customHeight="1">
      <c r="A82" s="109"/>
      <c r="B82" s="104"/>
      <c r="C82" s="104"/>
      <c r="D82" s="105"/>
      <c r="E82" s="106"/>
      <c r="F82" s="107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6"/>
    </row>
    <row r="83" ht="15.75" customHeight="1">
      <c r="A83" s="109"/>
      <c r="B83" s="104"/>
      <c r="C83" s="104"/>
      <c r="D83" s="105"/>
      <c r="E83" s="106"/>
      <c r="F83" s="107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6"/>
    </row>
    <row r="84" ht="15.75" customHeight="1">
      <c r="A84" s="109"/>
      <c r="B84" s="104"/>
      <c r="C84" s="104"/>
      <c r="D84" s="105"/>
      <c r="E84" s="106"/>
      <c r="F84" s="107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6"/>
    </row>
    <row r="85" ht="15.75" customHeight="1">
      <c r="A85" s="109"/>
      <c r="B85" s="104"/>
      <c r="C85" s="104"/>
      <c r="D85" s="105"/>
      <c r="E85" s="106"/>
      <c r="F85" s="107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6"/>
    </row>
    <row r="86" ht="15.75" customHeight="1">
      <c r="A86" s="109"/>
      <c r="B86" s="104"/>
      <c r="C86" s="104"/>
      <c r="D86" s="105"/>
      <c r="E86" s="106"/>
      <c r="F86" s="107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6"/>
    </row>
    <row r="87" ht="15.75" customHeight="1">
      <c r="A87" s="109"/>
      <c r="B87" s="104"/>
      <c r="C87" s="104"/>
      <c r="D87" s="105"/>
      <c r="E87" s="106"/>
      <c r="F87" s="107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6"/>
    </row>
    <row r="88" ht="15.75" customHeight="1">
      <c r="A88" s="109"/>
      <c r="B88" s="104"/>
      <c r="C88" s="104"/>
      <c r="D88" s="105"/>
      <c r="E88" s="106"/>
      <c r="F88" s="107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6"/>
    </row>
    <row r="89" ht="15.75" customHeight="1">
      <c r="A89" s="109"/>
      <c r="B89" s="104"/>
      <c r="C89" s="104"/>
      <c r="D89" s="105"/>
      <c r="E89" s="106"/>
      <c r="F89" s="107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6"/>
    </row>
    <row r="90" ht="15.75" customHeight="1">
      <c r="A90" s="109"/>
      <c r="B90" s="104"/>
      <c r="C90" s="104"/>
      <c r="D90" s="105"/>
      <c r="E90" s="106"/>
      <c r="F90" s="107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6"/>
    </row>
    <row r="91" ht="15.75" customHeight="1">
      <c r="A91" s="109"/>
      <c r="B91" s="104"/>
      <c r="C91" s="104"/>
      <c r="D91" s="105"/>
      <c r="E91" s="106"/>
      <c r="F91" s="107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6"/>
    </row>
    <row r="92" ht="15.75" customHeight="1">
      <c r="A92" s="109"/>
      <c r="B92" s="104"/>
      <c r="C92" s="104"/>
      <c r="D92" s="105"/>
      <c r="E92" s="106"/>
      <c r="F92" s="107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6"/>
    </row>
    <row r="93" ht="15.75" customHeight="1">
      <c r="A93" s="109"/>
      <c r="B93" s="104"/>
      <c r="C93" s="104"/>
      <c r="D93" s="105"/>
      <c r="E93" s="106"/>
      <c r="F93" s="107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6"/>
    </row>
    <row r="94" ht="15.75" customHeight="1">
      <c r="A94" s="109"/>
      <c r="B94" s="104"/>
      <c r="C94" s="104"/>
      <c r="D94" s="105"/>
      <c r="E94" s="106"/>
      <c r="F94" s="107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6"/>
    </row>
    <row r="95" ht="15.75" customHeight="1">
      <c r="A95" s="109"/>
      <c r="B95" s="104"/>
      <c r="C95" s="104"/>
      <c r="D95" s="105"/>
      <c r="E95" s="106"/>
      <c r="F95" s="107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6"/>
    </row>
    <row r="96" ht="15.75" customHeight="1">
      <c r="A96" s="109"/>
      <c r="B96" s="104"/>
      <c r="C96" s="104"/>
      <c r="D96" s="105"/>
      <c r="E96" s="106"/>
      <c r="F96" s="107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6"/>
    </row>
    <row r="97" ht="15.75" customHeight="1">
      <c r="A97" s="109"/>
      <c r="B97" s="104"/>
      <c r="C97" s="104"/>
      <c r="D97" s="105"/>
      <c r="E97" s="106"/>
      <c r="F97" s="107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6"/>
    </row>
    <row r="98" ht="15.75" customHeight="1">
      <c r="A98" s="109"/>
      <c r="B98" s="104"/>
      <c r="C98" s="104"/>
      <c r="D98" s="105"/>
      <c r="E98" s="106"/>
      <c r="F98" s="107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6"/>
    </row>
    <row r="99" ht="15.75" customHeight="1">
      <c r="A99" s="109"/>
      <c r="B99" s="104"/>
      <c r="C99" s="104"/>
      <c r="D99" s="105"/>
      <c r="E99" s="106"/>
      <c r="F99" s="107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6"/>
    </row>
    <row r="100" ht="15.75" customHeight="1">
      <c r="A100" s="109"/>
      <c r="B100" s="104"/>
      <c r="C100" s="104"/>
      <c r="D100" s="105"/>
      <c r="E100" s="106"/>
      <c r="F100" s="107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6"/>
    </row>
    <row r="101" ht="15.75" customHeight="1">
      <c r="A101" s="109"/>
      <c r="B101" s="104"/>
      <c r="C101" s="104"/>
      <c r="D101" s="105"/>
      <c r="E101" s="106"/>
      <c r="F101" s="107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6"/>
    </row>
    <row r="102" ht="15.75" customHeight="1">
      <c r="A102" s="109"/>
      <c r="B102" s="104"/>
      <c r="C102" s="104"/>
      <c r="D102" s="105"/>
      <c r="E102" s="106"/>
      <c r="F102" s="107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6"/>
    </row>
    <row r="103" ht="15.75" customHeight="1">
      <c r="A103" s="109"/>
      <c r="B103" s="104"/>
      <c r="C103" s="104"/>
      <c r="D103" s="105"/>
      <c r="E103" s="106"/>
      <c r="F103" s="107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6"/>
    </row>
    <row r="104" ht="15.75" customHeight="1">
      <c r="A104" s="109"/>
      <c r="B104" s="104"/>
      <c r="C104" s="104"/>
      <c r="D104" s="105"/>
      <c r="E104" s="106"/>
      <c r="F104" s="107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6"/>
    </row>
    <row r="105" ht="15.75" customHeight="1">
      <c r="A105" s="109"/>
      <c r="B105" s="104"/>
      <c r="C105" s="104"/>
      <c r="D105" s="105"/>
      <c r="E105" s="106"/>
      <c r="F105" s="107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6"/>
    </row>
    <row r="106" ht="15.75" customHeight="1">
      <c r="A106" s="109"/>
      <c r="B106" s="104"/>
      <c r="C106" s="104"/>
      <c r="D106" s="105"/>
      <c r="E106" s="106"/>
      <c r="F106" s="107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6"/>
    </row>
    <row r="107" ht="15.75" customHeight="1">
      <c r="A107" s="109"/>
      <c r="B107" s="104"/>
      <c r="C107" s="104"/>
      <c r="D107" s="105"/>
      <c r="E107" s="106"/>
      <c r="F107" s="107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6"/>
    </row>
    <row r="108" ht="15.75" customHeight="1">
      <c r="A108" s="109"/>
      <c r="B108" s="104"/>
      <c r="C108" s="104"/>
      <c r="D108" s="105"/>
      <c r="E108" s="106"/>
      <c r="F108" s="107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6"/>
    </row>
    <row r="109" ht="15.75" customHeight="1">
      <c r="A109" s="109"/>
      <c r="B109" s="104"/>
      <c r="C109" s="104"/>
      <c r="D109" s="105"/>
      <c r="E109" s="106"/>
      <c r="F109" s="107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6"/>
    </row>
    <row r="110" ht="15.75" customHeight="1">
      <c r="A110" s="109"/>
      <c r="B110" s="104"/>
      <c r="C110" s="104"/>
      <c r="D110" s="105"/>
      <c r="E110" s="106"/>
      <c r="F110" s="107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6"/>
    </row>
    <row r="111" ht="15.75" customHeight="1">
      <c r="A111" s="109"/>
      <c r="B111" s="104"/>
      <c r="C111" s="104"/>
      <c r="D111" s="105"/>
      <c r="E111" s="106"/>
      <c r="F111" s="107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6"/>
    </row>
    <row r="112" ht="15.75" customHeight="1">
      <c r="A112" s="109"/>
      <c r="B112" s="104"/>
      <c r="C112" s="104"/>
      <c r="D112" s="105"/>
      <c r="E112" s="106"/>
      <c r="F112" s="107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6"/>
    </row>
    <row r="113" ht="15.75" customHeight="1">
      <c r="A113" s="109"/>
      <c r="B113" s="104"/>
      <c r="C113" s="104"/>
      <c r="D113" s="105"/>
      <c r="E113" s="106"/>
      <c r="F113" s="107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6"/>
    </row>
    <row r="114" ht="15.75" customHeight="1">
      <c r="A114" s="109"/>
      <c r="B114" s="104"/>
      <c r="C114" s="104"/>
      <c r="D114" s="105"/>
      <c r="E114" s="106"/>
      <c r="F114" s="107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6"/>
    </row>
    <row r="115" ht="15.75" customHeight="1">
      <c r="A115" s="109"/>
      <c r="B115" s="104"/>
      <c r="C115" s="104"/>
      <c r="D115" s="105"/>
      <c r="E115" s="106"/>
      <c r="F115" s="107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6"/>
    </row>
    <row r="116" ht="15.75" customHeight="1">
      <c r="A116" s="109"/>
      <c r="B116" s="104"/>
      <c r="C116" s="104"/>
      <c r="D116" s="105"/>
      <c r="E116" s="106"/>
      <c r="F116" s="107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6"/>
    </row>
    <row r="117" ht="15.75" customHeight="1">
      <c r="A117" s="109"/>
      <c r="B117" s="104"/>
      <c r="C117" s="104"/>
      <c r="D117" s="105"/>
      <c r="E117" s="106"/>
      <c r="F117" s="107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6"/>
    </row>
    <row r="118" ht="15.75" customHeight="1">
      <c r="A118" s="109"/>
      <c r="B118" s="104"/>
      <c r="C118" s="104"/>
      <c r="D118" s="105"/>
      <c r="E118" s="106"/>
      <c r="F118" s="107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6"/>
    </row>
    <row r="119" ht="15.75" customHeight="1">
      <c r="A119" s="109"/>
      <c r="B119" s="104"/>
      <c r="C119" s="104"/>
      <c r="D119" s="105"/>
      <c r="E119" s="106"/>
      <c r="F119" s="107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6"/>
    </row>
    <row r="120" ht="15.75" customHeight="1">
      <c r="A120" s="109"/>
      <c r="B120" s="104"/>
      <c r="C120" s="104"/>
      <c r="D120" s="105"/>
      <c r="E120" s="106"/>
      <c r="F120" s="107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6"/>
    </row>
    <row r="121" ht="15.75" customHeight="1">
      <c r="A121" s="109"/>
      <c r="B121" s="104"/>
      <c r="C121" s="104"/>
      <c r="D121" s="105"/>
      <c r="E121" s="106"/>
      <c r="F121" s="107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6"/>
    </row>
    <row r="122" ht="15.75" customHeight="1">
      <c r="A122" s="109"/>
      <c r="B122" s="104"/>
      <c r="C122" s="104"/>
      <c r="D122" s="105"/>
      <c r="E122" s="106"/>
      <c r="F122" s="107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6"/>
    </row>
    <row r="123" ht="15.75" customHeight="1">
      <c r="A123" s="109"/>
      <c r="B123" s="104"/>
      <c r="C123" s="104"/>
      <c r="D123" s="105"/>
      <c r="E123" s="106"/>
      <c r="F123" s="107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6"/>
    </row>
    <row r="124" ht="15.75" customHeight="1">
      <c r="A124" s="109"/>
      <c r="B124" s="104"/>
      <c r="C124" s="104"/>
      <c r="D124" s="105"/>
      <c r="E124" s="106"/>
      <c r="F124" s="107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6"/>
    </row>
    <row r="125" ht="15.75" customHeight="1">
      <c r="A125" s="109"/>
      <c r="B125" s="104"/>
      <c r="C125" s="104"/>
      <c r="D125" s="105"/>
      <c r="E125" s="106"/>
      <c r="F125" s="107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6"/>
    </row>
    <row r="126" ht="15.75" customHeight="1">
      <c r="A126" s="109"/>
      <c r="B126" s="104"/>
      <c r="C126" s="104"/>
      <c r="D126" s="105"/>
      <c r="E126" s="106"/>
      <c r="F126" s="107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6"/>
    </row>
    <row r="127" ht="15.75" customHeight="1">
      <c r="A127" s="109"/>
      <c r="B127" s="104"/>
      <c r="C127" s="104"/>
      <c r="D127" s="105"/>
      <c r="E127" s="106"/>
      <c r="F127" s="107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6"/>
    </row>
    <row r="128" ht="15.75" customHeight="1">
      <c r="A128" s="109"/>
      <c r="B128" s="104"/>
      <c r="C128" s="104"/>
      <c r="D128" s="105"/>
      <c r="E128" s="106"/>
      <c r="F128" s="107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6"/>
    </row>
    <row r="129" ht="15.75" customHeight="1">
      <c r="A129" s="109"/>
      <c r="B129" s="104"/>
      <c r="C129" s="104"/>
      <c r="D129" s="105"/>
      <c r="E129" s="106"/>
      <c r="F129" s="107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6"/>
    </row>
    <row r="130" ht="15.75" customHeight="1">
      <c r="A130" s="109"/>
      <c r="B130" s="104"/>
      <c r="C130" s="104"/>
      <c r="D130" s="105"/>
      <c r="E130" s="106"/>
      <c r="F130" s="107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6"/>
    </row>
    <row r="131" ht="15.75" customHeight="1">
      <c r="A131" s="109"/>
      <c r="B131" s="104"/>
      <c r="C131" s="104"/>
      <c r="D131" s="105"/>
      <c r="E131" s="106"/>
      <c r="F131" s="107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6"/>
    </row>
    <row r="132" ht="15.75" customHeight="1">
      <c r="A132" s="109"/>
      <c r="B132" s="104"/>
      <c r="C132" s="104"/>
      <c r="D132" s="105"/>
      <c r="E132" s="106"/>
      <c r="F132" s="107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6"/>
    </row>
    <row r="133" ht="15.75" customHeight="1">
      <c r="A133" s="109"/>
      <c r="B133" s="104"/>
      <c r="C133" s="104"/>
      <c r="D133" s="105"/>
      <c r="E133" s="106"/>
      <c r="F133" s="107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6"/>
    </row>
    <row r="134" ht="15.75" customHeight="1">
      <c r="A134" s="109"/>
      <c r="B134" s="104"/>
      <c r="C134" s="104"/>
      <c r="D134" s="105"/>
      <c r="E134" s="106"/>
      <c r="F134" s="107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6"/>
    </row>
    <row r="135" ht="15.75" customHeight="1">
      <c r="A135" s="109"/>
      <c r="B135" s="104"/>
      <c r="C135" s="104"/>
      <c r="D135" s="105"/>
      <c r="E135" s="106"/>
      <c r="F135" s="107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6"/>
    </row>
    <row r="136" ht="15.75" customHeight="1">
      <c r="A136" s="109"/>
      <c r="B136" s="104"/>
      <c r="C136" s="104"/>
      <c r="D136" s="105"/>
      <c r="E136" s="106"/>
      <c r="F136" s="107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6"/>
    </row>
    <row r="137" ht="15.75" customHeight="1">
      <c r="A137" s="109"/>
      <c r="B137" s="104"/>
      <c r="C137" s="104"/>
      <c r="D137" s="105"/>
      <c r="E137" s="106"/>
      <c r="F137" s="107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6"/>
    </row>
    <row r="138" ht="15.75" customHeight="1">
      <c r="A138" s="109"/>
      <c r="B138" s="104"/>
      <c r="C138" s="104"/>
      <c r="D138" s="105"/>
      <c r="E138" s="106"/>
      <c r="F138" s="107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6"/>
    </row>
    <row r="139" ht="15.75" customHeight="1">
      <c r="A139" s="109"/>
      <c r="B139" s="104"/>
      <c r="C139" s="104"/>
      <c r="D139" s="105"/>
      <c r="E139" s="106"/>
      <c r="F139" s="107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6"/>
    </row>
    <row r="140" ht="15.75" customHeight="1">
      <c r="A140" s="109"/>
      <c r="B140" s="104"/>
      <c r="C140" s="104"/>
      <c r="D140" s="105"/>
      <c r="E140" s="106"/>
      <c r="F140" s="107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6"/>
    </row>
    <row r="141" ht="15.75" customHeight="1">
      <c r="A141" s="109"/>
      <c r="B141" s="104"/>
      <c r="C141" s="104"/>
      <c r="D141" s="105"/>
      <c r="E141" s="106"/>
      <c r="F141" s="107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6"/>
    </row>
    <row r="142" ht="15.75" customHeight="1">
      <c r="A142" s="109"/>
      <c r="B142" s="104"/>
      <c r="C142" s="104"/>
      <c r="D142" s="105"/>
      <c r="E142" s="106"/>
      <c r="F142" s="107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6"/>
    </row>
    <row r="143" ht="15.75" customHeight="1">
      <c r="A143" s="109"/>
      <c r="B143" s="104"/>
      <c r="C143" s="104"/>
      <c r="D143" s="105"/>
      <c r="E143" s="106"/>
      <c r="F143" s="107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6"/>
    </row>
    <row r="144" ht="15.75" customHeight="1">
      <c r="A144" s="109"/>
      <c r="B144" s="104"/>
      <c r="C144" s="104"/>
      <c r="D144" s="105"/>
      <c r="E144" s="106"/>
      <c r="F144" s="107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6"/>
    </row>
    <row r="145" ht="15.75" customHeight="1">
      <c r="A145" s="109"/>
      <c r="B145" s="104"/>
      <c r="C145" s="104"/>
      <c r="D145" s="105"/>
      <c r="E145" s="106"/>
      <c r="F145" s="107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6"/>
    </row>
    <row r="146" ht="15.75" customHeight="1">
      <c r="A146" s="109"/>
      <c r="B146" s="104"/>
      <c r="C146" s="104"/>
      <c r="D146" s="105"/>
      <c r="E146" s="106"/>
      <c r="F146" s="107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6"/>
    </row>
    <row r="147" ht="15.75" customHeight="1">
      <c r="A147" s="109"/>
      <c r="B147" s="104"/>
      <c r="C147" s="104"/>
      <c r="D147" s="105"/>
      <c r="E147" s="106"/>
      <c r="F147" s="107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6"/>
    </row>
    <row r="148" ht="15.75" customHeight="1">
      <c r="A148" s="109"/>
      <c r="B148" s="104"/>
      <c r="C148" s="104"/>
      <c r="D148" s="105"/>
      <c r="E148" s="106"/>
      <c r="F148" s="107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6"/>
    </row>
    <row r="149" ht="15.75" customHeight="1">
      <c r="A149" s="109"/>
      <c r="B149" s="104"/>
      <c r="C149" s="104"/>
      <c r="D149" s="105"/>
      <c r="E149" s="106"/>
      <c r="F149" s="107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6"/>
    </row>
    <row r="150" ht="15.75" customHeight="1">
      <c r="A150" s="109"/>
      <c r="B150" s="104"/>
      <c r="C150" s="104"/>
      <c r="D150" s="105"/>
      <c r="E150" s="106"/>
      <c r="F150" s="107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6"/>
    </row>
    <row r="151" ht="15.75" customHeight="1">
      <c r="A151" s="109"/>
      <c r="B151" s="104"/>
      <c r="C151" s="104"/>
      <c r="D151" s="105"/>
      <c r="E151" s="106"/>
      <c r="F151" s="107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6"/>
    </row>
    <row r="152" ht="15.75" customHeight="1">
      <c r="A152" s="109"/>
      <c r="B152" s="104"/>
      <c r="C152" s="104"/>
      <c r="D152" s="105"/>
      <c r="E152" s="106"/>
      <c r="F152" s="107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6"/>
    </row>
    <row r="153" ht="15.75" customHeight="1">
      <c r="A153" s="109"/>
      <c r="B153" s="104"/>
      <c r="C153" s="104"/>
      <c r="D153" s="105"/>
      <c r="E153" s="106"/>
      <c r="F153" s="107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6"/>
    </row>
    <row r="154" ht="15.75" customHeight="1">
      <c r="A154" s="109"/>
      <c r="B154" s="104"/>
      <c r="C154" s="104"/>
      <c r="D154" s="105"/>
      <c r="E154" s="106"/>
      <c r="F154" s="107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6"/>
    </row>
    <row r="155" ht="15.75" customHeight="1">
      <c r="A155" s="109"/>
      <c r="B155" s="104"/>
      <c r="C155" s="104"/>
      <c r="D155" s="105"/>
      <c r="E155" s="106"/>
      <c r="F155" s="107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6"/>
    </row>
    <row r="156" ht="15.75" customHeight="1">
      <c r="A156" s="109"/>
      <c r="B156" s="104"/>
      <c r="C156" s="104"/>
      <c r="D156" s="105"/>
      <c r="E156" s="106"/>
      <c r="F156" s="107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6"/>
    </row>
    <row r="157" ht="15.75" customHeight="1">
      <c r="A157" s="109"/>
      <c r="B157" s="104"/>
      <c r="C157" s="104"/>
      <c r="D157" s="105"/>
      <c r="E157" s="106"/>
      <c r="F157" s="107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6"/>
    </row>
    <row r="158" ht="15.75" customHeight="1">
      <c r="A158" s="109"/>
      <c r="B158" s="104"/>
      <c r="C158" s="104"/>
      <c r="D158" s="105"/>
      <c r="E158" s="106"/>
      <c r="F158" s="107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6"/>
    </row>
    <row r="159" ht="15.75" customHeight="1">
      <c r="A159" s="109"/>
      <c r="B159" s="104"/>
      <c r="C159" s="104"/>
      <c r="D159" s="105"/>
      <c r="E159" s="106"/>
      <c r="F159" s="107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6"/>
    </row>
    <row r="160" ht="15.75" customHeight="1">
      <c r="A160" s="109"/>
      <c r="B160" s="104"/>
      <c r="C160" s="104"/>
      <c r="D160" s="105"/>
      <c r="E160" s="106"/>
      <c r="F160" s="107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6"/>
    </row>
    <row r="161" ht="15.75" customHeight="1">
      <c r="A161" s="109"/>
      <c r="B161" s="104"/>
      <c r="C161" s="104"/>
      <c r="D161" s="105"/>
      <c r="E161" s="106"/>
      <c r="F161" s="107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6"/>
    </row>
    <row r="162" ht="15.75" customHeight="1">
      <c r="A162" s="109"/>
      <c r="B162" s="104"/>
      <c r="C162" s="104"/>
      <c r="D162" s="105"/>
      <c r="E162" s="106"/>
      <c r="F162" s="107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6"/>
    </row>
    <row r="163" ht="15.75" customHeight="1">
      <c r="A163" s="109"/>
      <c r="B163" s="104"/>
      <c r="C163" s="104"/>
      <c r="D163" s="105"/>
      <c r="E163" s="106"/>
      <c r="F163" s="107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6"/>
    </row>
    <row r="164" ht="15.75" customHeight="1">
      <c r="A164" s="109"/>
      <c r="B164" s="104"/>
      <c r="C164" s="104"/>
      <c r="D164" s="105"/>
      <c r="E164" s="106"/>
      <c r="F164" s="107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6"/>
    </row>
    <row r="165" ht="15.75" customHeight="1">
      <c r="A165" s="109"/>
      <c r="B165" s="104"/>
      <c r="C165" s="104"/>
      <c r="D165" s="105"/>
      <c r="E165" s="106"/>
      <c r="F165" s="107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6"/>
    </row>
    <row r="166" ht="15.75" customHeight="1">
      <c r="A166" s="109"/>
      <c r="B166" s="104"/>
      <c r="C166" s="104"/>
      <c r="D166" s="105"/>
      <c r="E166" s="106"/>
      <c r="F166" s="107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6"/>
    </row>
    <row r="167" ht="15.75" customHeight="1">
      <c r="A167" s="109"/>
      <c r="B167" s="104"/>
      <c r="C167" s="104"/>
      <c r="D167" s="105"/>
      <c r="E167" s="106"/>
      <c r="F167" s="107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6"/>
    </row>
    <row r="168" ht="15.75" customHeight="1">
      <c r="A168" s="109"/>
      <c r="B168" s="104"/>
      <c r="C168" s="104"/>
      <c r="D168" s="105"/>
      <c r="E168" s="106"/>
      <c r="F168" s="107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6"/>
    </row>
    <row r="169" ht="15.75" customHeight="1">
      <c r="A169" s="109"/>
      <c r="B169" s="104"/>
      <c r="C169" s="104"/>
      <c r="D169" s="105"/>
      <c r="E169" s="106"/>
      <c r="F169" s="107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6"/>
    </row>
    <row r="170" ht="15.75" customHeight="1">
      <c r="A170" s="109"/>
      <c r="B170" s="104"/>
      <c r="C170" s="104"/>
      <c r="D170" s="105"/>
      <c r="E170" s="106"/>
      <c r="F170" s="107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6"/>
    </row>
    <row r="171" ht="15.75" customHeight="1">
      <c r="A171" s="109"/>
      <c r="B171" s="104"/>
      <c r="C171" s="104"/>
      <c r="D171" s="105"/>
      <c r="E171" s="106"/>
      <c r="F171" s="107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6"/>
    </row>
    <row r="172" ht="15.75" customHeight="1">
      <c r="A172" s="109"/>
      <c r="B172" s="104"/>
      <c r="C172" s="104"/>
      <c r="D172" s="105"/>
      <c r="E172" s="106"/>
      <c r="F172" s="107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6"/>
    </row>
    <row r="173" ht="15.75" customHeight="1">
      <c r="A173" s="109"/>
      <c r="B173" s="104"/>
      <c r="C173" s="104"/>
      <c r="D173" s="105"/>
      <c r="E173" s="106"/>
      <c r="F173" s="107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6"/>
    </row>
    <row r="174" ht="15.75" customHeight="1">
      <c r="A174" s="109"/>
      <c r="B174" s="104"/>
      <c r="C174" s="104"/>
      <c r="D174" s="105"/>
      <c r="E174" s="106"/>
      <c r="F174" s="107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6"/>
    </row>
    <row r="175" ht="15.75" customHeight="1">
      <c r="A175" s="109"/>
      <c r="B175" s="104"/>
      <c r="C175" s="104"/>
      <c r="D175" s="105"/>
      <c r="E175" s="106"/>
      <c r="F175" s="107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6"/>
    </row>
    <row r="176" ht="15.75" customHeight="1">
      <c r="A176" s="109"/>
      <c r="B176" s="104"/>
      <c r="C176" s="104"/>
      <c r="D176" s="105"/>
      <c r="E176" s="106"/>
      <c r="F176" s="107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6"/>
    </row>
    <row r="177" ht="15.75" customHeight="1">
      <c r="A177" s="109"/>
      <c r="B177" s="104"/>
      <c r="C177" s="104"/>
      <c r="D177" s="105"/>
      <c r="E177" s="106"/>
      <c r="F177" s="107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6"/>
    </row>
    <row r="178" ht="15.75" customHeight="1">
      <c r="A178" s="109"/>
      <c r="B178" s="104"/>
      <c r="C178" s="104"/>
      <c r="D178" s="105"/>
      <c r="E178" s="106"/>
      <c r="F178" s="107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6"/>
    </row>
    <row r="179" ht="15.75" customHeight="1">
      <c r="A179" s="109"/>
      <c r="B179" s="104"/>
      <c r="C179" s="104"/>
      <c r="D179" s="105"/>
      <c r="E179" s="106"/>
      <c r="F179" s="107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6"/>
    </row>
    <row r="180" ht="15.75" customHeight="1">
      <c r="A180" s="109"/>
      <c r="B180" s="104"/>
      <c r="C180" s="104"/>
      <c r="D180" s="105"/>
      <c r="E180" s="106"/>
      <c r="F180" s="107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6"/>
    </row>
    <row r="181" ht="15.75" customHeight="1">
      <c r="A181" s="109"/>
      <c r="B181" s="104"/>
      <c r="C181" s="104"/>
      <c r="D181" s="105"/>
      <c r="E181" s="106"/>
      <c r="F181" s="107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6"/>
    </row>
    <row r="182" ht="15.75" customHeight="1">
      <c r="A182" s="109"/>
      <c r="B182" s="104"/>
      <c r="C182" s="104"/>
      <c r="D182" s="105"/>
      <c r="E182" s="106"/>
      <c r="F182" s="107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6"/>
    </row>
    <row r="183" ht="15.75" customHeight="1">
      <c r="A183" s="109"/>
      <c r="B183" s="104"/>
      <c r="C183" s="104"/>
      <c r="D183" s="105"/>
      <c r="E183" s="106"/>
      <c r="F183" s="107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6"/>
    </row>
    <row r="184" ht="15.75" customHeight="1">
      <c r="A184" s="109"/>
      <c r="B184" s="104"/>
      <c r="C184" s="104"/>
      <c r="D184" s="105"/>
      <c r="E184" s="106"/>
      <c r="F184" s="107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6"/>
    </row>
    <row r="185" ht="15.75" customHeight="1">
      <c r="A185" s="109"/>
      <c r="B185" s="104"/>
      <c r="C185" s="104"/>
      <c r="D185" s="105"/>
      <c r="E185" s="106"/>
      <c r="F185" s="107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6"/>
    </row>
    <row r="186" ht="15.75" customHeight="1">
      <c r="A186" s="109"/>
      <c r="B186" s="104"/>
      <c r="C186" s="104"/>
      <c r="D186" s="105"/>
      <c r="E186" s="106"/>
      <c r="F186" s="107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6"/>
    </row>
    <row r="187" ht="15.75" customHeight="1">
      <c r="A187" s="109"/>
      <c r="B187" s="104"/>
      <c r="C187" s="104"/>
      <c r="D187" s="105"/>
      <c r="E187" s="106"/>
      <c r="F187" s="107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6"/>
    </row>
    <row r="188" ht="15.75" customHeight="1">
      <c r="A188" s="109"/>
      <c r="B188" s="104"/>
      <c r="C188" s="104"/>
      <c r="D188" s="105"/>
      <c r="E188" s="106"/>
      <c r="F188" s="107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6"/>
    </row>
    <row r="189" ht="15.75" customHeight="1">
      <c r="A189" s="109"/>
      <c r="B189" s="104"/>
      <c r="C189" s="104"/>
      <c r="D189" s="105"/>
      <c r="E189" s="106"/>
      <c r="F189" s="107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6"/>
    </row>
    <row r="190" ht="15.75" customHeight="1">
      <c r="A190" s="109"/>
      <c r="B190" s="104"/>
      <c r="C190" s="104"/>
      <c r="D190" s="105"/>
      <c r="E190" s="106"/>
      <c r="F190" s="107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6"/>
    </row>
    <row r="191" ht="15.75" customHeight="1">
      <c r="A191" s="109"/>
      <c r="B191" s="104"/>
      <c r="C191" s="104"/>
      <c r="D191" s="105"/>
      <c r="E191" s="106"/>
      <c r="F191" s="107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6"/>
    </row>
    <row r="192" ht="15.75" customHeight="1">
      <c r="A192" s="109"/>
      <c r="B192" s="104"/>
      <c r="C192" s="104"/>
      <c r="D192" s="105"/>
      <c r="E192" s="106"/>
      <c r="F192" s="107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6"/>
    </row>
    <row r="193" ht="15.75" customHeight="1">
      <c r="A193" s="109"/>
      <c r="B193" s="104"/>
      <c r="C193" s="104"/>
      <c r="D193" s="105"/>
      <c r="E193" s="106"/>
      <c r="F193" s="107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6"/>
    </row>
    <row r="194" ht="15.75" customHeight="1">
      <c r="A194" s="109"/>
      <c r="B194" s="104"/>
      <c r="C194" s="104"/>
      <c r="D194" s="105"/>
      <c r="E194" s="106"/>
      <c r="F194" s="107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6"/>
    </row>
    <row r="195" ht="15.75" customHeight="1">
      <c r="A195" s="109"/>
      <c r="B195" s="104"/>
      <c r="C195" s="104"/>
      <c r="D195" s="105"/>
      <c r="E195" s="106"/>
      <c r="F195" s="107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6"/>
    </row>
    <row r="196" ht="15.75" customHeight="1">
      <c r="A196" s="109"/>
      <c r="B196" s="104"/>
      <c r="C196" s="104"/>
      <c r="D196" s="105"/>
      <c r="E196" s="106"/>
      <c r="F196" s="107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6"/>
    </row>
    <row r="197" ht="15.75" customHeight="1">
      <c r="A197" s="109"/>
      <c r="B197" s="104"/>
      <c r="C197" s="104"/>
      <c r="D197" s="105"/>
      <c r="E197" s="106"/>
      <c r="F197" s="107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6"/>
    </row>
    <row r="198" ht="15.75" customHeight="1">
      <c r="A198" s="109"/>
      <c r="B198" s="104"/>
      <c r="C198" s="104"/>
      <c r="D198" s="105"/>
      <c r="E198" s="106"/>
      <c r="F198" s="107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6"/>
    </row>
    <row r="199" ht="15.75" customHeight="1">
      <c r="A199" s="109"/>
      <c r="B199" s="104"/>
      <c r="C199" s="104"/>
      <c r="D199" s="105"/>
      <c r="E199" s="106"/>
      <c r="F199" s="107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6"/>
    </row>
    <row r="200" ht="15.75" customHeight="1">
      <c r="A200" s="109"/>
      <c r="B200" s="104"/>
      <c r="C200" s="104"/>
      <c r="D200" s="105"/>
      <c r="E200" s="106"/>
      <c r="F200" s="107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6"/>
    </row>
    <row r="201" ht="15.75" customHeight="1">
      <c r="A201" s="109"/>
      <c r="B201" s="104"/>
      <c r="C201" s="104"/>
      <c r="D201" s="105"/>
      <c r="E201" s="106"/>
      <c r="F201" s="107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6"/>
    </row>
    <row r="202" ht="15.75" customHeight="1">
      <c r="A202" s="109"/>
      <c r="B202" s="104"/>
      <c r="C202" s="104"/>
      <c r="D202" s="105"/>
      <c r="E202" s="106"/>
      <c r="F202" s="107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6"/>
    </row>
    <row r="203" ht="15.75" customHeight="1">
      <c r="A203" s="109"/>
      <c r="B203" s="104"/>
      <c r="C203" s="104"/>
      <c r="D203" s="105"/>
      <c r="E203" s="106"/>
      <c r="F203" s="107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6"/>
    </row>
    <row r="204" ht="15.75" customHeight="1">
      <c r="A204" s="109"/>
      <c r="B204" s="104"/>
      <c r="C204" s="104"/>
      <c r="D204" s="105"/>
      <c r="E204" s="106"/>
      <c r="F204" s="107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6"/>
    </row>
    <row r="205" ht="15.75" customHeight="1">
      <c r="A205" s="109"/>
      <c r="B205" s="104"/>
      <c r="C205" s="104"/>
      <c r="D205" s="105"/>
      <c r="E205" s="106"/>
      <c r="F205" s="107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6"/>
    </row>
    <row r="206" ht="15.75" customHeight="1">
      <c r="A206" s="109"/>
      <c r="B206" s="104"/>
      <c r="C206" s="104"/>
      <c r="D206" s="105"/>
      <c r="E206" s="106"/>
      <c r="F206" s="107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6"/>
    </row>
    <row r="207" ht="15.75" customHeight="1">
      <c r="A207" s="109"/>
      <c r="B207" s="104"/>
      <c r="C207" s="104"/>
      <c r="D207" s="105"/>
      <c r="E207" s="106"/>
      <c r="F207" s="107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6"/>
    </row>
    <row r="208" ht="15.75" customHeight="1">
      <c r="A208" s="109"/>
      <c r="B208" s="104"/>
      <c r="C208" s="104"/>
      <c r="D208" s="105"/>
      <c r="E208" s="106"/>
      <c r="F208" s="107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6"/>
    </row>
    <row r="209" ht="15.75" customHeight="1">
      <c r="A209" s="109"/>
      <c r="B209" s="104"/>
      <c r="C209" s="104"/>
      <c r="D209" s="105"/>
      <c r="E209" s="106"/>
      <c r="F209" s="107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6"/>
    </row>
    <row r="210" ht="15.75" customHeight="1">
      <c r="A210" s="109"/>
      <c r="B210" s="104"/>
      <c r="C210" s="104"/>
      <c r="D210" s="105"/>
      <c r="E210" s="106"/>
      <c r="F210" s="107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6"/>
    </row>
    <row r="211" ht="15.75" customHeight="1">
      <c r="A211" s="109"/>
      <c r="B211" s="104"/>
      <c r="C211" s="104"/>
      <c r="D211" s="105"/>
      <c r="E211" s="106"/>
      <c r="F211" s="107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6"/>
    </row>
    <row r="212" ht="15.75" customHeight="1">
      <c r="A212" s="109"/>
      <c r="B212" s="104"/>
      <c r="C212" s="104"/>
      <c r="D212" s="105"/>
      <c r="E212" s="106"/>
      <c r="F212" s="107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6"/>
    </row>
    <row r="213" ht="15.75" customHeight="1">
      <c r="A213" s="109"/>
      <c r="B213" s="104"/>
      <c r="C213" s="104"/>
      <c r="D213" s="105"/>
      <c r="E213" s="106"/>
      <c r="F213" s="107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6"/>
    </row>
    <row r="214" ht="15.75" customHeight="1">
      <c r="A214" s="109"/>
      <c r="B214" s="104"/>
      <c r="C214" s="104"/>
      <c r="D214" s="105"/>
      <c r="E214" s="106"/>
      <c r="F214" s="107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6"/>
    </row>
    <row r="215" ht="15.75" customHeight="1">
      <c r="A215" s="109"/>
      <c r="B215" s="104"/>
      <c r="C215" s="104"/>
      <c r="D215" s="105"/>
      <c r="E215" s="106"/>
      <c r="F215" s="107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6"/>
    </row>
    <row r="216" ht="15.75" customHeight="1">
      <c r="A216" s="109"/>
      <c r="B216" s="104"/>
      <c r="C216" s="104"/>
      <c r="D216" s="105"/>
      <c r="E216" s="106"/>
      <c r="F216" s="107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6"/>
    </row>
    <row r="217" ht="15.75" customHeight="1">
      <c r="A217" s="109"/>
      <c r="B217" s="104"/>
      <c r="C217" s="104"/>
      <c r="D217" s="105"/>
      <c r="E217" s="106"/>
      <c r="F217" s="107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6"/>
    </row>
    <row r="218" ht="15.75" customHeight="1">
      <c r="A218" s="109"/>
      <c r="B218" s="104"/>
      <c r="C218" s="104"/>
      <c r="D218" s="105"/>
      <c r="E218" s="106"/>
      <c r="F218" s="107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6"/>
    </row>
    <row r="219" ht="15.75" customHeight="1">
      <c r="A219" s="109"/>
      <c r="B219" s="104"/>
      <c r="C219" s="104"/>
      <c r="D219" s="105"/>
      <c r="E219" s="106"/>
      <c r="F219" s="107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6"/>
    </row>
    <row r="220" ht="15.75" customHeight="1">
      <c r="A220" s="109"/>
      <c r="B220" s="104"/>
      <c r="C220" s="104"/>
      <c r="D220" s="105"/>
      <c r="E220" s="106"/>
      <c r="F220" s="107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6"/>
    </row>
    <row r="221" ht="15.75" customHeight="1">
      <c r="A221" s="109"/>
      <c r="B221" s="104"/>
      <c r="C221" s="104"/>
      <c r="D221" s="105"/>
      <c r="E221" s="106"/>
      <c r="F221" s="107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6"/>
    </row>
    <row r="222" ht="15.75" customHeight="1">
      <c r="A222" s="109"/>
      <c r="B222" s="104"/>
      <c r="C222" s="104"/>
      <c r="D222" s="105"/>
      <c r="E222" s="106"/>
      <c r="F222" s="107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6"/>
    </row>
    <row r="223" ht="15.75" customHeight="1">
      <c r="A223" s="109"/>
      <c r="B223" s="104"/>
      <c r="C223" s="104"/>
      <c r="D223" s="105"/>
      <c r="E223" s="106"/>
      <c r="F223" s="107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6"/>
    </row>
    <row r="224" ht="15.75" customHeight="1">
      <c r="A224" s="109"/>
      <c r="B224" s="104"/>
      <c r="C224" s="104"/>
      <c r="D224" s="105"/>
      <c r="E224" s="106"/>
      <c r="F224" s="107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6"/>
    </row>
    <row r="225" ht="15.75" customHeight="1">
      <c r="A225" s="109"/>
      <c r="B225" s="104"/>
      <c r="C225" s="104"/>
      <c r="D225" s="105"/>
      <c r="E225" s="106"/>
      <c r="F225" s="107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6"/>
    </row>
    <row r="226" ht="15.75" customHeight="1">
      <c r="A226" s="109"/>
      <c r="B226" s="104"/>
      <c r="C226" s="104"/>
      <c r="D226" s="105"/>
      <c r="E226" s="106"/>
      <c r="F226" s="107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6"/>
    </row>
    <row r="227" ht="15.75" customHeight="1">
      <c r="A227" s="109"/>
      <c r="B227" s="104"/>
      <c r="C227" s="104"/>
      <c r="D227" s="105"/>
      <c r="E227" s="106"/>
      <c r="F227" s="107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6"/>
    </row>
    <row r="228" ht="15.75" customHeight="1">
      <c r="A228" s="109"/>
      <c r="B228" s="104"/>
      <c r="C228" s="104"/>
      <c r="D228" s="105"/>
      <c r="E228" s="106"/>
      <c r="F228" s="107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6"/>
    </row>
    <row r="229" ht="15.75" customHeight="1">
      <c r="A229" s="109"/>
      <c r="B229" s="104"/>
      <c r="C229" s="104"/>
      <c r="D229" s="105"/>
      <c r="E229" s="106"/>
      <c r="F229" s="107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6"/>
    </row>
    <row r="230" ht="15.75" customHeight="1">
      <c r="A230" s="109"/>
      <c r="B230" s="104"/>
      <c r="C230" s="104"/>
      <c r="D230" s="105"/>
      <c r="E230" s="106"/>
      <c r="F230" s="107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6"/>
    </row>
    <row r="231" ht="15.75" customHeight="1">
      <c r="A231" s="109"/>
      <c r="B231" s="104"/>
      <c r="C231" s="104"/>
      <c r="D231" s="105"/>
      <c r="E231" s="106"/>
      <c r="F231" s="107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6"/>
    </row>
    <row r="232" ht="15.75" customHeight="1">
      <c r="A232" s="109"/>
      <c r="B232" s="104"/>
      <c r="C232" s="104"/>
      <c r="D232" s="105"/>
      <c r="E232" s="106"/>
      <c r="F232" s="107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6"/>
    </row>
    <row r="233" ht="15.75" customHeight="1">
      <c r="A233" s="109"/>
      <c r="B233" s="104"/>
      <c r="C233" s="104"/>
      <c r="D233" s="105"/>
      <c r="E233" s="106"/>
      <c r="F233" s="107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6"/>
    </row>
    <row r="234" ht="15.75" customHeight="1">
      <c r="A234" s="109"/>
      <c r="B234" s="104"/>
      <c r="C234" s="104"/>
      <c r="D234" s="105"/>
      <c r="E234" s="106"/>
      <c r="F234" s="107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6"/>
    </row>
    <row r="235" ht="15.75" customHeight="1">
      <c r="A235" s="109"/>
      <c r="B235" s="104"/>
      <c r="C235" s="104"/>
      <c r="D235" s="105"/>
      <c r="E235" s="106"/>
      <c r="F235" s="107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6"/>
    </row>
    <row r="236" ht="15.75" customHeight="1">
      <c r="A236" s="109"/>
      <c r="B236" s="104"/>
      <c r="C236" s="104"/>
      <c r="D236" s="105"/>
      <c r="E236" s="106"/>
      <c r="F236" s="107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6"/>
    </row>
    <row r="237" ht="15.75" customHeight="1">
      <c r="A237" s="109"/>
      <c r="B237" s="104"/>
      <c r="C237" s="104"/>
      <c r="D237" s="105"/>
      <c r="E237" s="106"/>
      <c r="F237" s="107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6"/>
    </row>
    <row r="238" ht="15.75" customHeight="1">
      <c r="A238" s="109"/>
      <c r="B238" s="104"/>
      <c r="C238" s="104"/>
      <c r="D238" s="105"/>
      <c r="E238" s="106"/>
      <c r="F238" s="107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6"/>
    </row>
    <row r="239" ht="15.75" customHeight="1">
      <c r="A239" s="109"/>
      <c r="B239" s="104"/>
      <c r="C239" s="104"/>
      <c r="D239" s="105"/>
      <c r="E239" s="106"/>
      <c r="F239" s="107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6"/>
    </row>
    <row r="240" ht="15.75" customHeight="1">
      <c r="A240" s="109"/>
      <c r="B240" s="104"/>
      <c r="C240" s="104"/>
      <c r="D240" s="105"/>
      <c r="E240" s="106"/>
      <c r="F240" s="107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6"/>
    </row>
    <row r="241" ht="15.75" customHeight="1">
      <c r="A241" s="109"/>
      <c r="B241" s="104"/>
      <c r="C241" s="104"/>
      <c r="D241" s="105"/>
      <c r="E241" s="106"/>
      <c r="F241" s="107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6"/>
    </row>
    <row r="242" ht="15.75" customHeight="1">
      <c r="A242" s="109"/>
      <c r="B242" s="104"/>
      <c r="C242" s="104"/>
      <c r="D242" s="105"/>
      <c r="E242" s="106"/>
      <c r="F242" s="107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6"/>
    </row>
    <row r="243" ht="15.75" customHeight="1">
      <c r="A243" s="109"/>
      <c r="B243" s="104"/>
      <c r="C243" s="104"/>
      <c r="D243" s="105"/>
      <c r="E243" s="106"/>
      <c r="F243" s="107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6"/>
    </row>
    <row r="244" ht="15.75" customHeight="1">
      <c r="A244" s="109"/>
      <c r="B244" s="104"/>
      <c r="C244" s="104"/>
      <c r="D244" s="105"/>
      <c r="E244" s="106"/>
      <c r="F244" s="107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6"/>
    </row>
    <row r="245" ht="15.75" customHeight="1">
      <c r="A245" s="109"/>
      <c r="B245" s="104"/>
      <c r="C245" s="104"/>
      <c r="D245" s="105"/>
      <c r="E245" s="106"/>
      <c r="F245" s="107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6"/>
    </row>
    <row r="246" ht="15.75" customHeight="1">
      <c r="A246" s="109"/>
      <c r="B246" s="104"/>
      <c r="C246" s="104"/>
      <c r="D246" s="105"/>
      <c r="E246" s="106"/>
      <c r="F246" s="107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6"/>
    </row>
    <row r="247" ht="15.75" customHeight="1">
      <c r="A247" s="109"/>
      <c r="B247" s="104"/>
      <c r="C247" s="104"/>
      <c r="D247" s="105"/>
      <c r="E247" s="106"/>
      <c r="F247" s="107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6"/>
    </row>
    <row r="248" ht="15.75" customHeight="1">
      <c r="A248" s="109"/>
      <c r="B248" s="104"/>
      <c r="C248" s="104"/>
      <c r="D248" s="105"/>
      <c r="E248" s="106"/>
      <c r="F248" s="107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6"/>
    </row>
    <row r="249" ht="15.75" customHeight="1">
      <c r="A249" s="109"/>
      <c r="B249" s="104"/>
      <c r="C249" s="104"/>
      <c r="D249" s="105"/>
      <c r="E249" s="106"/>
      <c r="F249" s="107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6"/>
    </row>
    <row r="250" ht="15.75" customHeight="1">
      <c r="A250" s="109"/>
      <c r="B250" s="104"/>
      <c r="C250" s="104"/>
      <c r="D250" s="105"/>
      <c r="E250" s="106"/>
      <c r="F250" s="107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6"/>
    </row>
    <row r="251" ht="15.75" customHeight="1">
      <c r="A251" s="109"/>
      <c r="B251" s="104"/>
      <c r="C251" s="104"/>
      <c r="D251" s="105"/>
      <c r="E251" s="106"/>
      <c r="F251" s="107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6"/>
    </row>
    <row r="252" ht="15.75" customHeight="1">
      <c r="A252" s="109"/>
      <c r="B252" s="104"/>
      <c r="C252" s="104"/>
      <c r="D252" s="105"/>
      <c r="E252" s="106"/>
      <c r="F252" s="107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6"/>
    </row>
    <row r="253" ht="15.75" customHeight="1">
      <c r="A253" s="109"/>
      <c r="B253" s="104"/>
      <c r="C253" s="104"/>
      <c r="D253" s="105"/>
      <c r="E253" s="106"/>
      <c r="F253" s="107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6"/>
    </row>
    <row r="254" ht="15.75" customHeight="1">
      <c r="A254" s="109"/>
      <c r="B254" s="104"/>
      <c r="C254" s="104"/>
      <c r="D254" s="105"/>
      <c r="E254" s="106"/>
      <c r="F254" s="107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6"/>
    </row>
    <row r="255" ht="15.75" customHeight="1">
      <c r="A255" s="109"/>
      <c r="B255" s="104"/>
      <c r="C255" s="104"/>
      <c r="D255" s="105"/>
      <c r="E255" s="106"/>
      <c r="F255" s="107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6"/>
    </row>
    <row r="256" ht="15.75" customHeight="1">
      <c r="A256" s="109"/>
      <c r="B256" s="104"/>
      <c r="C256" s="104"/>
      <c r="D256" s="105"/>
      <c r="E256" s="106"/>
      <c r="F256" s="107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6"/>
    </row>
    <row r="257" ht="15.75" customHeight="1">
      <c r="A257" s="109"/>
      <c r="B257" s="104"/>
      <c r="C257" s="104"/>
      <c r="D257" s="105"/>
      <c r="E257" s="106"/>
      <c r="F257" s="107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6"/>
    </row>
    <row r="258" ht="15.75" customHeight="1">
      <c r="A258" s="109"/>
      <c r="B258" s="104"/>
      <c r="C258" s="104"/>
      <c r="D258" s="105"/>
      <c r="E258" s="106"/>
      <c r="F258" s="107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6"/>
    </row>
    <row r="259" ht="15.75" customHeight="1">
      <c r="A259" s="109"/>
      <c r="B259" s="104"/>
      <c r="C259" s="104"/>
      <c r="D259" s="105"/>
      <c r="E259" s="106"/>
      <c r="F259" s="107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6"/>
    </row>
    <row r="260" ht="15.75" customHeight="1">
      <c r="A260" s="109"/>
      <c r="B260" s="104"/>
      <c r="C260" s="104"/>
      <c r="D260" s="105"/>
      <c r="E260" s="106"/>
      <c r="F260" s="107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6"/>
    </row>
    <row r="261" ht="15.75" customHeight="1">
      <c r="A261" s="109"/>
      <c r="B261" s="104"/>
      <c r="C261" s="104"/>
      <c r="D261" s="105"/>
      <c r="E261" s="106"/>
      <c r="F261" s="107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6"/>
    </row>
    <row r="262" ht="15.75" customHeight="1">
      <c r="A262" s="109"/>
      <c r="B262" s="104"/>
      <c r="C262" s="104"/>
      <c r="D262" s="105"/>
      <c r="E262" s="106"/>
      <c r="F262" s="107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6"/>
    </row>
    <row r="263" ht="15.75" customHeight="1">
      <c r="A263" s="109"/>
      <c r="B263" s="104"/>
      <c r="C263" s="104"/>
      <c r="D263" s="105"/>
      <c r="E263" s="106"/>
      <c r="F263" s="107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6"/>
    </row>
    <row r="264" ht="15.75" customHeight="1">
      <c r="A264" s="109"/>
      <c r="B264" s="104"/>
      <c r="C264" s="104"/>
      <c r="D264" s="105"/>
      <c r="E264" s="106"/>
      <c r="F264" s="107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6"/>
    </row>
    <row r="265" ht="15.75" customHeight="1">
      <c r="A265" s="109"/>
      <c r="B265" s="104"/>
      <c r="C265" s="104"/>
      <c r="D265" s="105"/>
      <c r="E265" s="106"/>
      <c r="F265" s="107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6"/>
    </row>
    <row r="266" ht="15.75" customHeight="1">
      <c r="A266" s="109"/>
      <c r="B266" s="104"/>
      <c r="C266" s="104"/>
      <c r="D266" s="105"/>
      <c r="E266" s="106"/>
      <c r="F266" s="107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6"/>
    </row>
    <row r="267" ht="15.75" customHeight="1">
      <c r="A267" s="109"/>
      <c r="B267" s="104"/>
      <c r="C267" s="104"/>
      <c r="D267" s="105"/>
      <c r="E267" s="106"/>
      <c r="F267" s="107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6"/>
    </row>
    <row r="268" ht="15.75" customHeight="1">
      <c r="A268" s="109"/>
      <c r="B268" s="104"/>
      <c r="C268" s="104"/>
      <c r="D268" s="105"/>
      <c r="E268" s="106"/>
      <c r="F268" s="107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6"/>
    </row>
    <row r="269" ht="15.75" customHeight="1">
      <c r="A269" s="109"/>
      <c r="B269" s="104"/>
      <c r="C269" s="104"/>
      <c r="D269" s="105"/>
      <c r="E269" s="106"/>
      <c r="F269" s="107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6"/>
    </row>
    <row r="270" ht="15.75" customHeight="1">
      <c r="A270" s="109"/>
      <c r="B270" s="104"/>
      <c r="C270" s="104"/>
      <c r="D270" s="105"/>
      <c r="E270" s="106"/>
      <c r="F270" s="107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6"/>
    </row>
    <row r="271" ht="15.75" customHeight="1">
      <c r="A271" s="109"/>
      <c r="B271" s="104"/>
      <c r="C271" s="104"/>
      <c r="D271" s="105"/>
      <c r="E271" s="106"/>
      <c r="F271" s="107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6"/>
    </row>
    <row r="272" ht="15.75" customHeight="1">
      <c r="A272" s="109"/>
      <c r="B272" s="104"/>
      <c r="C272" s="104"/>
      <c r="D272" s="105"/>
      <c r="E272" s="106"/>
      <c r="F272" s="107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6"/>
    </row>
    <row r="273" ht="15.75" customHeight="1">
      <c r="A273" s="109"/>
      <c r="B273" s="104"/>
      <c r="C273" s="104"/>
      <c r="D273" s="105"/>
      <c r="E273" s="106"/>
      <c r="F273" s="107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6"/>
    </row>
    <row r="274" ht="15.75" customHeight="1">
      <c r="A274" s="109"/>
      <c r="B274" s="104"/>
      <c r="C274" s="104"/>
      <c r="D274" s="105"/>
      <c r="E274" s="106"/>
      <c r="F274" s="107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6"/>
    </row>
    <row r="275" ht="15.75" customHeight="1">
      <c r="A275" s="109"/>
      <c r="B275" s="104"/>
      <c r="C275" s="104"/>
      <c r="D275" s="105"/>
      <c r="E275" s="106"/>
      <c r="F275" s="107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6"/>
    </row>
    <row r="276" ht="15.75" customHeight="1">
      <c r="A276" s="109"/>
      <c r="B276" s="104"/>
      <c r="C276" s="104"/>
      <c r="D276" s="105"/>
      <c r="E276" s="106"/>
      <c r="F276" s="107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6"/>
    </row>
    <row r="277" ht="15.75" customHeight="1">
      <c r="A277" s="109"/>
      <c r="B277" s="104"/>
      <c r="C277" s="104"/>
      <c r="D277" s="105"/>
      <c r="E277" s="106"/>
      <c r="F277" s="107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6"/>
    </row>
    <row r="278" ht="15.75" customHeight="1">
      <c r="A278" s="109"/>
      <c r="B278" s="104"/>
      <c r="C278" s="104"/>
      <c r="D278" s="105"/>
      <c r="E278" s="106"/>
      <c r="F278" s="107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6"/>
    </row>
    <row r="279" ht="15.75" customHeight="1">
      <c r="A279" s="109"/>
      <c r="B279" s="104"/>
      <c r="C279" s="104"/>
      <c r="D279" s="105"/>
      <c r="E279" s="106"/>
      <c r="F279" s="107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6"/>
    </row>
    <row r="280" ht="15.75" customHeight="1">
      <c r="A280" s="109"/>
      <c r="B280" s="104"/>
      <c r="C280" s="104"/>
      <c r="D280" s="105"/>
      <c r="E280" s="106"/>
      <c r="F280" s="107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6"/>
    </row>
    <row r="281" ht="15.75" customHeight="1">
      <c r="A281" s="109"/>
      <c r="B281" s="104"/>
      <c r="C281" s="104"/>
      <c r="D281" s="105"/>
      <c r="E281" s="106"/>
      <c r="F281" s="107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6"/>
    </row>
    <row r="282" ht="15.75" customHeight="1">
      <c r="A282" s="109"/>
      <c r="B282" s="104"/>
      <c r="C282" s="104"/>
      <c r="D282" s="105"/>
      <c r="E282" s="106"/>
      <c r="F282" s="107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6"/>
    </row>
    <row r="283" ht="15.75" customHeight="1">
      <c r="A283" s="109"/>
      <c r="B283" s="104"/>
      <c r="C283" s="104"/>
      <c r="D283" s="105"/>
      <c r="E283" s="106"/>
      <c r="F283" s="107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6"/>
    </row>
    <row r="284" ht="15.75" customHeight="1">
      <c r="A284" s="109"/>
      <c r="B284" s="104"/>
      <c r="C284" s="104"/>
      <c r="D284" s="105"/>
      <c r="E284" s="106"/>
      <c r="F284" s="107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6"/>
    </row>
    <row r="285" ht="15.75" customHeight="1">
      <c r="A285" s="109"/>
      <c r="B285" s="104"/>
      <c r="C285" s="104"/>
      <c r="D285" s="105"/>
      <c r="E285" s="106"/>
      <c r="F285" s="107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6"/>
    </row>
    <row r="286" ht="15.75" customHeight="1">
      <c r="A286" s="109"/>
      <c r="B286" s="104"/>
      <c r="C286" s="104"/>
      <c r="D286" s="105"/>
      <c r="E286" s="106"/>
      <c r="F286" s="107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6"/>
    </row>
    <row r="287" ht="15.75" customHeight="1">
      <c r="A287" s="109"/>
      <c r="B287" s="104"/>
      <c r="C287" s="104"/>
      <c r="D287" s="105"/>
      <c r="E287" s="106"/>
      <c r="F287" s="107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6"/>
    </row>
    <row r="288" ht="15.75" customHeight="1">
      <c r="A288" s="109"/>
      <c r="B288" s="104"/>
      <c r="C288" s="104"/>
      <c r="D288" s="105"/>
      <c r="E288" s="106"/>
      <c r="F288" s="107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6"/>
    </row>
    <row r="289" ht="15.75" customHeight="1">
      <c r="A289" s="109"/>
      <c r="B289" s="104"/>
      <c r="C289" s="104"/>
      <c r="D289" s="105"/>
      <c r="E289" s="106"/>
      <c r="F289" s="107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6"/>
    </row>
    <row r="290" ht="15.75" customHeight="1">
      <c r="A290" s="109"/>
      <c r="B290" s="104"/>
      <c r="C290" s="104"/>
      <c r="D290" s="105"/>
      <c r="E290" s="106"/>
      <c r="F290" s="107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6"/>
    </row>
    <row r="291" ht="15.75" customHeight="1">
      <c r="A291" s="109"/>
      <c r="B291" s="104"/>
      <c r="C291" s="104"/>
      <c r="D291" s="105"/>
      <c r="E291" s="106"/>
      <c r="F291" s="107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6"/>
    </row>
    <row r="292" ht="15.75" customHeight="1">
      <c r="A292" s="109"/>
      <c r="B292" s="104"/>
      <c r="C292" s="104"/>
      <c r="D292" s="105"/>
      <c r="E292" s="106"/>
      <c r="F292" s="107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6"/>
    </row>
    <row r="293" ht="15.75" customHeight="1">
      <c r="A293" s="109"/>
      <c r="B293" s="104"/>
      <c r="C293" s="104"/>
      <c r="D293" s="105"/>
      <c r="E293" s="106"/>
      <c r="F293" s="107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6"/>
    </row>
    <row r="294" ht="15.75" customHeight="1">
      <c r="A294" s="109"/>
      <c r="B294" s="104"/>
      <c r="C294" s="104"/>
      <c r="D294" s="105"/>
      <c r="E294" s="106"/>
      <c r="F294" s="107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6"/>
    </row>
    <row r="295" ht="15.75" customHeight="1">
      <c r="A295" s="109"/>
      <c r="B295" s="104"/>
      <c r="C295" s="104"/>
      <c r="D295" s="105"/>
      <c r="E295" s="106"/>
      <c r="F295" s="107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6"/>
    </row>
    <row r="296" ht="15.75" customHeight="1">
      <c r="A296" s="109"/>
      <c r="B296" s="104"/>
      <c r="C296" s="104"/>
      <c r="D296" s="105"/>
      <c r="E296" s="106"/>
      <c r="F296" s="107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6"/>
    </row>
    <row r="297" ht="15.75" customHeight="1">
      <c r="A297" s="109"/>
      <c r="B297" s="104"/>
      <c r="C297" s="104"/>
      <c r="D297" s="105"/>
      <c r="E297" s="106"/>
      <c r="F297" s="107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6"/>
    </row>
    <row r="298" ht="15.75" customHeight="1">
      <c r="A298" s="109"/>
      <c r="B298" s="104"/>
      <c r="C298" s="104"/>
      <c r="D298" s="105"/>
      <c r="E298" s="106"/>
      <c r="F298" s="107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6"/>
    </row>
    <row r="299" ht="15.75" customHeight="1">
      <c r="A299" s="109"/>
      <c r="B299" s="104"/>
      <c r="C299" s="104"/>
      <c r="D299" s="105"/>
      <c r="E299" s="106"/>
      <c r="F299" s="107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6"/>
    </row>
    <row r="300" ht="15.75" customHeight="1">
      <c r="A300" s="109"/>
      <c r="B300" s="104"/>
      <c r="C300" s="104"/>
      <c r="D300" s="105"/>
      <c r="E300" s="106"/>
      <c r="F300" s="107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6"/>
    </row>
    <row r="301" ht="15.75" customHeight="1">
      <c r="A301" s="109"/>
      <c r="B301" s="104"/>
      <c r="C301" s="104"/>
      <c r="D301" s="105"/>
      <c r="E301" s="106"/>
      <c r="F301" s="107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6"/>
    </row>
    <row r="302" ht="15.75" customHeight="1">
      <c r="A302" s="109"/>
      <c r="B302" s="104"/>
      <c r="C302" s="104"/>
      <c r="D302" s="105"/>
      <c r="E302" s="106"/>
      <c r="F302" s="107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6"/>
    </row>
    <row r="303" ht="15.75" customHeight="1">
      <c r="A303" s="109"/>
      <c r="B303" s="104"/>
      <c r="C303" s="104"/>
      <c r="D303" s="105"/>
      <c r="E303" s="106"/>
      <c r="F303" s="107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6"/>
    </row>
    <row r="304" ht="15.75" customHeight="1">
      <c r="A304" s="109"/>
      <c r="B304" s="104"/>
      <c r="C304" s="104"/>
      <c r="D304" s="105"/>
      <c r="E304" s="106"/>
      <c r="F304" s="107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6"/>
    </row>
    <row r="305" ht="15.75" customHeight="1">
      <c r="A305" s="109"/>
      <c r="B305" s="104"/>
      <c r="C305" s="104"/>
      <c r="D305" s="105"/>
      <c r="E305" s="106"/>
      <c r="F305" s="107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6"/>
    </row>
    <row r="306" ht="15.75" customHeight="1">
      <c r="A306" s="109"/>
      <c r="B306" s="104"/>
      <c r="C306" s="104"/>
      <c r="D306" s="105"/>
      <c r="E306" s="106"/>
      <c r="F306" s="107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6"/>
    </row>
    <row r="307" ht="15.75" customHeight="1">
      <c r="A307" s="109"/>
      <c r="B307" s="104"/>
      <c r="C307" s="104"/>
      <c r="D307" s="105"/>
      <c r="E307" s="106"/>
      <c r="F307" s="107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6"/>
    </row>
    <row r="308" ht="15.75" customHeight="1">
      <c r="A308" s="109"/>
      <c r="B308" s="104"/>
      <c r="C308" s="104"/>
      <c r="D308" s="105"/>
      <c r="E308" s="106"/>
      <c r="F308" s="107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6"/>
    </row>
    <row r="309" ht="15.75" customHeight="1">
      <c r="A309" s="109"/>
      <c r="B309" s="104"/>
      <c r="C309" s="104"/>
      <c r="D309" s="105"/>
      <c r="E309" s="106"/>
      <c r="F309" s="107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6"/>
    </row>
    <row r="310" ht="15.75" customHeight="1">
      <c r="A310" s="109"/>
      <c r="B310" s="104"/>
      <c r="C310" s="104"/>
      <c r="D310" s="105"/>
      <c r="E310" s="106"/>
      <c r="F310" s="107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6"/>
    </row>
    <row r="311" ht="15.75" customHeight="1">
      <c r="A311" s="109"/>
      <c r="B311" s="104"/>
      <c r="C311" s="104"/>
      <c r="D311" s="105"/>
      <c r="E311" s="106"/>
      <c r="F311" s="107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6"/>
    </row>
    <row r="312" ht="15.75" customHeight="1">
      <c r="A312" s="109"/>
      <c r="B312" s="104"/>
      <c r="C312" s="104"/>
      <c r="D312" s="105"/>
      <c r="E312" s="106"/>
      <c r="F312" s="107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6"/>
    </row>
    <row r="313" ht="15.75" customHeight="1">
      <c r="A313" s="109"/>
      <c r="B313" s="104"/>
      <c r="C313" s="104"/>
      <c r="D313" s="105"/>
      <c r="E313" s="106"/>
      <c r="F313" s="107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6"/>
    </row>
    <row r="314" ht="15.75" customHeight="1">
      <c r="A314" s="109"/>
      <c r="B314" s="104"/>
      <c r="C314" s="104"/>
      <c r="D314" s="105"/>
      <c r="E314" s="106"/>
      <c r="F314" s="107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6"/>
    </row>
    <row r="315" ht="15.75" customHeight="1">
      <c r="A315" s="109"/>
      <c r="B315" s="104"/>
      <c r="C315" s="104"/>
      <c r="D315" s="105"/>
      <c r="E315" s="106"/>
      <c r="F315" s="107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6"/>
    </row>
    <row r="316" ht="15.75" customHeight="1">
      <c r="A316" s="109"/>
      <c r="B316" s="104"/>
      <c r="C316" s="104"/>
      <c r="D316" s="105"/>
      <c r="E316" s="106"/>
      <c r="F316" s="107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6"/>
    </row>
    <row r="317" ht="15.75" customHeight="1">
      <c r="A317" s="109"/>
      <c r="B317" s="104"/>
      <c r="C317" s="104"/>
      <c r="D317" s="105"/>
      <c r="E317" s="106"/>
      <c r="F317" s="107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6"/>
    </row>
    <row r="318" ht="15.75" customHeight="1">
      <c r="A318" s="109"/>
      <c r="B318" s="104"/>
      <c r="C318" s="104"/>
      <c r="D318" s="105"/>
      <c r="E318" s="106"/>
      <c r="F318" s="107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6"/>
    </row>
    <row r="319" ht="15.75" customHeight="1">
      <c r="A319" s="109"/>
      <c r="B319" s="104"/>
      <c r="C319" s="104"/>
      <c r="D319" s="105"/>
      <c r="E319" s="106"/>
      <c r="F319" s="107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6"/>
    </row>
    <row r="320" ht="15.75" customHeight="1">
      <c r="A320" s="109"/>
      <c r="B320" s="104"/>
      <c r="C320" s="104"/>
      <c r="D320" s="105"/>
      <c r="E320" s="106"/>
      <c r="F320" s="107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6"/>
    </row>
    <row r="321" ht="15.75" customHeight="1">
      <c r="A321" s="109"/>
      <c r="B321" s="104"/>
      <c r="C321" s="104"/>
      <c r="D321" s="105"/>
      <c r="E321" s="106"/>
      <c r="F321" s="107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6"/>
    </row>
    <row r="322" ht="15.75" customHeight="1">
      <c r="A322" s="109"/>
      <c r="B322" s="104"/>
      <c r="C322" s="104"/>
      <c r="D322" s="105"/>
      <c r="E322" s="106"/>
      <c r="F322" s="107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6"/>
    </row>
    <row r="323" ht="15.75" customHeight="1">
      <c r="A323" s="109"/>
      <c r="B323" s="104"/>
      <c r="C323" s="104"/>
      <c r="D323" s="105"/>
      <c r="E323" s="106"/>
      <c r="F323" s="107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6"/>
    </row>
    <row r="324" ht="15.75" customHeight="1">
      <c r="A324" s="109"/>
      <c r="B324" s="104"/>
      <c r="C324" s="104"/>
      <c r="D324" s="105"/>
      <c r="E324" s="106"/>
      <c r="F324" s="107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6"/>
    </row>
    <row r="325" ht="15.75" customHeight="1">
      <c r="A325" s="109"/>
      <c r="B325" s="104"/>
      <c r="C325" s="104"/>
      <c r="D325" s="105"/>
      <c r="E325" s="106"/>
      <c r="F325" s="107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6"/>
    </row>
    <row r="326" ht="15.75" customHeight="1">
      <c r="A326" s="109"/>
      <c r="B326" s="104"/>
      <c r="C326" s="104"/>
      <c r="D326" s="105"/>
      <c r="E326" s="106"/>
      <c r="F326" s="107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6"/>
    </row>
    <row r="327" ht="15.75" customHeight="1">
      <c r="A327" s="109"/>
      <c r="B327" s="104"/>
      <c r="C327" s="104"/>
      <c r="D327" s="105"/>
      <c r="E327" s="106"/>
      <c r="F327" s="107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6"/>
    </row>
    <row r="328" ht="15.75" customHeight="1">
      <c r="A328" s="109"/>
      <c r="B328" s="104"/>
      <c r="C328" s="104"/>
      <c r="D328" s="105"/>
      <c r="E328" s="106"/>
      <c r="F328" s="107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6"/>
    </row>
    <row r="329" ht="15.75" customHeight="1">
      <c r="A329" s="109"/>
      <c r="B329" s="104"/>
      <c r="C329" s="104"/>
      <c r="D329" s="105"/>
      <c r="E329" s="106"/>
      <c r="F329" s="107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6"/>
    </row>
    <row r="330" ht="15.75" customHeight="1">
      <c r="A330" s="109"/>
      <c r="B330" s="104"/>
      <c r="C330" s="104"/>
      <c r="D330" s="105"/>
      <c r="E330" s="106"/>
      <c r="F330" s="107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6"/>
    </row>
    <row r="331" ht="15.75" customHeight="1">
      <c r="A331" s="109"/>
      <c r="B331" s="104"/>
      <c r="C331" s="104"/>
      <c r="D331" s="105"/>
      <c r="E331" s="106"/>
      <c r="F331" s="107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6"/>
    </row>
    <row r="332" ht="15.75" customHeight="1">
      <c r="A332" s="109"/>
      <c r="B332" s="104"/>
      <c r="C332" s="104"/>
      <c r="D332" s="105"/>
      <c r="E332" s="106"/>
      <c r="F332" s="107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6"/>
    </row>
    <row r="333" ht="15.75" customHeight="1">
      <c r="A333" s="109"/>
      <c r="B333" s="104"/>
      <c r="C333" s="104"/>
      <c r="D333" s="105"/>
      <c r="E333" s="106"/>
      <c r="F333" s="107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6"/>
    </row>
    <row r="334" ht="15.75" customHeight="1">
      <c r="A334" s="109"/>
      <c r="B334" s="104"/>
      <c r="C334" s="104"/>
      <c r="D334" s="105"/>
      <c r="E334" s="106"/>
      <c r="F334" s="107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6"/>
    </row>
    <row r="335" ht="15.75" customHeight="1">
      <c r="A335" s="109"/>
      <c r="B335" s="104"/>
      <c r="C335" s="104"/>
      <c r="D335" s="105"/>
      <c r="E335" s="106"/>
      <c r="F335" s="107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6"/>
    </row>
    <row r="336" ht="15.75" customHeight="1">
      <c r="A336" s="109"/>
      <c r="B336" s="104"/>
      <c r="C336" s="104"/>
      <c r="D336" s="105"/>
      <c r="E336" s="106"/>
      <c r="F336" s="107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6"/>
    </row>
    <row r="337" ht="15.75" customHeight="1">
      <c r="A337" s="109"/>
      <c r="B337" s="104"/>
      <c r="C337" s="104"/>
      <c r="D337" s="105"/>
      <c r="E337" s="106"/>
      <c r="F337" s="107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6"/>
    </row>
    <row r="338" ht="15.75" customHeight="1">
      <c r="A338" s="109"/>
      <c r="B338" s="104"/>
      <c r="C338" s="104"/>
      <c r="D338" s="105"/>
      <c r="E338" s="106"/>
      <c r="F338" s="107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6"/>
    </row>
    <row r="339" ht="15.75" customHeight="1">
      <c r="A339" s="109"/>
      <c r="B339" s="104"/>
      <c r="C339" s="104"/>
      <c r="D339" s="105"/>
      <c r="E339" s="106"/>
      <c r="F339" s="107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6"/>
    </row>
    <row r="340" ht="15.75" customHeight="1">
      <c r="A340" s="109"/>
      <c r="B340" s="104"/>
      <c r="C340" s="104"/>
      <c r="D340" s="105"/>
      <c r="E340" s="106"/>
      <c r="F340" s="107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6"/>
    </row>
    <row r="341" ht="15.75" customHeight="1">
      <c r="A341" s="109"/>
      <c r="B341" s="104"/>
      <c r="C341" s="104"/>
      <c r="D341" s="105"/>
      <c r="E341" s="106"/>
      <c r="F341" s="107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6"/>
    </row>
    <row r="342" ht="15.75" customHeight="1">
      <c r="A342" s="109"/>
      <c r="B342" s="104"/>
      <c r="C342" s="104"/>
      <c r="D342" s="105"/>
      <c r="E342" s="106"/>
      <c r="F342" s="107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6"/>
    </row>
    <row r="343" ht="15.75" customHeight="1">
      <c r="A343" s="109"/>
      <c r="B343" s="104"/>
      <c r="C343" s="104"/>
      <c r="D343" s="105"/>
      <c r="E343" s="106"/>
      <c r="F343" s="107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6"/>
    </row>
    <row r="344" ht="15.75" customHeight="1">
      <c r="A344" s="109"/>
      <c r="B344" s="104"/>
      <c r="C344" s="104"/>
      <c r="D344" s="105"/>
      <c r="E344" s="106"/>
      <c r="F344" s="107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6"/>
    </row>
    <row r="345" ht="15.75" customHeight="1">
      <c r="A345" s="109"/>
      <c r="B345" s="104"/>
      <c r="C345" s="104"/>
      <c r="D345" s="105"/>
      <c r="E345" s="106"/>
      <c r="F345" s="107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6"/>
    </row>
    <row r="346" ht="15.75" customHeight="1">
      <c r="A346" s="109"/>
      <c r="B346" s="104"/>
      <c r="C346" s="104"/>
      <c r="D346" s="105"/>
      <c r="E346" s="106"/>
      <c r="F346" s="107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6"/>
    </row>
    <row r="347" ht="15.75" customHeight="1">
      <c r="A347" s="109"/>
      <c r="B347" s="104"/>
      <c r="C347" s="104"/>
      <c r="D347" s="105"/>
      <c r="E347" s="106"/>
      <c r="F347" s="107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6"/>
    </row>
    <row r="348" ht="15.75" customHeight="1">
      <c r="A348" s="109"/>
      <c r="B348" s="104"/>
      <c r="C348" s="104"/>
      <c r="D348" s="105"/>
      <c r="E348" s="106"/>
      <c r="F348" s="107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6"/>
    </row>
    <row r="349" ht="15.75" customHeight="1">
      <c r="A349" s="109"/>
      <c r="B349" s="104"/>
      <c r="C349" s="104"/>
      <c r="D349" s="105"/>
      <c r="E349" s="106"/>
      <c r="F349" s="107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6"/>
    </row>
    <row r="350" ht="15.75" customHeight="1">
      <c r="A350" s="109"/>
      <c r="B350" s="104"/>
      <c r="C350" s="104"/>
      <c r="D350" s="105"/>
      <c r="E350" s="106"/>
      <c r="F350" s="107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6"/>
    </row>
    <row r="351" ht="15.75" customHeight="1">
      <c r="A351" s="109"/>
      <c r="B351" s="104"/>
      <c r="C351" s="104"/>
      <c r="D351" s="105"/>
      <c r="E351" s="106"/>
      <c r="F351" s="107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6"/>
    </row>
    <row r="352" ht="15.75" customHeight="1">
      <c r="A352" s="109"/>
      <c r="B352" s="104"/>
      <c r="C352" s="104"/>
      <c r="D352" s="105"/>
      <c r="E352" s="106"/>
      <c r="F352" s="107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6"/>
    </row>
    <row r="353" ht="15.75" customHeight="1">
      <c r="A353" s="109"/>
      <c r="B353" s="104"/>
      <c r="C353" s="104"/>
      <c r="D353" s="105"/>
      <c r="E353" s="106"/>
      <c r="F353" s="107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6"/>
    </row>
    <row r="354" ht="15.75" customHeight="1">
      <c r="A354" s="109"/>
      <c r="B354" s="104"/>
      <c r="C354" s="104"/>
      <c r="D354" s="105"/>
      <c r="E354" s="106"/>
      <c r="F354" s="107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6"/>
    </row>
    <row r="355" ht="15.75" customHeight="1">
      <c r="A355" s="109"/>
      <c r="B355" s="104"/>
      <c r="C355" s="104"/>
      <c r="D355" s="105"/>
      <c r="E355" s="106"/>
      <c r="F355" s="107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6"/>
    </row>
    <row r="356" ht="15.75" customHeight="1">
      <c r="A356" s="109"/>
      <c r="B356" s="104"/>
      <c r="C356" s="104"/>
      <c r="D356" s="105"/>
      <c r="E356" s="106"/>
      <c r="F356" s="107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6"/>
    </row>
    <row r="357" ht="15.75" customHeight="1">
      <c r="A357" s="109"/>
      <c r="B357" s="104"/>
      <c r="C357" s="104"/>
      <c r="D357" s="105"/>
      <c r="E357" s="106"/>
      <c r="F357" s="107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6"/>
    </row>
    <row r="358" ht="15.75" customHeight="1">
      <c r="A358" s="109"/>
      <c r="B358" s="104"/>
      <c r="C358" s="104"/>
      <c r="D358" s="105"/>
      <c r="E358" s="106"/>
      <c r="F358" s="107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6"/>
    </row>
    <row r="359" ht="15.75" customHeight="1">
      <c r="A359" s="109"/>
      <c r="B359" s="104"/>
      <c r="C359" s="104"/>
      <c r="D359" s="105"/>
      <c r="E359" s="106"/>
      <c r="F359" s="107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6"/>
    </row>
    <row r="360" ht="15.75" customHeight="1">
      <c r="A360" s="109"/>
      <c r="B360" s="104"/>
      <c r="C360" s="104"/>
      <c r="D360" s="105"/>
      <c r="E360" s="106"/>
      <c r="F360" s="107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6"/>
    </row>
    <row r="361" ht="15.75" customHeight="1">
      <c r="A361" s="109"/>
      <c r="B361" s="104"/>
      <c r="C361" s="104"/>
      <c r="D361" s="105"/>
      <c r="E361" s="106"/>
      <c r="F361" s="107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6"/>
    </row>
    <row r="362" ht="15.75" customHeight="1">
      <c r="A362" s="109"/>
      <c r="B362" s="104"/>
      <c r="C362" s="104"/>
      <c r="D362" s="105"/>
      <c r="E362" s="106"/>
      <c r="F362" s="107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6"/>
    </row>
    <row r="363" ht="15.75" customHeight="1">
      <c r="A363" s="109"/>
      <c r="B363" s="104"/>
      <c r="C363" s="104"/>
      <c r="D363" s="105"/>
      <c r="E363" s="106"/>
      <c r="F363" s="107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6"/>
    </row>
    <row r="364" ht="15.75" customHeight="1">
      <c r="A364" s="109"/>
      <c r="B364" s="104"/>
      <c r="C364" s="104"/>
      <c r="D364" s="105"/>
      <c r="E364" s="106"/>
      <c r="F364" s="107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6"/>
    </row>
    <row r="365" ht="15.75" customHeight="1">
      <c r="A365" s="109"/>
      <c r="B365" s="104"/>
      <c r="C365" s="104"/>
      <c r="D365" s="105"/>
      <c r="E365" s="106"/>
      <c r="F365" s="107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6"/>
    </row>
    <row r="366" ht="15.75" customHeight="1">
      <c r="A366" s="109"/>
      <c r="B366" s="104"/>
      <c r="C366" s="104"/>
      <c r="D366" s="105"/>
      <c r="E366" s="106"/>
      <c r="F366" s="107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6"/>
    </row>
    <row r="367" ht="15.75" customHeight="1">
      <c r="A367" s="109"/>
      <c r="B367" s="104"/>
      <c r="C367" s="104"/>
      <c r="D367" s="105"/>
      <c r="E367" s="106"/>
      <c r="F367" s="107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6"/>
    </row>
    <row r="368" ht="15.75" customHeight="1">
      <c r="A368" s="109"/>
      <c r="B368" s="104"/>
      <c r="C368" s="104"/>
      <c r="D368" s="105"/>
      <c r="E368" s="106"/>
      <c r="F368" s="107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6"/>
    </row>
    <row r="369" ht="15.75" customHeight="1">
      <c r="A369" s="109"/>
      <c r="B369" s="104"/>
      <c r="C369" s="104"/>
      <c r="D369" s="105"/>
      <c r="E369" s="106"/>
      <c r="F369" s="107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6"/>
    </row>
    <row r="370" ht="15.75" customHeight="1">
      <c r="A370" s="109"/>
      <c r="B370" s="104"/>
      <c r="C370" s="104"/>
      <c r="D370" s="105"/>
      <c r="E370" s="106"/>
      <c r="F370" s="107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6"/>
    </row>
    <row r="371" ht="15.75" customHeight="1">
      <c r="A371" s="109"/>
      <c r="B371" s="104"/>
      <c r="C371" s="104"/>
      <c r="D371" s="105"/>
      <c r="E371" s="106"/>
      <c r="F371" s="107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6"/>
    </row>
    <row r="372" ht="15.75" customHeight="1">
      <c r="A372" s="109"/>
      <c r="B372" s="104"/>
      <c r="C372" s="104"/>
      <c r="D372" s="105"/>
      <c r="E372" s="106"/>
      <c r="F372" s="107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6"/>
    </row>
    <row r="373" ht="15.75" customHeight="1">
      <c r="A373" s="109"/>
      <c r="B373" s="104"/>
      <c r="C373" s="104"/>
      <c r="D373" s="105"/>
      <c r="E373" s="106"/>
      <c r="F373" s="107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6"/>
    </row>
    <row r="374" ht="15.75" customHeight="1">
      <c r="A374" s="109"/>
      <c r="B374" s="104"/>
      <c r="C374" s="104"/>
      <c r="D374" s="105"/>
      <c r="E374" s="106"/>
      <c r="F374" s="107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6"/>
    </row>
    <row r="375" ht="15.75" customHeight="1">
      <c r="A375" s="109"/>
      <c r="B375" s="104"/>
      <c r="C375" s="104"/>
      <c r="D375" s="105"/>
      <c r="E375" s="106"/>
      <c r="F375" s="107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6"/>
    </row>
    <row r="376" ht="15.75" customHeight="1">
      <c r="A376" s="109"/>
      <c r="B376" s="104"/>
      <c r="C376" s="104"/>
      <c r="D376" s="105"/>
      <c r="E376" s="106"/>
      <c r="F376" s="107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6"/>
    </row>
    <row r="377" ht="15.75" customHeight="1">
      <c r="A377" s="109"/>
      <c r="B377" s="104"/>
      <c r="C377" s="104"/>
      <c r="D377" s="105"/>
      <c r="E377" s="106"/>
      <c r="F377" s="107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6"/>
    </row>
    <row r="378" ht="15.75" customHeight="1">
      <c r="A378" s="109"/>
      <c r="B378" s="104"/>
      <c r="C378" s="104"/>
      <c r="D378" s="105"/>
      <c r="E378" s="106"/>
      <c r="F378" s="107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6"/>
    </row>
    <row r="379" ht="15.75" customHeight="1">
      <c r="A379" s="109"/>
      <c r="B379" s="104"/>
      <c r="C379" s="104"/>
      <c r="D379" s="105"/>
      <c r="E379" s="106"/>
      <c r="F379" s="107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6"/>
    </row>
    <row r="380" ht="15.75" customHeight="1">
      <c r="A380" s="109"/>
      <c r="B380" s="104"/>
      <c r="C380" s="104"/>
      <c r="D380" s="105"/>
      <c r="E380" s="106"/>
      <c r="F380" s="107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6"/>
    </row>
    <row r="381" ht="15.75" customHeight="1">
      <c r="A381" s="109"/>
      <c r="B381" s="104"/>
      <c r="C381" s="104"/>
      <c r="D381" s="105"/>
      <c r="E381" s="106"/>
      <c r="F381" s="107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6"/>
    </row>
    <row r="382" ht="15.75" customHeight="1">
      <c r="A382" s="109"/>
      <c r="B382" s="104"/>
      <c r="C382" s="104"/>
      <c r="D382" s="105"/>
      <c r="E382" s="106"/>
      <c r="F382" s="107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6"/>
    </row>
    <row r="383" ht="15.75" customHeight="1">
      <c r="A383" s="109"/>
      <c r="B383" s="104"/>
      <c r="C383" s="104"/>
      <c r="D383" s="105"/>
      <c r="E383" s="106"/>
      <c r="F383" s="107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6"/>
    </row>
    <row r="384" ht="15.75" customHeight="1">
      <c r="A384" s="109"/>
      <c r="B384" s="104"/>
      <c r="C384" s="104"/>
      <c r="D384" s="105"/>
      <c r="E384" s="106"/>
      <c r="F384" s="107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6"/>
    </row>
    <row r="385" ht="15.75" customHeight="1">
      <c r="A385" s="109"/>
      <c r="B385" s="104"/>
      <c r="C385" s="104"/>
      <c r="D385" s="105"/>
      <c r="E385" s="106"/>
      <c r="F385" s="107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6"/>
    </row>
    <row r="386" ht="15.75" customHeight="1">
      <c r="A386" s="109"/>
      <c r="B386" s="104"/>
      <c r="C386" s="104"/>
      <c r="D386" s="105"/>
      <c r="E386" s="106"/>
      <c r="F386" s="107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6"/>
    </row>
    <row r="387" ht="15.75" customHeight="1">
      <c r="A387" s="109"/>
      <c r="B387" s="104"/>
      <c r="C387" s="104"/>
      <c r="D387" s="105"/>
      <c r="E387" s="106"/>
      <c r="F387" s="107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6"/>
    </row>
    <row r="388" ht="15.75" customHeight="1">
      <c r="A388" s="109"/>
      <c r="B388" s="104"/>
      <c r="C388" s="104"/>
      <c r="D388" s="105"/>
      <c r="E388" s="106"/>
      <c r="F388" s="107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6"/>
    </row>
    <row r="389" ht="15.75" customHeight="1">
      <c r="A389" s="109"/>
      <c r="B389" s="104"/>
      <c r="C389" s="104"/>
      <c r="D389" s="105"/>
      <c r="E389" s="106"/>
      <c r="F389" s="107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6"/>
    </row>
    <row r="390" ht="15.75" customHeight="1">
      <c r="A390" s="109"/>
      <c r="B390" s="104"/>
      <c r="C390" s="104"/>
      <c r="D390" s="105"/>
      <c r="E390" s="106"/>
      <c r="F390" s="107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6"/>
    </row>
    <row r="391" ht="15.75" customHeight="1">
      <c r="A391" s="109"/>
      <c r="B391" s="104"/>
      <c r="C391" s="104"/>
      <c r="D391" s="105"/>
      <c r="E391" s="106"/>
      <c r="F391" s="107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6"/>
    </row>
    <row r="392" ht="15.75" customHeight="1">
      <c r="A392" s="109"/>
      <c r="B392" s="104"/>
      <c r="C392" s="104"/>
      <c r="D392" s="105"/>
      <c r="E392" s="106"/>
      <c r="F392" s="107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6"/>
    </row>
    <row r="393" ht="15.75" customHeight="1">
      <c r="A393" s="109"/>
      <c r="B393" s="104"/>
      <c r="C393" s="104"/>
      <c r="D393" s="105"/>
      <c r="E393" s="106"/>
      <c r="F393" s="107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6"/>
    </row>
    <row r="394" ht="15.75" customHeight="1">
      <c r="A394" s="109"/>
      <c r="B394" s="104"/>
      <c r="C394" s="104"/>
      <c r="D394" s="105"/>
      <c r="E394" s="106"/>
      <c r="F394" s="107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6"/>
    </row>
    <row r="395" ht="15.75" customHeight="1">
      <c r="A395" s="109"/>
      <c r="B395" s="104"/>
      <c r="C395" s="104"/>
      <c r="D395" s="105"/>
      <c r="E395" s="106"/>
      <c r="F395" s="107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6"/>
    </row>
    <row r="396" ht="15.75" customHeight="1">
      <c r="A396" s="109"/>
      <c r="B396" s="104"/>
      <c r="C396" s="104"/>
      <c r="D396" s="105"/>
      <c r="E396" s="106"/>
      <c r="F396" s="107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6"/>
    </row>
    <row r="397" ht="15.75" customHeight="1">
      <c r="A397" s="109"/>
      <c r="B397" s="104"/>
      <c r="C397" s="104"/>
      <c r="D397" s="105"/>
      <c r="E397" s="106"/>
      <c r="F397" s="107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6"/>
    </row>
    <row r="398" ht="15.75" customHeight="1">
      <c r="A398" s="109"/>
      <c r="B398" s="104"/>
      <c r="C398" s="104"/>
      <c r="D398" s="105"/>
      <c r="E398" s="106"/>
      <c r="F398" s="107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6"/>
    </row>
    <row r="399" ht="15.75" customHeight="1">
      <c r="A399" s="109"/>
      <c r="B399" s="104"/>
      <c r="C399" s="104"/>
      <c r="D399" s="105"/>
      <c r="E399" s="106"/>
      <c r="F399" s="107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6"/>
    </row>
    <row r="400" ht="15.75" customHeight="1">
      <c r="A400" s="109"/>
      <c r="B400" s="104"/>
      <c r="C400" s="104"/>
      <c r="D400" s="105"/>
      <c r="E400" s="106"/>
      <c r="F400" s="107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6"/>
    </row>
    <row r="401" ht="15.75" customHeight="1">
      <c r="A401" s="109"/>
      <c r="B401" s="104"/>
      <c r="C401" s="104"/>
      <c r="D401" s="105"/>
      <c r="E401" s="106"/>
      <c r="F401" s="107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6"/>
    </row>
    <row r="402" ht="15.75" customHeight="1">
      <c r="A402" s="109"/>
      <c r="B402" s="104"/>
      <c r="C402" s="104"/>
      <c r="D402" s="105"/>
      <c r="E402" s="106"/>
      <c r="F402" s="107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6"/>
    </row>
    <row r="403" ht="15.75" customHeight="1">
      <c r="A403" s="109"/>
      <c r="B403" s="104"/>
      <c r="C403" s="104"/>
      <c r="D403" s="105"/>
      <c r="E403" s="106"/>
      <c r="F403" s="107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6"/>
    </row>
    <row r="404" ht="15.75" customHeight="1">
      <c r="A404" s="109"/>
      <c r="B404" s="104"/>
      <c r="C404" s="104"/>
      <c r="D404" s="105"/>
      <c r="E404" s="106"/>
      <c r="F404" s="107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6"/>
    </row>
    <row r="405" ht="15.75" customHeight="1">
      <c r="A405" s="109"/>
      <c r="B405" s="104"/>
      <c r="C405" s="104"/>
      <c r="D405" s="105"/>
      <c r="E405" s="106"/>
      <c r="F405" s="107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6"/>
    </row>
    <row r="406" ht="15.75" customHeight="1">
      <c r="A406" s="109"/>
      <c r="B406" s="104"/>
      <c r="C406" s="104"/>
      <c r="D406" s="105"/>
      <c r="E406" s="106"/>
      <c r="F406" s="107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6"/>
    </row>
    <row r="407" ht="15.75" customHeight="1">
      <c r="A407" s="109"/>
      <c r="B407" s="104"/>
      <c r="C407" s="104"/>
      <c r="D407" s="105"/>
      <c r="E407" s="106"/>
      <c r="F407" s="107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6"/>
    </row>
    <row r="408" ht="15.75" customHeight="1">
      <c r="A408" s="109"/>
      <c r="B408" s="104"/>
      <c r="C408" s="104"/>
      <c r="D408" s="105"/>
      <c r="E408" s="106"/>
      <c r="F408" s="107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6"/>
    </row>
    <row r="409" ht="15.75" customHeight="1">
      <c r="A409" s="109"/>
      <c r="B409" s="104"/>
      <c r="C409" s="104"/>
      <c r="D409" s="105"/>
      <c r="E409" s="106"/>
      <c r="F409" s="107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6"/>
    </row>
    <row r="410" ht="15.75" customHeight="1">
      <c r="A410" s="109"/>
      <c r="B410" s="104"/>
      <c r="C410" s="104"/>
      <c r="D410" s="105"/>
      <c r="E410" s="106"/>
      <c r="F410" s="107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6"/>
    </row>
    <row r="411" ht="15.75" customHeight="1">
      <c r="A411" s="109"/>
      <c r="B411" s="104"/>
      <c r="C411" s="104"/>
      <c r="D411" s="105"/>
      <c r="E411" s="106"/>
      <c r="F411" s="107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6"/>
    </row>
    <row r="412" ht="15.75" customHeight="1">
      <c r="A412" s="109"/>
      <c r="B412" s="104"/>
      <c r="C412" s="104"/>
      <c r="D412" s="105"/>
      <c r="E412" s="106"/>
      <c r="F412" s="107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6"/>
    </row>
    <row r="413" ht="15.75" customHeight="1">
      <c r="A413" s="109"/>
      <c r="B413" s="104"/>
      <c r="C413" s="104"/>
      <c r="D413" s="105"/>
      <c r="E413" s="106"/>
      <c r="F413" s="107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6"/>
    </row>
    <row r="414" ht="15.75" customHeight="1">
      <c r="A414" s="109"/>
      <c r="B414" s="104"/>
      <c r="C414" s="104"/>
      <c r="D414" s="105"/>
      <c r="E414" s="106"/>
      <c r="F414" s="107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6"/>
    </row>
    <row r="415" ht="15.75" customHeight="1">
      <c r="A415" s="109"/>
      <c r="B415" s="104"/>
      <c r="C415" s="104"/>
      <c r="D415" s="105"/>
      <c r="E415" s="106"/>
      <c r="F415" s="107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6"/>
    </row>
    <row r="416" ht="15.75" customHeight="1">
      <c r="A416" s="109"/>
      <c r="B416" s="104"/>
      <c r="C416" s="104"/>
      <c r="D416" s="105"/>
      <c r="E416" s="106"/>
      <c r="F416" s="107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6"/>
    </row>
    <row r="417" ht="15.75" customHeight="1">
      <c r="A417" s="109"/>
      <c r="B417" s="104"/>
      <c r="C417" s="104"/>
      <c r="D417" s="105"/>
      <c r="E417" s="106"/>
      <c r="F417" s="107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6"/>
    </row>
    <row r="418" ht="15.75" customHeight="1">
      <c r="A418" s="109"/>
      <c r="B418" s="104"/>
      <c r="C418" s="104"/>
      <c r="D418" s="105"/>
      <c r="E418" s="106"/>
      <c r="F418" s="107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6"/>
    </row>
    <row r="419" ht="15.75" customHeight="1">
      <c r="A419" s="109"/>
      <c r="B419" s="104"/>
      <c r="C419" s="104"/>
      <c r="D419" s="105"/>
      <c r="E419" s="106"/>
      <c r="F419" s="107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6"/>
    </row>
    <row r="420" ht="15.75" customHeight="1">
      <c r="A420" s="109"/>
      <c r="B420" s="104"/>
      <c r="C420" s="104"/>
      <c r="D420" s="105"/>
      <c r="E420" s="106"/>
      <c r="F420" s="107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6"/>
    </row>
    <row r="421" ht="15.75" customHeight="1">
      <c r="A421" s="109"/>
      <c r="B421" s="104"/>
      <c r="C421" s="104"/>
      <c r="D421" s="105"/>
      <c r="E421" s="106"/>
      <c r="F421" s="107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6"/>
    </row>
    <row r="422" ht="15.75" customHeight="1">
      <c r="A422" s="109"/>
      <c r="B422" s="104"/>
      <c r="C422" s="104"/>
      <c r="D422" s="105"/>
      <c r="E422" s="106"/>
      <c r="F422" s="107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6"/>
    </row>
    <row r="423" ht="15.75" customHeight="1">
      <c r="A423" s="109"/>
      <c r="B423" s="104"/>
      <c r="C423" s="104"/>
      <c r="D423" s="105"/>
      <c r="E423" s="106"/>
      <c r="F423" s="107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6"/>
    </row>
    <row r="424" ht="15.75" customHeight="1">
      <c r="A424" s="109"/>
      <c r="B424" s="104"/>
      <c r="C424" s="104"/>
      <c r="D424" s="105"/>
      <c r="E424" s="106"/>
      <c r="F424" s="107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6"/>
    </row>
    <row r="425" ht="15.75" customHeight="1">
      <c r="A425" s="109"/>
      <c r="B425" s="104"/>
      <c r="C425" s="104"/>
      <c r="D425" s="105"/>
      <c r="E425" s="106"/>
      <c r="F425" s="107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6"/>
    </row>
    <row r="426" ht="15.75" customHeight="1">
      <c r="A426" s="109"/>
      <c r="B426" s="104"/>
      <c r="C426" s="104"/>
      <c r="D426" s="105"/>
      <c r="E426" s="106"/>
      <c r="F426" s="107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6"/>
    </row>
    <row r="427" ht="15.75" customHeight="1">
      <c r="A427" s="109"/>
      <c r="B427" s="104"/>
      <c r="C427" s="104"/>
      <c r="D427" s="105"/>
      <c r="E427" s="106"/>
      <c r="F427" s="107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6"/>
    </row>
    <row r="428" ht="15.75" customHeight="1">
      <c r="A428" s="109"/>
      <c r="B428" s="104"/>
      <c r="C428" s="104"/>
      <c r="D428" s="105"/>
      <c r="E428" s="106"/>
      <c r="F428" s="107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6"/>
    </row>
    <row r="429" ht="15.75" customHeight="1">
      <c r="A429" s="109"/>
      <c r="B429" s="104"/>
      <c r="C429" s="104"/>
      <c r="D429" s="105"/>
      <c r="E429" s="106"/>
      <c r="F429" s="107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6"/>
    </row>
    <row r="430" ht="15.75" customHeight="1">
      <c r="A430" s="109"/>
      <c r="B430" s="104"/>
      <c r="C430" s="104"/>
      <c r="D430" s="105"/>
      <c r="E430" s="106"/>
      <c r="F430" s="107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6"/>
    </row>
    <row r="431" ht="15.75" customHeight="1">
      <c r="A431" s="109"/>
      <c r="B431" s="104"/>
      <c r="C431" s="104"/>
      <c r="D431" s="105"/>
      <c r="E431" s="106"/>
      <c r="F431" s="107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6"/>
    </row>
    <row r="432" ht="15.75" customHeight="1">
      <c r="A432" s="109"/>
      <c r="B432" s="104"/>
      <c r="C432" s="104"/>
      <c r="D432" s="105"/>
      <c r="E432" s="106"/>
      <c r="F432" s="107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6"/>
    </row>
    <row r="433" ht="15.75" customHeight="1">
      <c r="A433" s="109"/>
      <c r="B433" s="104"/>
      <c r="C433" s="104"/>
      <c r="D433" s="105"/>
      <c r="E433" s="106"/>
      <c r="F433" s="107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6"/>
    </row>
    <row r="434" ht="15.75" customHeight="1">
      <c r="A434" s="109"/>
      <c r="B434" s="104"/>
      <c r="C434" s="104"/>
      <c r="D434" s="105"/>
      <c r="E434" s="106"/>
      <c r="F434" s="107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6"/>
    </row>
    <row r="435" ht="15.75" customHeight="1">
      <c r="A435" s="109"/>
      <c r="B435" s="104"/>
      <c r="C435" s="104"/>
      <c r="D435" s="105"/>
      <c r="E435" s="106"/>
      <c r="F435" s="107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6"/>
    </row>
    <row r="436" ht="15.75" customHeight="1">
      <c r="A436" s="109"/>
      <c r="B436" s="104"/>
      <c r="C436" s="104"/>
      <c r="D436" s="105"/>
      <c r="E436" s="106"/>
      <c r="F436" s="107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6"/>
    </row>
    <row r="437" ht="15.75" customHeight="1">
      <c r="A437" s="109"/>
      <c r="B437" s="104"/>
      <c r="C437" s="104"/>
      <c r="D437" s="105"/>
      <c r="E437" s="106"/>
      <c r="F437" s="107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6"/>
    </row>
    <row r="438" ht="15.75" customHeight="1">
      <c r="A438" s="109"/>
      <c r="B438" s="104"/>
      <c r="C438" s="104"/>
      <c r="D438" s="105"/>
      <c r="E438" s="106"/>
      <c r="F438" s="107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6"/>
    </row>
    <row r="439" ht="15.75" customHeight="1">
      <c r="A439" s="109"/>
      <c r="B439" s="104"/>
      <c r="C439" s="104"/>
      <c r="D439" s="105"/>
      <c r="E439" s="106"/>
      <c r="F439" s="107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6"/>
    </row>
    <row r="440" ht="15.75" customHeight="1">
      <c r="A440" s="109"/>
      <c r="B440" s="104"/>
      <c r="C440" s="104"/>
      <c r="D440" s="105"/>
      <c r="E440" s="106"/>
      <c r="F440" s="107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6"/>
    </row>
    <row r="441" ht="15.75" customHeight="1">
      <c r="A441" s="109"/>
      <c r="B441" s="104"/>
      <c r="C441" s="104"/>
      <c r="D441" s="105"/>
      <c r="E441" s="106"/>
      <c r="F441" s="107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6"/>
    </row>
    <row r="442" ht="15.75" customHeight="1">
      <c r="A442" s="109"/>
      <c r="B442" s="104"/>
      <c r="C442" s="104"/>
      <c r="D442" s="105"/>
      <c r="E442" s="106"/>
      <c r="F442" s="107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6"/>
    </row>
    <row r="443" ht="15.75" customHeight="1">
      <c r="A443" s="109"/>
      <c r="B443" s="104"/>
      <c r="C443" s="104"/>
      <c r="D443" s="105"/>
      <c r="E443" s="106"/>
      <c r="F443" s="107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6"/>
    </row>
    <row r="444" ht="15.75" customHeight="1">
      <c r="A444" s="109"/>
      <c r="B444" s="104"/>
      <c r="C444" s="104"/>
      <c r="D444" s="105"/>
      <c r="E444" s="106"/>
      <c r="F444" s="107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6"/>
    </row>
    <row r="445" ht="15.75" customHeight="1">
      <c r="A445" s="109"/>
      <c r="B445" s="104"/>
      <c r="C445" s="104"/>
      <c r="D445" s="105"/>
      <c r="E445" s="106"/>
      <c r="F445" s="107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6"/>
    </row>
    <row r="446" ht="15.75" customHeight="1">
      <c r="A446" s="109"/>
      <c r="B446" s="104"/>
      <c r="C446" s="104"/>
      <c r="D446" s="105"/>
      <c r="E446" s="106"/>
      <c r="F446" s="107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6"/>
    </row>
    <row r="447" ht="15.75" customHeight="1">
      <c r="A447" s="109"/>
      <c r="B447" s="104"/>
      <c r="C447" s="104"/>
      <c r="D447" s="105"/>
      <c r="E447" s="106"/>
      <c r="F447" s="107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6"/>
    </row>
    <row r="448" ht="15.75" customHeight="1">
      <c r="A448" s="109"/>
      <c r="B448" s="104"/>
      <c r="C448" s="104"/>
      <c r="D448" s="105"/>
      <c r="E448" s="106"/>
      <c r="F448" s="107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6"/>
    </row>
    <row r="449" ht="15.75" customHeight="1">
      <c r="A449" s="109"/>
      <c r="B449" s="104"/>
      <c r="C449" s="104"/>
      <c r="D449" s="105"/>
      <c r="E449" s="106"/>
      <c r="F449" s="107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6"/>
    </row>
    <row r="450" ht="15.75" customHeight="1">
      <c r="A450" s="109"/>
      <c r="B450" s="104"/>
      <c r="C450" s="104"/>
      <c r="D450" s="105"/>
      <c r="E450" s="106"/>
      <c r="F450" s="107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6"/>
    </row>
    <row r="451" ht="15.75" customHeight="1">
      <c r="A451" s="109"/>
      <c r="B451" s="104"/>
      <c r="C451" s="104"/>
      <c r="D451" s="105"/>
      <c r="E451" s="106"/>
      <c r="F451" s="107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6"/>
    </row>
    <row r="452" ht="15.75" customHeight="1">
      <c r="A452" s="109"/>
      <c r="B452" s="104"/>
      <c r="C452" s="104"/>
      <c r="D452" s="105"/>
      <c r="E452" s="106"/>
      <c r="F452" s="107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6"/>
    </row>
    <row r="453" ht="15.75" customHeight="1">
      <c r="A453" s="109"/>
      <c r="B453" s="104"/>
      <c r="C453" s="104"/>
      <c r="D453" s="105"/>
      <c r="E453" s="106"/>
      <c r="F453" s="107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6"/>
    </row>
    <row r="454" ht="15.75" customHeight="1">
      <c r="A454" s="109"/>
      <c r="B454" s="104"/>
      <c r="C454" s="104"/>
      <c r="D454" s="105"/>
      <c r="E454" s="106"/>
      <c r="F454" s="107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6"/>
    </row>
    <row r="455" ht="15.75" customHeight="1">
      <c r="A455" s="109"/>
      <c r="B455" s="104"/>
      <c r="C455" s="104"/>
      <c r="D455" s="105"/>
      <c r="E455" s="106"/>
      <c r="F455" s="107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6"/>
    </row>
    <row r="456" ht="15.75" customHeight="1">
      <c r="A456" s="109"/>
      <c r="B456" s="104"/>
      <c r="C456" s="104"/>
      <c r="D456" s="105"/>
      <c r="E456" s="106"/>
      <c r="F456" s="107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6"/>
    </row>
    <row r="457" ht="15.75" customHeight="1">
      <c r="A457" s="109"/>
      <c r="B457" s="104"/>
      <c r="C457" s="104"/>
      <c r="D457" s="105"/>
      <c r="E457" s="106"/>
      <c r="F457" s="107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6"/>
    </row>
    <row r="458" ht="15.75" customHeight="1">
      <c r="A458" s="109"/>
      <c r="B458" s="104"/>
      <c r="C458" s="104"/>
      <c r="D458" s="105"/>
      <c r="E458" s="106"/>
      <c r="F458" s="107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6"/>
    </row>
    <row r="459" ht="15.75" customHeight="1">
      <c r="A459" s="109"/>
      <c r="B459" s="104"/>
      <c r="C459" s="104"/>
      <c r="D459" s="105"/>
      <c r="E459" s="106"/>
      <c r="F459" s="107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6"/>
    </row>
    <row r="460" ht="15.75" customHeight="1">
      <c r="A460" s="109"/>
      <c r="B460" s="104"/>
      <c r="C460" s="104"/>
      <c r="D460" s="105"/>
      <c r="E460" s="106"/>
      <c r="F460" s="107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6"/>
    </row>
    <row r="461" ht="15.75" customHeight="1">
      <c r="A461" s="109"/>
      <c r="B461" s="104"/>
      <c r="C461" s="104"/>
      <c r="D461" s="105"/>
      <c r="E461" s="106"/>
      <c r="F461" s="107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6"/>
    </row>
    <row r="462" ht="15.75" customHeight="1">
      <c r="A462" s="109"/>
      <c r="B462" s="104"/>
      <c r="C462" s="104"/>
      <c r="D462" s="105"/>
      <c r="E462" s="106"/>
      <c r="F462" s="107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6"/>
    </row>
    <row r="463" ht="15.75" customHeight="1">
      <c r="A463" s="109"/>
      <c r="B463" s="104"/>
      <c r="C463" s="104"/>
      <c r="D463" s="105"/>
      <c r="E463" s="106"/>
      <c r="F463" s="107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6"/>
    </row>
    <row r="464" ht="15.75" customHeight="1">
      <c r="A464" s="109"/>
      <c r="B464" s="104"/>
      <c r="C464" s="104"/>
      <c r="D464" s="105"/>
      <c r="E464" s="106"/>
      <c r="F464" s="107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6"/>
    </row>
    <row r="465" ht="15.75" customHeight="1">
      <c r="A465" s="109"/>
      <c r="B465" s="104"/>
      <c r="C465" s="104"/>
      <c r="D465" s="105"/>
      <c r="E465" s="106"/>
      <c r="F465" s="107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6"/>
    </row>
    <row r="466" ht="15.75" customHeight="1">
      <c r="A466" s="109"/>
      <c r="B466" s="104"/>
      <c r="C466" s="104"/>
      <c r="D466" s="105"/>
      <c r="E466" s="106"/>
      <c r="F466" s="107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6"/>
    </row>
    <row r="467" ht="15.75" customHeight="1">
      <c r="A467" s="109"/>
      <c r="B467" s="104"/>
      <c r="C467" s="104"/>
      <c r="D467" s="105"/>
      <c r="E467" s="106"/>
      <c r="F467" s="107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6"/>
    </row>
    <row r="468" ht="15.75" customHeight="1">
      <c r="A468" s="109"/>
      <c r="B468" s="104"/>
      <c r="C468" s="104"/>
      <c r="D468" s="105"/>
      <c r="E468" s="106"/>
      <c r="F468" s="107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6"/>
    </row>
    <row r="469" ht="15.75" customHeight="1">
      <c r="A469" s="109"/>
      <c r="B469" s="104"/>
      <c r="C469" s="104"/>
      <c r="D469" s="105"/>
      <c r="E469" s="106"/>
      <c r="F469" s="107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6"/>
    </row>
    <row r="470" ht="15.75" customHeight="1">
      <c r="A470" s="109"/>
      <c r="B470" s="104"/>
      <c r="C470" s="104"/>
      <c r="D470" s="105"/>
      <c r="E470" s="106"/>
      <c r="F470" s="107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6"/>
    </row>
    <row r="471" ht="15.75" customHeight="1">
      <c r="A471" s="109"/>
      <c r="B471" s="104"/>
      <c r="C471" s="104"/>
      <c r="D471" s="105"/>
      <c r="E471" s="106"/>
      <c r="F471" s="107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6"/>
    </row>
    <row r="472" ht="15.75" customHeight="1">
      <c r="A472" s="109"/>
      <c r="B472" s="104"/>
      <c r="C472" s="104"/>
      <c r="D472" s="105"/>
      <c r="E472" s="106"/>
      <c r="F472" s="107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6"/>
    </row>
    <row r="473" ht="15.75" customHeight="1">
      <c r="A473" s="109"/>
      <c r="B473" s="104"/>
      <c r="C473" s="104"/>
      <c r="D473" s="105"/>
      <c r="E473" s="106"/>
      <c r="F473" s="107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6"/>
    </row>
    <row r="474" ht="15.75" customHeight="1">
      <c r="A474" s="109"/>
      <c r="B474" s="104"/>
      <c r="C474" s="104"/>
      <c r="D474" s="105"/>
      <c r="E474" s="106"/>
      <c r="F474" s="107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6"/>
    </row>
    <row r="475" ht="15.75" customHeight="1">
      <c r="A475" s="109"/>
      <c r="B475" s="104"/>
      <c r="C475" s="104"/>
      <c r="D475" s="105"/>
      <c r="E475" s="106"/>
      <c r="F475" s="107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6"/>
    </row>
    <row r="476" ht="15.75" customHeight="1">
      <c r="A476" s="109"/>
      <c r="B476" s="104"/>
      <c r="C476" s="104"/>
      <c r="D476" s="105"/>
      <c r="E476" s="106"/>
      <c r="F476" s="107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6"/>
    </row>
    <row r="477" ht="15.75" customHeight="1">
      <c r="A477" s="109"/>
      <c r="B477" s="104"/>
      <c r="C477" s="104"/>
      <c r="D477" s="105"/>
      <c r="E477" s="106"/>
      <c r="F477" s="107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6"/>
    </row>
    <row r="478" ht="15.75" customHeight="1">
      <c r="A478" s="109"/>
      <c r="B478" s="104"/>
      <c r="C478" s="104"/>
      <c r="D478" s="105"/>
      <c r="E478" s="106"/>
      <c r="F478" s="107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6"/>
    </row>
    <row r="479" ht="15.75" customHeight="1">
      <c r="A479" s="109"/>
      <c r="B479" s="104"/>
      <c r="C479" s="104"/>
      <c r="D479" s="105"/>
      <c r="E479" s="106"/>
      <c r="F479" s="107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6"/>
    </row>
    <row r="480" ht="15.75" customHeight="1">
      <c r="A480" s="109"/>
      <c r="B480" s="104"/>
      <c r="C480" s="104"/>
      <c r="D480" s="105"/>
      <c r="E480" s="106"/>
      <c r="F480" s="107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6"/>
    </row>
    <row r="481" ht="15.75" customHeight="1">
      <c r="A481" s="109"/>
      <c r="B481" s="104"/>
      <c r="C481" s="104"/>
      <c r="D481" s="105"/>
      <c r="E481" s="106"/>
      <c r="F481" s="107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6"/>
    </row>
    <row r="482" ht="15.75" customHeight="1">
      <c r="A482" s="109"/>
      <c r="B482" s="104"/>
      <c r="C482" s="104"/>
      <c r="D482" s="105"/>
      <c r="E482" s="106"/>
      <c r="F482" s="107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6"/>
    </row>
    <row r="483" ht="15.75" customHeight="1">
      <c r="A483" s="109"/>
      <c r="B483" s="104"/>
      <c r="C483" s="104"/>
      <c r="D483" s="105"/>
      <c r="E483" s="106"/>
      <c r="F483" s="107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6"/>
    </row>
    <row r="484" ht="15.75" customHeight="1">
      <c r="A484" s="109"/>
      <c r="B484" s="104"/>
      <c r="C484" s="104"/>
      <c r="D484" s="105"/>
      <c r="E484" s="106"/>
      <c r="F484" s="107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6"/>
    </row>
    <row r="485" ht="15.75" customHeight="1">
      <c r="A485" s="109"/>
      <c r="B485" s="104"/>
      <c r="C485" s="104"/>
      <c r="D485" s="105"/>
      <c r="E485" s="106"/>
      <c r="F485" s="107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6"/>
    </row>
    <row r="486" ht="15.75" customHeight="1">
      <c r="A486" s="109"/>
      <c r="B486" s="104"/>
      <c r="C486" s="104"/>
      <c r="D486" s="105"/>
      <c r="E486" s="106"/>
      <c r="F486" s="107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6"/>
    </row>
    <row r="487" ht="15.75" customHeight="1">
      <c r="A487" s="109"/>
      <c r="B487" s="104"/>
      <c r="C487" s="104"/>
      <c r="D487" s="105"/>
      <c r="E487" s="106"/>
      <c r="F487" s="107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6"/>
    </row>
    <row r="488" ht="15.75" customHeight="1">
      <c r="A488" s="109"/>
      <c r="B488" s="104"/>
      <c r="C488" s="104"/>
      <c r="D488" s="105"/>
      <c r="E488" s="106"/>
      <c r="F488" s="107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6"/>
    </row>
    <row r="489" ht="15.75" customHeight="1">
      <c r="A489" s="109"/>
      <c r="B489" s="104"/>
      <c r="C489" s="104"/>
      <c r="D489" s="105"/>
      <c r="E489" s="106"/>
      <c r="F489" s="107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6"/>
    </row>
    <row r="490" ht="15.75" customHeight="1">
      <c r="A490" s="109"/>
      <c r="B490" s="104"/>
      <c r="C490" s="104"/>
      <c r="D490" s="105"/>
      <c r="E490" s="106"/>
      <c r="F490" s="107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6"/>
    </row>
    <row r="491" ht="15.75" customHeight="1">
      <c r="A491" s="109"/>
      <c r="B491" s="104"/>
      <c r="C491" s="104"/>
      <c r="D491" s="105"/>
      <c r="E491" s="106"/>
      <c r="F491" s="107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6"/>
    </row>
    <row r="492" ht="15.75" customHeight="1">
      <c r="A492" s="109"/>
      <c r="B492" s="104"/>
      <c r="C492" s="104"/>
      <c r="D492" s="105"/>
      <c r="E492" s="106"/>
      <c r="F492" s="107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6"/>
    </row>
    <row r="493" ht="15.75" customHeight="1">
      <c r="A493" s="109"/>
      <c r="B493" s="104"/>
      <c r="C493" s="104"/>
      <c r="D493" s="105"/>
      <c r="E493" s="106"/>
      <c r="F493" s="107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6"/>
    </row>
    <row r="494" ht="15.75" customHeight="1">
      <c r="A494" s="109"/>
      <c r="B494" s="104"/>
      <c r="C494" s="104"/>
      <c r="D494" s="105"/>
      <c r="E494" s="106"/>
      <c r="F494" s="107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6"/>
    </row>
    <row r="495" ht="15.75" customHeight="1">
      <c r="A495" s="109"/>
      <c r="B495" s="104"/>
      <c r="C495" s="104"/>
      <c r="D495" s="105"/>
      <c r="E495" s="106"/>
      <c r="F495" s="107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6"/>
    </row>
    <row r="496" ht="15.75" customHeight="1">
      <c r="A496" s="109"/>
      <c r="B496" s="104"/>
      <c r="C496" s="104"/>
      <c r="D496" s="105"/>
      <c r="E496" s="106"/>
      <c r="F496" s="107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6"/>
    </row>
    <row r="497" ht="15.75" customHeight="1">
      <c r="A497" s="109"/>
      <c r="B497" s="104"/>
      <c r="C497" s="104"/>
      <c r="D497" s="105"/>
      <c r="E497" s="106"/>
      <c r="F497" s="107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6"/>
    </row>
    <row r="498" ht="15.75" customHeight="1">
      <c r="A498" s="109"/>
      <c r="B498" s="104"/>
      <c r="C498" s="104"/>
      <c r="D498" s="105"/>
      <c r="E498" s="106"/>
      <c r="F498" s="107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6"/>
    </row>
    <row r="499" ht="15.75" customHeight="1">
      <c r="A499" s="109"/>
      <c r="B499" s="104"/>
      <c r="C499" s="104"/>
      <c r="D499" s="105"/>
      <c r="E499" s="106"/>
      <c r="F499" s="107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6"/>
    </row>
    <row r="500" ht="15.75" customHeight="1">
      <c r="A500" s="109"/>
      <c r="B500" s="104"/>
      <c r="C500" s="104"/>
      <c r="D500" s="105"/>
      <c r="E500" s="106"/>
      <c r="F500" s="107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6"/>
    </row>
    <row r="501" ht="15.75" customHeight="1">
      <c r="A501" s="109"/>
      <c r="B501" s="104"/>
      <c r="C501" s="104"/>
      <c r="D501" s="105"/>
      <c r="E501" s="106"/>
      <c r="F501" s="107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6"/>
    </row>
    <row r="502" ht="15.75" customHeight="1">
      <c r="A502" s="109"/>
      <c r="B502" s="104"/>
      <c r="C502" s="104"/>
      <c r="D502" s="105"/>
      <c r="E502" s="106"/>
      <c r="F502" s="107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6"/>
    </row>
    <row r="503" ht="15.75" customHeight="1">
      <c r="A503" s="109"/>
      <c r="B503" s="104"/>
      <c r="C503" s="104"/>
      <c r="D503" s="105"/>
      <c r="E503" s="106"/>
      <c r="F503" s="107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6"/>
    </row>
    <row r="504" ht="15.75" customHeight="1">
      <c r="A504" s="109"/>
      <c r="B504" s="104"/>
      <c r="C504" s="104"/>
      <c r="D504" s="105"/>
      <c r="E504" s="106"/>
      <c r="F504" s="107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6"/>
    </row>
    <row r="505" ht="15.75" customHeight="1">
      <c r="A505" s="109"/>
      <c r="B505" s="104"/>
      <c r="C505" s="104"/>
      <c r="D505" s="105"/>
      <c r="E505" s="106"/>
      <c r="F505" s="107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6"/>
    </row>
    <row r="506" ht="15.75" customHeight="1">
      <c r="A506" s="109"/>
      <c r="B506" s="104"/>
      <c r="C506" s="104"/>
      <c r="D506" s="105"/>
      <c r="E506" s="106"/>
      <c r="F506" s="107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6"/>
    </row>
    <row r="507" ht="15.75" customHeight="1">
      <c r="A507" s="109"/>
      <c r="B507" s="104"/>
      <c r="C507" s="104"/>
      <c r="D507" s="105"/>
      <c r="E507" s="106"/>
      <c r="F507" s="107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6"/>
    </row>
    <row r="508" ht="15.75" customHeight="1">
      <c r="A508" s="109"/>
      <c r="B508" s="104"/>
      <c r="C508" s="104"/>
      <c r="D508" s="105"/>
      <c r="E508" s="106"/>
      <c r="F508" s="107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6"/>
    </row>
    <row r="509" ht="15.75" customHeight="1">
      <c r="A509" s="109"/>
      <c r="B509" s="104"/>
      <c r="C509" s="104"/>
      <c r="D509" s="105"/>
      <c r="E509" s="106"/>
      <c r="F509" s="107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6"/>
    </row>
    <row r="510" ht="15.75" customHeight="1">
      <c r="A510" s="109"/>
      <c r="B510" s="104"/>
      <c r="C510" s="104"/>
      <c r="D510" s="105"/>
      <c r="E510" s="106"/>
      <c r="F510" s="107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6"/>
    </row>
    <row r="511" ht="15.75" customHeight="1">
      <c r="A511" s="109"/>
      <c r="B511" s="104"/>
      <c r="C511" s="104"/>
      <c r="D511" s="105"/>
      <c r="E511" s="106"/>
      <c r="F511" s="107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6"/>
    </row>
    <row r="512" ht="15.75" customHeight="1">
      <c r="A512" s="109"/>
      <c r="B512" s="104"/>
      <c r="C512" s="104"/>
      <c r="D512" s="105"/>
      <c r="E512" s="106"/>
      <c r="F512" s="107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6"/>
    </row>
    <row r="513" ht="15.75" customHeight="1">
      <c r="A513" s="109"/>
      <c r="B513" s="104"/>
      <c r="C513" s="104"/>
      <c r="D513" s="105"/>
      <c r="E513" s="106"/>
      <c r="F513" s="107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6"/>
    </row>
    <row r="514" ht="15.75" customHeight="1">
      <c r="A514" s="109"/>
      <c r="B514" s="104"/>
      <c r="C514" s="104"/>
      <c r="D514" s="105"/>
      <c r="E514" s="106"/>
      <c r="F514" s="107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6"/>
    </row>
    <row r="515" ht="15.75" customHeight="1">
      <c r="A515" s="109"/>
      <c r="B515" s="104"/>
      <c r="C515" s="104"/>
      <c r="D515" s="105"/>
      <c r="E515" s="106"/>
      <c r="F515" s="107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6"/>
    </row>
    <row r="516" ht="15.75" customHeight="1">
      <c r="A516" s="109"/>
      <c r="B516" s="104"/>
      <c r="C516" s="104"/>
      <c r="D516" s="105"/>
      <c r="E516" s="106"/>
      <c r="F516" s="107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6"/>
    </row>
    <row r="517" ht="15.75" customHeight="1">
      <c r="A517" s="109"/>
      <c r="B517" s="104"/>
      <c r="C517" s="104"/>
      <c r="D517" s="105"/>
      <c r="E517" s="106"/>
      <c r="F517" s="107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6"/>
    </row>
    <row r="518" ht="15.75" customHeight="1">
      <c r="A518" s="109"/>
      <c r="B518" s="104"/>
      <c r="C518" s="104"/>
      <c r="D518" s="105"/>
      <c r="E518" s="106"/>
      <c r="F518" s="107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6"/>
    </row>
    <row r="519" ht="15.75" customHeight="1">
      <c r="A519" s="109"/>
      <c r="B519" s="104"/>
      <c r="C519" s="104"/>
      <c r="D519" s="105"/>
      <c r="E519" s="106"/>
      <c r="F519" s="107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6"/>
    </row>
    <row r="520" ht="15.75" customHeight="1">
      <c r="A520" s="109"/>
      <c r="B520" s="104"/>
      <c r="C520" s="104"/>
      <c r="D520" s="105"/>
      <c r="E520" s="106"/>
      <c r="F520" s="107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6"/>
    </row>
    <row r="521" ht="15.75" customHeight="1">
      <c r="A521" s="109"/>
      <c r="B521" s="104"/>
      <c r="C521" s="104"/>
      <c r="D521" s="105"/>
      <c r="E521" s="106"/>
      <c r="F521" s="107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6"/>
    </row>
    <row r="522" ht="15.75" customHeight="1">
      <c r="A522" s="109"/>
      <c r="B522" s="104"/>
      <c r="C522" s="104"/>
      <c r="D522" s="105"/>
      <c r="E522" s="106"/>
      <c r="F522" s="107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6"/>
    </row>
    <row r="523" ht="15.75" customHeight="1">
      <c r="A523" s="109"/>
      <c r="B523" s="104"/>
      <c r="C523" s="104"/>
      <c r="D523" s="105"/>
      <c r="E523" s="106"/>
      <c r="F523" s="107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6"/>
    </row>
    <row r="524" ht="15.75" customHeight="1">
      <c r="A524" s="109"/>
      <c r="B524" s="104"/>
      <c r="C524" s="104"/>
      <c r="D524" s="105"/>
      <c r="E524" s="106"/>
      <c r="F524" s="107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6"/>
    </row>
    <row r="525" ht="15.75" customHeight="1">
      <c r="A525" s="109"/>
      <c r="B525" s="104"/>
      <c r="C525" s="104"/>
      <c r="D525" s="105"/>
      <c r="E525" s="106"/>
      <c r="F525" s="107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6"/>
    </row>
    <row r="526" ht="15.75" customHeight="1">
      <c r="A526" s="109"/>
      <c r="B526" s="104"/>
      <c r="C526" s="104"/>
      <c r="D526" s="105"/>
      <c r="E526" s="106"/>
      <c r="F526" s="107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6"/>
    </row>
    <row r="527" ht="15.75" customHeight="1">
      <c r="A527" s="109"/>
      <c r="B527" s="104"/>
      <c r="C527" s="104"/>
      <c r="D527" s="105"/>
      <c r="E527" s="106"/>
      <c r="F527" s="107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6"/>
    </row>
    <row r="528" ht="15.75" customHeight="1">
      <c r="A528" s="109"/>
      <c r="B528" s="104"/>
      <c r="C528" s="104"/>
      <c r="D528" s="105"/>
      <c r="E528" s="106"/>
      <c r="F528" s="107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6"/>
    </row>
    <row r="529" ht="15.75" customHeight="1">
      <c r="A529" s="109"/>
      <c r="B529" s="104"/>
      <c r="C529" s="104"/>
      <c r="D529" s="105"/>
      <c r="E529" s="106"/>
      <c r="F529" s="107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6"/>
    </row>
    <row r="530" ht="15.75" customHeight="1">
      <c r="A530" s="109"/>
      <c r="B530" s="104"/>
      <c r="C530" s="104"/>
      <c r="D530" s="105"/>
      <c r="E530" s="106"/>
      <c r="F530" s="107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6"/>
    </row>
    <row r="531" ht="15.75" customHeight="1">
      <c r="A531" s="109"/>
      <c r="B531" s="104"/>
      <c r="C531" s="104"/>
      <c r="D531" s="105"/>
      <c r="E531" s="106"/>
      <c r="F531" s="107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6"/>
    </row>
    <row r="532" ht="15.75" customHeight="1">
      <c r="A532" s="109"/>
      <c r="B532" s="104"/>
      <c r="C532" s="104"/>
      <c r="D532" s="105"/>
      <c r="E532" s="106"/>
      <c r="F532" s="107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6"/>
    </row>
    <row r="533" ht="15.75" customHeight="1">
      <c r="A533" s="109"/>
      <c r="B533" s="104"/>
      <c r="C533" s="104"/>
      <c r="D533" s="105"/>
      <c r="E533" s="106"/>
      <c r="F533" s="107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6"/>
    </row>
    <row r="534" ht="15.75" customHeight="1">
      <c r="A534" s="109"/>
      <c r="B534" s="104"/>
      <c r="C534" s="104"/>
      <c r="D534" s="105"/>
      <c r="E534" s="106"/>
      <c r="F534" s="107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6"/>
    </row>
    <row r="535" ht="15.75" customHeight="1">
      <c r="A535" s="109"/>
      <c r="B535" s="104"/>
      <c r="C535" s="104"/>
      <c r="D535" s="105"/>
      <c r="E535" s="106"/>
      <c r="F535" s="107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6"/>
    </row>
    <row r="536" ht="15.75" customHeight="1">
      <c r="A536" s="109"/>
      <c r="B536" s="104"/>
      <c r="C536" s="104"/>
      <c r="D536" s="105"/>
      <c r="E536" s="106"/>
      <c r="F536" s="107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6"/>
    </row>
    <row r="537" ht="15.75" customHeight="1">
      <c r="A537" s="109"/>
      <c r="B537" s="104"/>
      <c r="C537" s="104"/>
      <c r="D537" s="105"/>
      <c r="E537" s="106"/>
      <c r="F537" s="107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6"/>
    </row>
    <row r="538" ht="15.75" customHeight="1">
      <c r="A538" s="109"/>
      <c r="B538" s="104"/>
      <c r="C538" s="104"/>
      <c r="D538" s="105"/>
      <c r="E538" s="106"/>
      <c r="F538" s="107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6"/>
    </row>
    <row r="539" ht="15.75" customHeight="1">
      <c r="A539" s="109"/>
      <c r="B539" s="104"/>
      <c r="C539" s="104"/>
      <c r="D539" s="105"/>
      <c r="E539" s="106"/>
      <c r="F539" s="107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6"/>
    </row>
    <row r="540" ht="15.75" customHeight="1">
      <c r="A540" s="109"/>
      <c r="B540" s="104"/>
      <c r="C540" s="104"/>
      <c r="D540" s="105"/>
      <c r="E540" s="106"/>
      <c r="F540" s="107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6"/>
    </row>
    <row r="541" ht="15.75" customHeight="1">
      <c r="A541" s="109"/>
      <c r="B541" s="104"/>
      <c r="C541" s="104"/>
      <c r="D541" s="105"/>
      <c r="E541" s="106"/>
      <c r="F541" s="107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6"/>
    </row>
    <row r="542" ht="15.75" customHeight="1">
      <c r="A542" s="109"/>
      <c r="B542" s="104"/>
      <c r="C542" s="104"/>
      <c r="D542" s="105"/>
      <c r="E542" s="106"/>
      <c r="F542" s="107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6"/>
    </row>
    <row r="543" ht="15.75" customHeight="1">
      <c r="A543" s="109"/>
      <c r="B543" s="104"/>
      <c r="C543" s="104"/>
      <c r="D543" s="105"/>
      <c r="E543" s="106"/>
      <c r="F543" s="107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6"/>
    </row>
    <row r="544" ht="15.75" customHeight="1">
      <c r="A544" s="109"/>
      <c r="B544" s="104"/>
      <c r="C544" s="104"/>
      <c r="D544" s="105"/>
      <c r="E544" s="106"/>
      <c r="F544" s="107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6"/>
    </row>
    <row r="545" ht="15.75" customHeight="1">
      <c r="A545" s="109"/>
      <c r="B545" s="104"/>
      <c r="C545" s="104"/>
      <c r="D545" s="105"/>
      <c r="E545" s="106"/>
      <c r="F545" s="107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6"/>
    </row>
    <row r="546" ht="15.75" customHeight="1">
      <c r="A546" s="109"/>
      <c r="B546" s="104"/>
      <c r="C546" s="104"/>
      <c r="D546" s="105"/>
      <c r="E546" s="106"/>
      <c r="F546" s="107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6"/>
    </row>
    <row r="547" ht="15.75" customHeight="1">
      <c r="A547" s="109"/>
      <c r="B547" s="104"/>
      <c r="C547" s="104"/>
      <c r="D547" s="105"/>
      <c r="E547" s="106"/>
      <c r="F547" s="107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6"/>
    </row>
    <row r="548" ht="15.75" customHeight="1">
      <c r="A548" s="109"/>
      <c r="B548" s="104"/>
      <c r="C548" s="104"/>
      <c r="D548" s="105"/>
      <c r="E548" s="106"/>
      <c r="F548" s="107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6"/>
    </row>
    <row r="549" ht="15.75" customHeight="1">
      <c r="A549" s="109"/>
      <c r="B549" s="104"/>
      <c r="C549" s="104"/>
      <c r="D549" s="105"/>
      <c r="E549" s="106"/>
      <c r="F549" s="107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6"/>
    </row>
    <row r="550" ht="15.75" customHeight="1">
      <c r="A550" s="109"/>
      <c r="B550" s="104"/>
      <c r="C550" s="104"/>
      <c r="D550" s="105"/>
      <c r="E550" s="106"/>
      <c r="F550" s="107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6"/>
    </row>
    <row r="551" ht="15.75" customHeight="1">
      <c r="A551" s="109"/>
      <c r="B551" s="104"/>
      <c r="C551" s="104"/>
      <c r="D551" s="105"/>
      <c r="E551" s="106"/>
      <c r="F551" s="107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6"/>
    </row>
    <row r="552" ht="15.75" customHeight="1">
      <c r="A552" s="109"/>
      <c r="B552" s="104"/>
      <c r="C552" s="104"/>
      <c r="D552" s="105"/>
      <c r="E552" s="106"/>
      <c r="F552" s="107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6"/>
    </row>
    <row r="553" ht="15.75" customHeight="1">
      <c r="A553" s="109"/>
      <c r="B553" s="104"/>
      <c r="C553" s="104"/>
      <c r="D553" s="105"/>
      <c r="E553" s="106"/>
      <c r="F553" s="107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6"/>
    </row>
    <row r="554" ht="15.75" customHeight="1">
      <c r="A554" s="109"/>
      <c r="B554" s="104"/>
      <c r="C554" s="104"/>
      <c r="D554" s="105"/>
      <c r="E554" s="106"/>
      <c r="F554" s="107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6"/>
    </row>
    <row r="555" ht="15.75" customHeight="1">
      <c r="A555" s="109"/>
      <c r="B555" s="104"/>
      <c r="C555" s="104"/>
      <c r="D555" s="105"/>
      <c r="E555" s="106"/>
      <c r="F555" s="107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6"/>
    </row>
    <row r="556" ht="15.75" customHeight="1">
      <c r="A556" s="109"/>
      <c r="B556" s="104"/>
      <c r="C556" s="104"/>
      <c r="D556" s="105"/>
      <c r="E556" s="106"/>
      <c r="F556" s="107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6"/>
    </row>
    <row r="557" ht="15.75" customHeight="1">
      <c r="A557" s="109"/>
      <c r="B557" s="104"/>
      <c r="C557" s="104"/>
      <c r="D557" s="105"/>
      <c r="E557" s="106"/>
      <c r="F557" s="107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6"/>
    </row>
    <row r="558" ht="15.75" customHeight="1">
      <c r="A558" s="109"/>
      <c r="B558" s="104"/>
      <c r="C558" s="104"/>
      <c r="D558" s="105"/>
      <c r="E558" s="106"/>
      <c r="F558" s="107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6"/>
    </row>
    <row r="559" ht="15.75" customHeight="1">
      <c r="A559" s="109"/>
      <c r="B559" s="104"/>
      <c r="C559" s="104"/>
      <c r="D559" s="105"/>
      <c r="E559" s="106"/>
      <c r="F559" s="107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6"/>
    </row>
    <row r="560" ht="15.75" customHeight="1">
      <c r="A560" s="109"/>
      <c r="B560" s="104"/>
      <c r="C560" s="104"/>
      <c r="D560" s="105"/>
      <c r="E560" s="106"/>
      <c r="F560" s="107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6"/>
    </row>
    <row r="561" ht="15.75" customHeight="1">
      <c r="A561" s="109"/>
      <c r="B561" s="104"/>
      <c r="C561" s="104"/>
      <c r="D561" s="105"/>
      <c r="E561" s="106"/>
      <c r="F561" s="107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6"/>
    </row>
    <row r="562" ht="15.75" customHeight="1">
      <c r="A562" s="109"/>
      <c r="B562" s="104"/>
      <c r="C562" s="104"/>
      <c r="D562" s="105"/>
      <c r="E562" s="106"/>
      <c r="F562" s="107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6"/>
    </row>
    <row r="563" ht="15.75" customHeight="1">
      <c r="A563" s="109"/>
      <c r="B563" s="104"/>
      <c r="C563" s="104"/>
      <c r="D563" s="105"/>
      <c r="E563" s="106"/>
      <c r="F563" s="107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6"/>
    </row>
    <row r="564" ht="15.75" customHeight="1">
      <c r="A564" s="109"/>
      <c r="B564" s="104"/>
      <c r="C564" s="104"/>
      <c r="D564" s="105"/>
      <c r="E564" s="106"/>
      <c r="F564" s="107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6"/>
    </row>
    <row r="565" ht="15.75" customHeight="1">
      <c r="A565" s="109"/>
      <c r="B565" s="104"/>
      <c r="C565" s="104"/>
      <c r="D565" s="105"/>
      <c r="E565" s="106"/>
      <c r="F565" s="107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6"/>
    </row>
    <row r="566" ht="15.75" customHeight="1">
      <c r="A566" s="109"/>
      <c r="B566" s="104"/>
      <c r="C566" s="104"/>
      <c r="D566" s="105"/>
      <c r="E566" s="106"/>
      <c r="F566" s="107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6"/>
    </row>
    <row r="567" ht="15.75" customHeight="1">
      <c r="A567" s="109"/>
      <c r="B567" s="104"/>
      <c r="C567" s="104"/>
      <c r="D567" s="105"/>
      <c r="E567" s="106"/>
      <c r="F567" s="107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6"/>
    </row>
    <row r="568" ht="15.75" customHeight="1">
      <c r="A568" s="109"/>
      <c r="B568" s="104"/>
      <c r="C568" s="104"/>
      <c r="D568" s="105"/>
      <c r="E568" s="106"/>
      <c r="F568" s="107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6"/>
    </row>
    <row r="569" ht="15.75" customHeight="1">
      <c r="A569" s="109"/>
      <c r="B569" s="104"/>
      <c r="C569" s="104"/>
      <c r="D569" s="105"/>
      <c r="E569" s="106"/>
      <c r="F569" s="107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6"/>
    </row>
    <row r="570" ht="15.75" customHeight="1">
      <c r="A570" s="109"/>
      <c r="B570" s="104"/>
      <c r="C570" s="104"/>
      <c r="D570" s="105"/>
      <c r="E570" s="106"/>
      <c r="F570" s="107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6"/>
    </row>
    <row r="571" ht="15.75" customHeight="1">
      <c r="A571" s="109"/>
      <c r="B571" s="104"/>
      <c r="C571" s="104"/>
      <c r="D571" s="105"/>
      <c r="E571" s="106"/>
      <c r="F571" s="107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6"/>
    </row>
    <row r="572" ht="15.75" customHeight="1">
      <c r="A572" s="109"/>
      <c r="B572" s="104"/>
      <c r="C572" s="104"/>
      <c r="D572" s="105"/>
      <c r="E572" s="106"/>
      <c r="F572" s="107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6"/>
    </row>
    <row r="573" ht="15.75" customHeight="1">
      <c r="A573" s="109"/>
      <c r="B573" s="104"/>
      <c r="C573" s="104"/>
      <c r="D573" s="105"/>
      <c r="E573" s="106"/>
      <c r="F573" s="107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6"/>
    </row>
    <row r="574" ht="15.75" customHeight="1">
      <c r="A574" s="109"/>
      <c r="B574" s="104"/>
      <c r="C574" s="104"/>
      <c r="D574" s="105"/>
      <c r="E574" s="106"/>
      <c r="F574" s="107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6"/>
    </row>
    <row r="575" ht="15.75" customHeight="1">
      <c r="A575" s="109"/>
      <c r="B575" s="104"/>
      <c r="C575" s="104"/>
      <c r="D575" s="105"/>
      <c r="E575" s="106"/>
      <c r="F575" s="107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6"/>
    </row>
    <row r="576" ht="15.75" customHeight="1">
      <c r="A576" s="109"/>
      <c r="B576" s="104"/>
      <c r="C576" s="104"/>
      <c r="D576" s="105"/>
      <c r="E576" s="106"/>
      <c r="F576" s="107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6"/>
    </row>
    <row r="577" ht="15.75" customHeight="1">
      <c r="A577" s="109"/>
      <c r="B577" s="104"/>
      <c r="C577" s="104"/>
      <c r="D577" s="105"/>
      <c r="E577" s="106"/>
      <c r="F577" s="107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6"/>
    </row>
    <row r="578" ht="15.75" customHeight="1">
      <c r="A578" s="109"/>
      <c r="B578" s="104"/>
      <c r="C578" s="104"/>
      <c r="D578" s="105"/>
      <c r="E578" s="106"/>
      <c r="F578" s="107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6"/>
    </row>
    <row r="579" ht="15.75" customHeight="1">
      <c r="A579" s="109"/>
      <c r="B579" s="104"/>
      <c r="C579" s="104"/>
      <c r="D579" s="105"/>
      <c r="E579" s="106"/>
      <c r="F579" s="107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6"/>
    </row>
    <row r="580" ht="15.75" customHeight="1">
      <c r="A580" s="109"/>
      <c r="B580" s="104"/>
      <c r="C580" s="104"/>
      <c r="D580" s="105"/>
      <c r="E580" s="106"/>
      <c r="F580" s="107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6"/>
    </row>
    <row r="581" ht="15.75" customHeight="1">
      <c r="A581" s="109"/>
      <c r="B581" s="104"/>
      <c r="C581" s="104"/>
      <c r="D581" s="105"/>
      <c r="E581" s="106"/>
      <c r="F581" s="107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6"/>
    </row>
    <row r="582" ht="15.75" customHeight="1">
      <c r="A582" s="109"/>
      <c r="B582" s="104"/>
      <c r="C582" s="104"/>
      <c r="D582" s="105"/>
      <c r="E582" s="106"/>
      <c r="F582" s="107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6"/>
    </row>
    <row r="583" ht="15.75" customHeight="1">
      <c r="A583" s="109"/>
      <c r="B583" s="104"/>
      <c r="C583" s="104"/>
      <c r="D583" s="105"/>
      <c r="E583" s="106"/>
      <c r="F583" s="107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6"/>
    </row>
    <row r="584" ht="15.75" customHeight="1">
      <c r="A584" s="109"/>
      <c r="B584" s="104"/>
      <c r="C584" s="104"/>
      <c r="D584" s="105"/>
      <c r="E584" s="106"/>
      <c r="F584" s="107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6"/>
    </row>
    <row r="585" ht="15.75" customHeight="1">
      <c r="A585" s="109"/>
      <c r="B585" s="104"/>
      <c r="C585" s="104"/>
      <c r="D585" s="105"/>
      <c r="E585" s="106"/>
      <c r="F585" s="107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6"/>
    </row>
    <row r="586" ht="15.75" customHeight="1">
      <c r="A586" s="109"/>
      <c r="B586" s="104"/>
      <c r="C586" s="104"/>
      <c r="D586" s="105"/>
      <c r="E586" s="106"/>
      <c r="F586" s="107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6"/>
    </row>
    <row r="587" ht="15.75" customHeight="1">
      <c r="A587" s="109"/>
      <c r="B587" s="104"/>
      <c r="C587" s="104"/>
      <c r="D587" s="105"/>
      <c r="E587" s="106"/>
      <c r="F587" s="107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6"/>
    </row>
    <row r="588" ht="15.75" customHeight="1">
      <c r="A588" s="109"/>
      <c r="B588" s="104"/>
      <c r="C588" s="104"/>
      <c r="D588" s="105"/>
      <c r="E588" s="106"/>
      <c r="F588" s="107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6"/>
    </row>
    <row r="589" ht="15.75" customHeight="1">
      <c r="A589" s="109"/>
      <c r="B589" s="104"/>
      <c r="C589" s="104"/>
      <c r="D589" s="105"/>
      <c r="E589" s="106"/>
      <c r="F589" s="107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6"/>
    </row>
    <row r="590" ht="15.75" customHeight="1">
      <c r="A590" s="109"/>
      <c r="B590" s="104"/>
      <c r="C590" s="104"/>
      <c r="D590" s="105"/>
      <c r="E590" s="106"/>
      <c r="F590" s="107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6"/>
    </row>
    <row r="591" ht="15.75" customHeight="1">
      <c r="A591" s="109"/>
      <c r="B591" s="104"/>
      <c r="C591" s="104"/>
      <c r="D591" s="105"/>
      <c r="E591" s="106"/>
      <c r="F591" s="107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6"/>
    </row>
    <row r="592" ht="15.75" customHeight="1">
      <c r="A592" s="109"/>
      <c r="B592" s="104"/>
      <c r="C592" s="104"/>
      <c r="D592" s="105"/>
      <c r="E592" s="106"/>
      <c r="F592" s="107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6"/>
    </row>
    <row r="593" ht="15.75" customHeight="1">
      <c r="A593" s="109"/>
      <c r="B593" s="104"/>
      <c r="C593" s="104"/>
      <c r="D593" s="105"/>
      <c r="E593" s="106"/>
      <c r="F593" s="107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6"/>
    </row>
    <row r="594" ht="15.75" customHeight="1">
      <c r="A594" s="109"/>
      <c r="B594" s="104"/>
      <c r="C594" s="104"/>
      <c r="D594" s="105"/>
      <c r="E594" s="106"/>
      <c r="F594" s="107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6"/>
    </row>
    <row r="595" ht="15.75" customHeight="1">
      <c r="A595" s="109"/>
      <c r="B595" s="104"/>
      <c r="C595" s="104"/>
      <c r="D595" s="105"/>
      <c r="E595" s="106"/>
      <c r="F595" s="107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6"/>
    </row>
    <row r="596" ht="15.75" customHeight="1">
      <c r="A596" s="109"/>
      <c r="B596" s="104"/>
      <c r="C596" s="104"/>
      <c r="D596" s="105"/>
      <c r="E596" s="106"/>
      <c r="F596" s="107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6"/>
    </row>
    <row r="597" ht="15.75" customHeight="1">
      <c r="A597" s="109"/>
      <c r="B597" s="104"/>
      <c r="C597" s="104"/>
      <c r="D597" s="105"/>
      <c r="E597" s="106"/>
      <c r="F597" s="107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6"/>
    </row>
    <row r="598" ht="15.75" customHeight="1">
      <c r="A598" s="109"/>
      <c r="B598" s="104"/>
      <c r="C598" s="104"/>
      <c r="D598" s="105"/>
      <c r="E598" s="106"/>
      <c r="F598" s="107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6"/>
    </row>
    <row r="599" ht="15.75" customHeight="1">
      <c r="A599" s="109"/>
      <c r="B599" s="104"/>
      <c r="C599" s="104"/>
      <c r="D599" s="105"/>
      <c r="E599" s="106"/>
      <c r="F599" s="107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6"/>
    </row>
    <row r="600" ht="15.75" customHeight="1">
      <c r="A600" s="109"/>
      <c r="B600" s="104"/>
      <c r="C600" s="104"/>
      <c r="D600" s="105"/>
      <c r="E600" s="106"/>
      <c r="F600" s="107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6"/>
    </row>
    <row r="601" ht="15.75" customHeight="1">
      <c r="A601" s="109"/>
      <c r="B601" s="104"/>
      <c r="C601" s="104"/>
      <c r="D601" s="105"/>
      <c r="E601" s="106"/>
      <c r="F601" s="107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6"/>
    </row>
    <row r="602" ht="15.75" customHeight="1">
      <c r="A602" s="109"/>
      <c r="B602" s="104"/>
      <c r="C602" s="104"/>
      <c r="D602" s="105"/>
      <c r="E602" s="106"/>
      <c r="F602" s="107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6"/>
    </row>
    <row r="603" ht="15.75" customHeight="1">
      <c r="A603" s="109"/>
      <c r="B603" s="104"/>
      <c r="C603" s="104"/>
      <c r="D603" s="105"/>
      <c r="E603" s="106"/>
      <c r="F603" s="107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6"/>
    </row>
    <row r="604" ht="15.75" customHeight="1">
      <c r="A604" s="109"/>
      <c r="B604" s="104"/>
      <c r="C604" s="104"/>
      <c r="D604" s="105"/>
      <c r="E604" s="106"/>
      <c r="F604" s="107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6"/>
    </row>
    <row r="605" ht="15.75" customHeight="1">
      <c r="A605" s="109"/>
      <c r="B605" s="104"/>
      <c r="C605" s="104"/>
      <c r="D605" s="105"/>
      <c r="E605" s="106"/>
      <c r="F605" s="107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6"/>
    </row>
    <row r="606" ht="15.75" customHeight="1">
      <c r="A606" s="109"/>
      <c r="B606" s="104"/>
      <c r="C606" s="104"/>
      <c r="D606" s="105"/>
      <c r="E606" s="106"/>
      <c r="F606" s="107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6"/>
    </row>
    <row r="607" ht="15.75" customHeight="1">
      <c r="A607" s="109"/>
      <c r="B607" s="104"/>
      <c r="C607" s="104"/>
      <c r="D607" s="105"/>
      <c r="E607" s="106"/>
      <c r="F607" s="107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6"/>
    </row>
    <row r="608" ht="15.75" customHeight="1">
      <c r="A608" s="109"/>
      <c r="B608" s="104"/>
      <c r="C608" s="104"/>
      <c r="D608" s="105"/>
      <c r="E608" s="106"/>
      <c r="F608" s="107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6"/>
    </row>
    <row r="609" ht="15.75" customHeight="1">
      <c r="A609" s="109"/>
      <c r="B609" s="104"/>
      <c r="C609" s="104"/>
      <c r="D609" s="105"/>
      <c r="E609" s="106"/>
      <c r="F609" s="107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6"/>
    </row>
    <row r="610" ht="15.75" customHeight="1">
      <c r="A610" s="109"/>
      <c r="B610" s="104"/>
      <c r="C610" s="104"/>
      <c r="D610" s="105"/>
      <c r="E610" s="106"/>
      <c r="F610" s="107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6"/>
    </row>
    <row r="611" ht="15.75" customHeight="1">
      <c r="A611" s="109"/>
      <c r="B611" s="104"/>
      <c r="C611" s="104"/>
      <c r="D611" s="105"/>
      <c r="E611" s="106"/>
      <c r="F611" s="107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6"/>
    </row>
    <row r="612" ht="15.75" customHeight="1">
      <c r="A612" s="109"/>
      <c r="B612" s="104"/>
      <c r="C612" s="104"/>
      <c r="D612" s="105"/>
      <c r="E612" s="106"/>
      <c r="F612" s="107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6"/>
    </row>
    <row r="613" ht="15.75" customHeight="1">
      <c r="A613" s="109"/>
      <c r="B613" s="104"/>
      <c r="C613" s="104"/>
      <c r="D613" s="105"/>
      <c r="E613" s="106"/>
      <c r="F613" s="107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6"/>
    </row>
    <row r="614" ht="15.75" customHeight="1">
      <c r="A614" s="109"/>
      <c r="B614" s="104"/>
      <c r="C614" s="104"/>
      <c r="D614" s="105"/>
      <c r="E614" s="106"/>
      <c r="F614" s="107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6"/>
    </row>
    <row r="615" ht="15.75" customHeight="1">
      <c r="A615" s="109"/>
      <c r="B615" s="104"/>
      <c r="C615" s="104"/>
      <c r="D615" s="105"/>
      <c r="E615" s="106"/>
      <c r="F615" s="107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6"/>
    </row>
    <row r="616" ht="15.75" customHeight="1">
      <c r="A616" s="109"/>
      <c r="B616" s="104"/>
      <c r="C616" s="104"/>
      <c r="D616" s="105"/>
      <c r="E616" s="106"/>
      <c r="F616" s="107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6"/>
    </row>
    <row r="617" ht="15.75" customHeight="1">
      <c r="A617" s="109"/>
      <c r="B617" s="104"/>
      <c r="C617" s="104"/>
      <c r="D617" s="105"/>
      <c r="E617" s="106"/>
      <c r="F617" s="107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6"/>
    </row>
    <row r="618" ht="15.75" customHeight="1">
      <c r="A618" s="109"/>
      <c r="B618" s="104"/>
      <c r="C618" s="104"/>
      <c r="D618" s="105"/>
      <c r="E618" s="106"/>
      <c r="F618" s="107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6"/>
    </row>
    <row r="619" ht="15.75" customHeight="1">
      <c r="A619" s="109"/>
      <c r="B619" s="104"/>
      <c r="C619" s="104"/>
      <c r="D619" s="105"/>
      <c r="E619" s="106"/>
      <c r="F619" s="107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6"/>
    </row>
    <row r="620" ht="15.75" customHeight="1">
      <c r="A620" s="109"/>
      <c r="B620" s="104"/>
      <c r="C620" s="104"/>
      <c r="D620" s="105"/>
      <c r="E620" s="106"/>
      <c r="F620" s="107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6"/>
    </row>
    <row r="621" ht="15.75" customHeight="1">
      <c r="A621" s="109"/>
      <c r="B621" s="104"/>
      <c r="C621" s="104"/>
      <c r="D621" s="105"/>
      <c r="E621" s="106"/>
      <c r="F621" s="107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6"/>
    </row>
    <row r="622" ht="15.75" customHeight="1">
      <c r="A622" s="109"/>
      <c r="B622" s="104"/>
      <c r="C622" s="104"/>
      <c r="D622" s="105"/>
      <c r="E622" s="106"/>
      <c r="F622" s="107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6"/>
    </row>
    <row r="623" ht="15.75" customHeight="1">
      <c r="A623" s="109"/>
      <c r="B623" s="104"/>
      <c r="C623" s="104"/>
      <c r="D623" s="105"/>
      <c r="E623" s="106"/>
      <c r="F623" s="107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6"/>
    </row>
    <row r="624" ht="15.75" customHeight="1">
      <c r="A624" s="109"/>
      <c r="B624" s="104"/>
      <c r="C624" s="104"/>
      <c r="D624" s="105"/>
      <c r="E624" s="106"/>
      <c r="F624" s="107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6"/>
    </row>
    <row r="625" ht="15.75" customHeight="1">
      <c r="A625" s="109"/>
      <c r="B625" s="104"/>
      <c r="C625" s="104"/>
      <c r="D625" s="105"/>
      <c r="E625" s="106"/>
      <c r="F625" s="107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6"/>
    </row>
    <row r="626" ht="15.75" customHeight="1">
      <c r="A626" s="109"/>
      <c r="B626" s="104"/>
      <c r="C626" s="104"/>
      <c r="D626" s="105"/>
      <c r="E626" s="106"/>
      <c r="F626" s="107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6"/>
    </row>
    <row r="627" ht="15.75" customHeight="1">
      <c r="A627" s="109"/>
      <c r="B627" s="104"/>
      <c r="C627" s="104"/>
      <c r="D627" s="105"/>
      <c r="E627" s="106"/>
      <c r="F627" s="107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6"/>
    </row>
    <row r="628" ht="15.75" customHeight="1">
      <c r="A628" s="109"/>
      <c r="B628" s="104"/>
      <c r="C628" s="104"/>
      <c r="D628" s="105"/>
      <c r="E628" s="106"/>
      <c r="F628" s="107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6"/>
    </row>
    <row r="629" ht="15.75" customHeight="1">
      <c r="A629" s="109"/>
      <c r="B629" s="104"/>
      <c r="C629" s="104"/>
      <c r="D629" s="105"/>
      <c r="E629" s="106"/>
      <c r="F629" s="107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6"/>
    </row>
    <row r="630" ht="15.75" customHeight="1">
      <c r="A630" s="109"/>
      <c r="B630" s="104"/>
      <c r="C630" s="104"/>
      <c r="D630" s="105"/>
      <c r="E630" s="106"/>
      <c r="F630" s="107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6"/>
    </row>
    <row r="631" ht="15.75" customHeight="1">
      <c r="A631" s="109"/>
      <c r="B631" s="104"/>
      <c r="C631" s="104"/>
      <c r="D631" s="105"/>
      <c r="E631" s="106"/>
      <c r="F631" s="107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6"/>
    </row>
    <row r="632" ht="15.75" customHeight="1">
      <c r="A632" s="109"/>
      <c r="B632" s="104"/>
      <c r="C632" s="104"/>
      <c r="D632" s="105"/>
      <c r="E632" s="106"/>
      <c r="F632" s="107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6"/>
    </row>
    <row r="633" ht="15.75" customHeight="1">
      <c r="A633" s="109"/>
      <c r="B633" s="104"/>
      <c r="C633" s="104"/>
      <c r="D633" s="105"/>
      <c r="E633" s="106"/>
      <c r="F633" s="107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6"/>
    </row>
    <row r="634" ht="15.75" customHeight="1">
      <c r="A634" s="109"/>
      <c r="B634" s="104"/>
      <c r="C634" s="104"/>
      <c r="D634" s="105"/>
      <c r="E634" s="106"/>
      <c r="F634" s="107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6"/>
    </row>
    <row r="635" ht="15.75" customHeight="1">
      <c r="A635" s="109"/>
      <c r="B635" s="104"/>
      <c r="C635" s="104"/>
      <c r="D635" s="105"/>
      <c r="E635" s="106"/>
      <c r="F635" s="107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6"/>
    </row>
    <row r="636" ht="15.75" customHeight="1">
      <c r="A636" s="109"/>
      <c r="B636" s="104"/>
      <c r="C636" s="104"/>
      <c r="D636" s="105"/>
      <c r="E636" s="106"/>
      <c r="F636" s="107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6"/>
    </row>
    <row r="637" ht="15.75" customHeight="1">
      <c r="A637" s="109"/>
      <c r="B637" s="104"/>
      <c r="C637" s="104"/>
      <c r="D637" s="105"/>
      <c r="E637" s="106"/>
      <c r="F637" s="107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6"/>
    </row>
    <row r="638" ht="15.75" customHeight="1">
      <c r="A638" s="109"/>
      <c r="B638" s="104"/>
      <c r="C638" s="104"/>
      <c r="D638" s="105"/>
      <c r="E638" s="106"/>
      <c r="F638" s="107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6"/>
    </row>
    <row r="639" ht="15.75" customHeight="1">
      <c r="A639" s="109"/>
      <c r="B639" s="104"/>
      <c r="C639" s="104"/>
      <c r="D639" s="105"/>
      <c r="E639" s="106"/>
      <c r="F639" s="107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6"/>
    </row>
    <row r="640" ht="15.75" customHeight="1">
      <c r="A640" s="109"/>
      <c r="B640" s="104"/>
      <c r="C640" s="104"/>
      <c r="D640" s="105"/>
      <c r="E640" s="106"/>
      <c r="F640" s="107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6"/>
    </row>
    <row r="641" ht="15.75" customHeight="1">
      <c r="A641" s="109"/>
      <c r="B641" s="104"/>
      <c r="C641" s="104"/>
      <c r="D641" s="105"/>
      <c r="E641" s="106"/>
      <c r="F641" s="107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6"/>
    </row>
    <row r="642" ht="15.75" customHeight="1">
      <c r="A642" s="109"/>
      <c r="B642" s="104"/>
      <c r="C642" s="104"/>
      <c r="D642" s="105"/>
      <c r="E642" s="106"/>
      <c r="F642" s="107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6"/>
    </row>
    <row r="643" ht="15.75" customHeight="1">
      <c r="A643" s="109"/>
      <c r="B643" s="104"/>
      <c r="C643" s="104"/>
      <c r="D643" s="105"/>
      <c r="E643" s="106"/>
      <c r="F643" s="107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6"/>
    </row>
    <row r="644" ht="15.75" customHeight="1">
      <c r="A644" s="109"/>
      <c r="B644" s="104"/>
      <c r="C644" s="104"/>
      <c r="D644" s="105"/>
      <c r="E644" s="106"/>
      <c r="F644" s="107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6"/>
    </row>
    <row r="645" ht="15.75" customHeight="1">
      <c r="A645" s="109"/>
      <c r="B645" s="104"/>
      <c r="C645" s="104"/>
      <c r="D645" s="105"/>
      <c r="E645" s="106"/>
      <c r="F645" s="107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6"/>
    </row>
    <row r="646" ht="15.75" customHeight="1">
      <c r="A646" s="109"/>
      <c r="B646" s="104"/>
      <c r="C646" s="104"/>
      <c r="D646" s="105"/>
      <c r="E646" s="106"/>
      <c r="F646" s="107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6"/>
    </row>
    <row r="647" ht="15.75" customHeight="1">
      <c r="A647" s="109"/>
      <c r="B647" s="104"/>
      <c r="C647" s="104"/>
      <c r="D647" s="105"/>
      <c r="E647" s="106"/>
      <c r="F647" s="107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6"/>
    </row>
    <row r="648" ht="15.75" customHeight="1">
      <c r="A648" s="109"/>
      <c r="B648" s="104"/>
      <c r="C648" s="104"/>
      <c r="D648" s="105"/>
      <c r="E648" s="106"/>
      <c r="F648" s="107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6"/>
    </row>
    <row r="649" ht="15.75" customHeight="1">
      <c r="A649" s="109"/>
      <c r="B649" s="104"/>
      <c r="C649" s="104"/>
      <c r="D649" s="105"/>
      <c r="E649" s="106"/>
      <c r="F649" s="107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6"/>
    </row>
    <row r="650" ht="15.75" customHeight="1">
      <c r="A650" s="109"/>
      <c r="B650" s="104"/>
      <c r="C650" s="104"/>
      <c r="D650" s="105"/>
      <c r="E650" s="106"/>
      <c r="F650" s="107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6"/>
    </row>
    <row r="651" ht="15.75" customHeight="1">
      <c r="A651" s="109"/>
      <c r="B651" s="104"/>
      <c r="C651" s="104"/>
      <c r="D651" s="105"/>
      <c r="E651" s="106"/>
      <c r="F651" s="107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6"/>
    </row>
    <row r="652" ht="15.75" customHeight="1">
      <c r="A652" s="109"/>
      <c r="B652" s="104"/>
      <c r="C652" s="104"/>
      <c r="D652" s="105"/>
      <c r="E652" s="106"/>
      <c r="F652" s="107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6"/>
    </row>
    <row r="653" ht="15.75" customHeight="1">
      <c r="A653" s="109"/>
      <c r="B653" s="104"/>
      <c r="C653" s="104"/>
      <c r="D653" s="105"/>
      <c r="E653" s="106"/>
      <c r="F653" s="107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6"/>
    </row>
    <row r="654" ht="15.75" customHeight="1">
      <c r="A654" s="109"/>
      <c r="B654" s="104"/>
      <c r="C654" s="104"/>
      <c r="D654" s="105"/>
      <c r="E654" s="106"/>
      <c r="F654" s="107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6"/>
    </row>
    <row r="655" ht="15.75" customHeight="1">
      <c r="A655" s="109"/>
      <c r="B655" s="104"/>
      <c r="C655" s="104"/>
      <c r="D655" s="105"/>
      <c r="E655" s="106"/>
      <c r="F655" s="107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6"/>
    </row>
    <row r="656" ht="15.75" customHeight="1">
      <c r="A656" s="109"/>
      <c r="B656" s="104"/>
      <c r="C656" s="104"/>
      <c r="D656" s="105"/>
      <c r="E656" s="106"/>
      <c r="F656" s="107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6"/>
    </row>
    <row r="657" ht="15.75" customHeight="1">
      <c r="A657" s="109"/>
      <c r="B657" s="104"/>
      <c r="C657" s="104"/>
      <c r="D657" s="105"/>
      <c r="E657" s="106"/>
      <c r="F657" s="107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6"/>
    </row>
    <row r="658" ht="15.75" customHeight="1">
      <c r="A658" s="109"/>
      <c r="B658" s="104"/>
      <c r="C658" s="104"/>
      <c r="D658" s="105"/>
      <c r="E658" s="106"/>
      <c r="F658" s="107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6"/>
    </row>
    <row r="659" ht="15.75" customHeight="1">
      <c r="A659" s="109"/>
      <c r="B659" s="104"/>
      <c r="C659" s="104"/>
      <c r="D659" s="105"/>
      <c r="E659" s="106"/>
      <c r="F659" s="107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6"/>
    </row>
    <row r="660" ht="15.75" customHeight="1">
      <c r="A660" s="109"/>
      <c r="B660" s="104"/>
      <c r="C660" s="104"/>
      <c r="D660" s="105"/>
      <c r="E660" s="106"/>
      <c r="F660" s="107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6"/>
    </row>
    <row r="661" ht="15.75" customHeight="1">
      <c r="A661" s="109"/>
      <c r="B661" s="104"/>
      <c r="C661" s="104"/>
      <c r="D661" s="105"/>
      <c r="E661" s="106"/>
      <c r="F661" s="107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6"/>
    </row>
    <row r="662" ht="15.75" customHeight="1">
      <c r="A662" s="109"/>
      <c r="B662" s="104"/>
      <c r="C662" s="104"/>
      <c r="D662" s="105"/>
      <c r="E662" s="106"/>
      <c r="F662" s="107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6"/>
    </row>
    <row r="663" ht="15.75" customHeight="1">
      <c r="A663" s="109"/>
      <c r="B663" s="104"/>
      <c r="C663" s="104"/>
      <c r="D663" s="105"/>
      <c r="E663" s="106"/>
      <c r="F663" s="107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6"/>
    </row>
    <row r="664" ht="15.75" customHeight="1">
      <c r="A664" s="109"/>
      <c r="B664" s="104"/>
      <c r="C664" s="104"/>
      <c r="D664" s="105"/>
      <c r="E664" s="106"/>
      <c r="F664" s="107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6"/>
    </row>
    <row r="665" ht="15.75" customHeight="1">
      <c r="A665" s="109"/>
      <c r="B665" s="104"/>
      <c r="C665" s="104"/>
      <c r="D665" s="105"/>
      <c r="E665" s="106"/>
      <c r="F665" s="107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6"/>
    </row>
    <row r="666" ht="15.75" customHeight="1">
      <c r="A666" s="109"/>
      <c r="B666" s="104"/>
      <c r="C666" s="104"/>
      <c r="D666" s="105"/>
      <c r="E666" s="106"/>
      <c r="F666" s="107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6"/>
    </row>
    <row r="667" ht="15.75" customHeight="1">
      <c r="A667" s="109"/>
      <c r="B667" s="104"/>
      <c r="C667" s="104"/>
      <c r="D667" s="105"/>
      <c r="E667" s="106"/>
      <c r="F667" s="107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6"/>
    </row>
    <row r="668" ht="15.75" customHeight="1">
      <c r="A668" s="109"/>
      <c r="B668" s="104"/>
      <c r="C668" s="104"/>
      <c r="D668" s="105"/>
      <c r="E668" s="106"/>
      <c r="F668" s="107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6"/>
    </row>
    <row r="669" ht="15.75" customHeight="1">
      <c r="A669" s="109"/>
      <c r="B669" s="104"/>
      <c r="C669" s="104"/>
      <c r="D669" s="105"/>
      <c r="E669" s="106"/>
      <c r="F669" s="107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6"/>
    </row>
    <row r="670" ht="15.75" customHeight="1">
      <c r="A670" s="109"/>
      <c r="B670" s="104"/>
      <c r="C670" s="104"/>
      <c r="D670" s="105"/>
      <c r="E670" s="106"/>
      <c r="F670" s="107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6"/>
    </row>
    <row r="671" ht="15.75" customHeight="1">
      <c r="A671" s="109"/>
      <c r="B671" s="104"/>
      <c r="C671" s="104"/>
      <c r="D671" s="105"/>
      <c r="E671" s="106"/>
      <c r="F671" s="107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6"/>
    </row>
    <row r="672" ht="15.75" customHeight="1">
      <c r="A672" s="109"/>
      <c r="B672" s="104"/>
      <c r="C672" s="104"/>
      <c r="D672" s="105"/>
      <c r="E672" s="106"/>
      <c r="F672" s="107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6"/>
    </row>
    <row r="673" ht="15.75" customHeight="1">
      <c r="A673" s="109"/>
      <c r="B673" s="104"/>
      <c r="C673" s="104"/>
      <c r="D673" s="105"/>
      <c r="E673" s="106"/>
      <c r="F673" s="107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6"/>
    </row>
    <row r="674" ht="15.75" customHeight="1">
      <c r="A674" s="109"/>
      <c r="B674" s="104"/>
      <c r="C674" s="104"/>
      <c r="D674" s="105"/>
      <c r="E674" s="106"/>
      <c r="F674" s="107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6"/>
    </row>
    <row r="675" ht="15.75" customHeight="1">
      <c r="A675" s="109"/>
      <c r="B675" s="104"/>
      <c r="C675" s="104"/>
      <c r="D675" s="105"/>
      <c r="E675" s="106"/>
      <c r="F675" s="107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6"/>
    </row>
    <row r="676" ht="15.75" customHeight="1">
      <c r="A676" s="109"/>
      <c r="B676" s="104"/>
      <c r="C676" s="104"/>
      <c r="D676" s="105"/>
      <c r="E676" s="106"/>
      <c r="F676" s="107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6"/>
    </row>
    <row r="677" ht="15.75" customHeight="1">
      <c r="A677" s="109"/>
      <c r="B677" s="104"/>
      <c r="C677" s="104"/>
      <c r="D677" s="105"/>
      <c r="E677" s="106"/>
      <c r="F677" s="107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6"/>
    </row>
    <row r="678" ht="15.75" customHeight="1">
      <c r="A678" s="109"/>
      <c r="B678" s="104"/>
      <c r="C678" s="104"/>
      <c r="D678" s="105"/>
      <c r="E678" s="106"/>
      <c r="F678" s="107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6"/>
    </row>
    <row r="679" ht="15.75" customHeight="1">
      <c r="A679" s="109"/>
      <c r="B679" s="104"/>
      <c r="C679" s="104"/>
      <c r="D679" s="105"/>
      <c r="E679" s="106"/>
      <c r="F679" s="107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6"/>
    </row>
    <row r="680" ht="15.75" customHeight="1">
      <c r="A680" s="109"/>
      <c r="B680" s="104"/>
      <c r="C680" s="104"/>
      <c r="D680" s="105"/>
      <c r="E680" s="106"/>
      <c r="F680" s="107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6"/>
    </row>
    <row r="681" ht="15.75" customHeight="1">
      <c r="A681" s="109"/>
      <c r="B681" s="104"/>
      <c r="C681" s="104"/>
      <c r="D681" s="105"/>
      <c r="E681" s="106"/>
      <c r="F681" s="107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6"/>
    </row>
    <row r="682" ht="15.75" customHeight="1">
      <c r="A682" s="109"/>
      <c r="B682" s="104"/>
      <c r="C682" s="104"/>
      <c r="D682" s="105"/>
      <c r="E682" s="106"/>
      <c r="F682" s="107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6"/>
    </row>
    <row r="683" ht="15.75" customHeight="1">
      <c r="A683" s="109"/>
      <c r="B683" s="104"/>
      <c r="C683" s="104"/>
      <c r="D683" s="105"/>
      <c r="E683" s="106"/>
      <c r="F683" s="107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6"/>
    </row>
    <row r="684" ht="15.75" customHeight="1">
      <c r="A684" s="109"/>
      <c r="B684" s="104"/>
      <c r="C684" s="104"/>
      <c r="D684" s="105"/>
      <c r="E684" s="106"/>
      <c r="F684" s="107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6"/>
    </row>
    <row r="685" ht="15.75" customHeight="1">
      <c r="A685" s="109"/>
      <c r="B685" s="104"/>
      <c r="C685" s="104"/>
      <c r="D685" s="105"/>
      <c r="E685" s="106"/>
      <c r="F685" s="107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6"/>
    </row>
    <row r="686" ht="15.75" customHeight="1">
      <c r="A686" s="109"/>
      <c r="B686" s="104"/>
      <c r="C686" s="104"/>
      <c r="D686" s="105"/>
      <c r="E686" s="106"/>
      <c r="F686" s="107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6"/>
    </row>
    <row r="687" ht="15.75" customHeight="1">
      <c r="A687" s="109"/>
      <c r="B687" s="104"/>
      <c r="C687" s="104"/>
      <c r="D687" s="105"/>
      <c r="E687" s="106"/>
      <c r="F687" s="107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6"/>
    </row>
    <row r="688" ht="15.75" customHeight="1">
      <c r="A688" s="109"/>
      <c r="B688" s="104"/>
      <c r="C688" s="104"/>
      <c r="D688" s="105"/>
      <c r="E688" s="106"/>
      <c r="F688" s="107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6"/>
    </row>
    <row r="689" ht="15.75" customHeight="1">
      <c r="A689" s="109"/>
      <c r="B689" s="104"/>
      <c r="C689" s="104"/>
      <c r="D689" s="105"/>
      <c r="E689" s="106"/>
      <c r="F689" s="107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6"/>
    </row>
    <row r="690" ht="15.75" customHeight="1">
      <c r="A690" s="109"/>
      <c r="B690" s="104"/>
      <c r="C690" s="104"/>
      <c r="D690" s="105"/>
      <c r="E690" s="106"/>
      <c r="F690" s="107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6"/>
    </row>
    <row r="691" ht="15.75" customHeight="1">
      <c r="A691" s="109"/>
      <c r="B691" s="104"/>
      <c r="C691" s="104"/>
      <c r="D691" s="105"/>
      <c r="E691" s="106"/>
      <c r="F691" s="107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6"/>
    </row>
    <row r="692" ht="15.75" customHeight="1">
      <c r="A692" s="109"/>
      <c r="B692" s="104"/>
      <c r="C692" s="104"/>
      <c r="D692" s="105"/>
      <c r="E692" s="106"/>
      <c r="F692" s="107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6"/>
    </row>
    <row r="693" ht="15.75" customHeight="1">
      <c r="A693" s="109"/>
      <c r="B693" s="104"/>
      <c r="C693" s="104"/>
      <c r="D693" s="105"/>
      <c r="E693" s="106"/>
      <c r="F693" s="107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6"/>
    </row>
    <row r="694" ht="15.75" customHeight="1">
      <c r="A694" s="109"/>
      <c r="B694" s="104"/>
      <c r="C694" s="104"/>
      <c r="D694" s="105"/>
      <c r="E694" s="106"/>
      <c r="F694" s="107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6"/>
    </row>
    <row r="695" ht="15.75" customHeight="1">
      <c r="A695" s="109"/>
      <c r="B695" s="104"/>
      <c r="C695" s="104"/>
      <c r="D695" s="105"/>
      <c r="E695" s="106"/>
      <c r="F695" s="107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6"/>
    </row>
    <row r="696" ht="15.75" customHeight="1">
      <c r="A696" s="109"/>
      <c r="B696" s="104"/>
      <c r="C696" s="104"/>
      <c r="D696" s="105"/>
      <c r="E696" s="106"/>
      <c r="F696" s="107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6"/>
    </row>
    <row r="697" ht="15.75" customHeight="1">
      <c r="A697" s="109"/>
      <c r="B697" s="104"/>
      <c r="C697" s="104"/>
      <c r="D697" s="105"/>
      <c r="E697" s="106"/>
      <c r="F697" s="107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6"/>
    </row>
    <row r="698" ht="15.75" customHeight="1">
      <c r="A698" s="109"/>
      <c r="B698" s="104"/>
      <c r="C698" s="104"/>
      <c r="D698" s="105"/>
      <c r="E698" s="106"/>
      <c r="F698" s="107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6"/>
    </row>
    <row r="699" ht="15.75" customHeight="1">
      <c r="A699" s="109"/>
      <c r="B699" s="104"/>
      <c r="C699" s="104"/>
      <c r="D699" s="105"/>
      <c r="E699" s="106"/>
      <c r="F699" s="107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6"/>
    </row>
    <row r="700" ht="15.75" customHeight="1">
      <c r="A700" s="109"/>
      <c r="B700" s="104"/>
      <c r="C700" s="104"/>
      <c r="D700" s="105"/>
      <c r="E700" s="106"/>
      <c r="F700" s="107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6"/>
    </row>
    <row r="701" ht="15.75" customHeight="1">
      <c r="A701" s="109"/>
      <c r="B701" s="104"/>
      <c r="C701" s="104"/>
      <c r="D701" s="105"/>
      <c r="E701" s="106"/>
      <c r="F701" s="107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6"/>
    </row>
    <row r="702" ht="15.75" customHeight="1">
      <c r="A702" s="109"/>
      <c r="B702" s="104"/>
      <c r="C702" s="104"/>
      <c r="D702" s="105"/>
      <c r="E702" s="106"/>
      <c r="F702" s="107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6"/>
    </row>
    <row r="703" ht="15.75" customHeight="1">
      <c r="A703" s="109"/>
      <c r="B703" s="104"/>
      <c r="C703" s="104"/>
      <c r="D703" s="105"/>
      <c r="E703" s="106"/>
      <c r="F703" s="107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6"/>
    </row>
    <row r="704" ht="15.75" customHeight="1">
      <c r="A704" s="109"/>
      <c r="B704" s="104"/>
      <c r="C704" s="104"/>
      <c r="D704" s="105"/>
      <c r="E704" s="106"/>
      <c r="F704" s="107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6"/>
    </row>
    <row r="705" ht="15.75" customHeight="1">
      <c r="A705" s="109"/>
      <c r="B705" s="104"/>
      <c r="C705" s="104"/>
      <c r="D705" s="105"/>
      <c r="E705" s="106"/>
      <c r="F705" s="107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6"/>
    </row>
    <row r="706" ht="15.75" customHeight="1">
      <c r="A706" s="109"/>
      <c r="B706" s="104"/>
      <c r="C706" s="104"/>
      <c r="D706" s="105"/>
      <c r="E706" s="106"/>
      <c r="F706" s="107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6"/>
    </row>
    <row r="707" ht="15.75" customHeight="1">
      <c r="A707" s="109"/>
      <c r="B707" s="104"/>
      <c r="C707" s="104"/>
      <c r="D707" s="105"/>
      <c r="E707" s="106"/>
      <c r="F707" s="107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6"/>
    </row>
    <row r="708" ht="15.75" customHeight="1">
      <c r="A708" s="109"/>
      <c r="B708" s="104"/>
      <c r="C708" s="104"/>
      <c r="D708" s="105"/>
      <c r="E708" s="106"/>
      <c r="F708" s="107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6"/>
    </row>
    <row r="709" ht="15.75" customHeight="1">
      <c r="A709" s="109"/>
      <c r="B709" s="104"/>
      <c r="C709" s="104"/>
      <c r="D709" s="105"/>
      <c r="E709" s="106"/>
      <c r="F709" s="107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6"/>
    </row>
    <row r="710" ht="15.75" customHeight="1">
      <c r="A710" s="109"/>
      <c r="B710" s="104"/>
      <c r="C710" s="104"/>
      <c r="D710" s="105"/>
      <c r="E710" s="106"/>
      <c r="F710" s="107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6"/>
    </row>
    <row r="711" ht="15.75" customHeight="1">
      <c r="A711" s="109"/>
      <c r="B711" s="104"/>
      <c r="C711" s="104"/>
      <c r="D711" s="105"/>
      <c r="E711" s="106"/>
      <c r="F711" s="107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6"/>
    </row>
    <row r="712" ht="15.75" customHeight="1">
      <c r="A712" s="109"/>
      <c r="B712" s="104"/>
      <c r="C712" s="104"/>
      <c r="D712" s="105"/>
      <c r="E712" s="106"/>
      <c r="F712" s="107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6"/>
    </row>
    <row r="713" ht="15.75" customHeight="1">
      <c r="A713" s="109"/>
      <c r="B713" s="104"/>
      <c r="C713" s="104"/>
      <c r="D713" s="105"/>
      <c r="E713" s="106"/>
      <c r="F713" s="107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6"/>
    </row>
    <row r="714" ht="15.75" customHeight="1">
      <c r="A714" s="109"/>
      <c r="B714" s="104"/>
      <c r="C714" s="104"/>
      <c r="D714" s="105"/>
      <c r="E714" s="106"/>
      <c r="F714" s="107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6"/>
    </row>
    <row r="715" ht="15.75" customHeight="1">
      <c r="A715" s="109"/>
      <c r="B715" s="104"/>
      <c r="C715" s="104"/>
      <c r="D715" s="105"/>
      <c r="E715" s="106"/>
      <c r="F715" s="107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6"/>
    </row>
    <row r="716" ht="15.75" customHeight="1">
      <c r="A716" s="109"/>
      <c r="B716" s="104"/>
      <c r="C716" s="104"/>
      <c r="D716" s="105"/>
      <c r="E716" s="106"/>
      <c r="F716" s="107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6"/>
    </row>
    <row r="717" ht="15.75" customHeight="1">
      <c r="A717" s="109"/>
      <c r="B717" s="104"/>
      <c r="C717" s="104"/>
      <c r="D717" s="105"/>
      <c r="E717" s="106"/>
      <c r="F717" s="107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6"/>
    </row>
    <row r="718" ht="15.75" customHeight="1">
      <c r="A718" s="109"/>
      <c r="B718" s="104"/>
      <c r="C718" s="104"/>
      <c r="D718" s="105"/>
      <c r="E718" s="106"/>
      <c r="F718" s="107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6"/>
    </row>
    <row r="719" ht="15.75" customHeight="1">
      <c r="A719" s="109"/>
      <c r="B719" s="104"/>
      <c r="C719" s="104"/>
      <c r="D719" s="105"/>
      <c r="E719" s="106"/>
      <c r="F719" s="107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6"/>
    </row>
    <row r="720" ht="15.75" customHeight="1">
      <c r="A720" s="109"/>
      <c r="B720" s="104"/>
      <c r="C720" s="104"/>
      <c r="D720" s="105"/>
      <c r="E720" s="106"/>
      <c r="F720" s="107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6"/>
    </row>
    <row r="721" ht="15.75" customHeight="1">
      <c r="A721" s="109"/>
      <c r="B721" s="104"/>
      <c r="C721" s="104"/>
      <c r="D721" s="105"/>
      <c r="E721" s="106"/>
      <c r="F721" s="107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6"/>
    </row>
    <row r="722" ht="15.75" customHeight="1">
      <c r="A722" s="109"/>
      <c r="B722" s="104"/>
      <c r="C722" s="104"/>
      <c r="D722" s="105"/>
      <c r="E722" s="106"/>
      <c r="F722" s="107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6"/>
    </row>
    <row r="723" ht="15.75" customHeight="1">
      <c r="A723" s="109"/>
      <c r="B723" s="104"/>
      <c r="C723" s="104"/>
      <c r="D723" s="105"/>
      <c r="E723" s="106"/>
      <c r="F723" s="107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6"/>
    </row>
    <row r="724" ht="15.75" customHeight="1">
      <c r="A724" s="109"/>
      <c r="B724" s="104"/>
      <c r="C724" s="104"/>
      <c r="D724" s="105"/>
      <c r="E724" s="106"/>
      <c r="F724" s="107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6"/>
    </row>
    <row r="725" ht="15.75" customHeight="1">
      <c r="A725" s="109"/>
      <c r="B725" s="104"/>
      <c r="C725" s="104"/>
      <c r="D725" s="105"/>
      <c r="E725" s="106"/>
      <c r="F725" s="107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6"/>
    </row>
    <row r="726" ht="15.75" customHeight="1">
      <c r="A726" s="109"/>
      <c r="B726" s="104"/>
      <c r="C726" s="104"/>
      <c r="D726" s="105"/>
      <c r="E726" s="106"/>
      <c r="F726" s="107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6"/>
    </row>
    <row r="727" ht="15.75" customHeight="1">
      <c r="A727" s="109"/>
      <c r="B727" s="104"/>
      <c r="C727" s="104"/>
      <c r="D727" s="105"/>
      <c r="E727" s="106"/>
      <c r="F727" s="107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6"/>
    </row>
    <row r="728" ht="15.75" customHeight="1">
      <c r="A728" s="109"/>
      <c r="B728" s="104"/>
      <c r="C728" s="104"/>
      <c r="D728" s="105"/>
      <c r="E728" s="106"/>
      <c r="F728" s="107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6"/>
    </row>
    <row r="729" ht="15.75" customHeight="1">
      <c r="A729" s="109"/>
      <c r="B729" s="104"/>
      <c r="C729" s="104"/>
      <c r="D729" s="105"/>
      <c r="E729" s="106"/>
      <c r="F729" s="107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6"/>
    </row>
    <row r="730" ht="15.75" customHeight="1">
      <c r="A730" s="109"/>
      <c r="B730" s="104"/>
      <c r="C730" s="104"/>
      <c r="D730" s="105"/>
      <c r="E730" s="106"/>
      <c r="F730" s="107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6"/>
    </row>
    <row r="731" ht="15.75" customHeight="1">
      <c r="A731" s="109"/>
      <c r="B731" s="104"/>
      <c r="C731" s="104"/>
      <c r="D731" s="105"/>
      <c r="E731" s="106"/>
      <c r="F731" s="107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6"/>
    </row>
    <row r="732" ht="15.75" customHeight="1">
      <c r="A732" s="109"/>
      <c r="B732" s="104"/>
      <c r="C732" s="104"/>
      <c r="D732" s="105"/>
      <c r="E732" s="106"/>
      <c r="F732" s="107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6"/>
    </row>
    <row r="733" ht="15.75" customHeight="1">
      <c r="A733" s="109"/>
      <c r="B733" s="104"/>
      <c r="C733" s="104"/>
      <c r="D733" s="105"/>
      <c r="E733" s="106"/>
      <c r="F733" s="107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6"/>
    </row>
    <row r="734" ht="15.75" customHeight="1">
      <c r="A734" s="109"/>
      <c r="B734" s="104"/>
      <c r="C734" s="104"/>
      <c r="D734" s="105"/>
      <c r="E734" s="106"/>
      <c r="F734" s="107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6"/>
    </row>
    <row r="735" ht="15.75" customHeight="1">
      <c r="A735" s="109"/>
      <c r="B735" s="104"/>
      <c r="C735" s="104"/>
      <c r="D735" s="105"/>
      <c r="E735" s="106"/>
      <c r="F735" s="107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6"/>
    </row>
    <row r="736" ht="15.75" customHeight="1">
      <c r="A736" s="109"/>
      <c r="B736" s="104"/>
      <c r="C736" s="104"/>
      <c r="D736" s="105"/>
      <c r="E736" s="106"/>
      <c r="F736" s="107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6"/>
    </row>
    <row r="737" ht="15.75" customHeight="1">
      <c r="A737" s="109"/>
      <c r="B737" s="104"/>
      <c r="C737" s="104"/>
      <c r="D737" s="105"/>
      <c r="E737" s="106"/>
      <c r="F737" s="107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6"/>
    </row>
    <row r="738" ht="15.75" customHeight="1">
      <c r="A738" s="109"/>
      <c r="B738" s="104"/>
      <c r="C738" s="104"/>
      <c r="D738" s="105"/>
      <c r="E738" s="106"/>
      <c r="F738" s="107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6"/>
    </row>
    <row r="739" ht="15.75" customHeight="1">
      <c r="A739" s="109"/>
      <c r="B739" s="104"/>
      <c r="C739" s="104"/>
      <c r="D739" s="105"/>
      <c r="E739" s="106"/>
      <c r="F739" s="107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6"/>
    </row>
    <row r="740" ht="15.75" customHeight="1">
      <c r="A740" s="109"/>
      <c r="B740" s="104"/>
      <c r="C740" s="104"/>
      <c r="D740" s="105"/>
      <c r="E740" s="106"/>
      <c r="F740" s="107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6"/>
    </row>
    <row r="741" ht="15.75" customHeight="1">
      <c r="A741" s="109"/>
      <c r="B741" s="104"/>
      <c r="C741" s="104"/>
      <c r="D741" s="105"/>
      <c r="E741" s="106"/>
      <c r="F741" s="107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6"/>
    </row>
    <row r="742" ht="15.75" customHeight="1">
      <c r="A742" s="109"/>
      <c r="B742" s="104"/>
      <c r="C742" s="104"/>
      <c r="D742" s="105"/>
      <c r="E742" s="106"/>
      <c r="F742" s="107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6"/>
    </row>
    <row r="743" ht="15.75" customHeight="1">
      <c r="A743" s="109"/>
      <c r="B743" s="104"/>
      <c r="C743" s="104"/>
      <c r="D743" s="105"/>
      <c r="E743" s="106"/>
      <c r="F743" s="107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6"/>
    </row>
    <row r="744" ht="15.75" customHeight="1">
      <c r="A744" s="109"/>
      <c r="B744" s="104"/>
      <c r="C744" s="104"/>
      <c r="D744" s="105"/>
      <c r="E744" s="106"/>
      <c r="F744" s="107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6"/>
    </row>
    <row r="745" ht="15.75" customHeight="1">
      <c r="A745" s="109"/>
      <c r="B745" s="104"/>
      <c r="C745" s="104"/>
      <c r="D745" s="105"/>
      <c r="E745" s="106"/>
      <c r="F745" s="107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6"/>
    </row>
    <row r="746" ht="15.75" customHeight="1">
      <c r="A746" s="109"/>
      <c r="B746" s="104"/>
      <c r="C746" s="104"/>
      <c r="D746" s="105"/>
      <c r="E746" s="106"/>
      <c r="F746" s="107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6"/>
    </row>
    <row r="747" ht="15.75" customHeight="1">
      <c r="A747" s="109"/>
      <c r="B747" s="104"/>
      <c r="C747" s="104"/>
      <c r="D747" s="105"/>
      <c r="E747" s="106"/>
      <c r="F747" s="107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6"/>
    </row>
    <row r="748" ht="15.75" customHeight="1">
      <c r="A748" s="109"/>
      <c r="B748" s="104"/>
      <c r="C748" s="104"/>
      <c r="D748" s="105"/>
      <c r="E748" s="106"/>
      <c r="F748" s="107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6"/>
    </row>
    <row r="749" ht="15.75" customHeight="1">
      <c r="A749" s="109"/>
      <c r="B749" s="104"/>
      <c r="C749" s="104"/>
      <c r="D749" s="105"/>
      <c r="E749" s="106"/>
      <c r="F749" s="107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6"/>
    </row>
    <row r="750" ht="15.75" customHeight="1">
      <c r="A750" s="109"/>
      <c r="B750" s="104"/>
      <c r="C750" s="104"/>
      <c r="D750" s="105"/>
      <c r="E750" s="106"/>
      <c r="F750" s="107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6"/>
    </row>
    <row r="751" ht="15.75" customHeight="1">
      <c r="A751" s="109"/>
      <c r="B751" s="104"/>
      <c r="C751" s="104"/>
      <c r="D751" s="105"/>
      <c r="E751" s="106"/>
      <c r="F751" s="107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6"/>
    </row>
    <row r="752" ht="15.75" customHeight="1">
      <c r="A752" s="109"/>
      <c r="B752" s="104"/>
      <c r="C752" s="104"/>
      <c r="D752" s="105"/>
      <c r="E752" s="106"/>
      <c r="F752" s="107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6"/>
    </row>
    <row r="753" ht="15.75" customHeight="1">
      <c r="A753" s="109"/>
      <c r="B753" s="104"/>
      <c r="C753" s="104"/>
      <c r="D753" s="105"/>
      <c r="E753" s="106"/>
      <c r="F753" s="107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6"/>
    </row>
    <row r="754" ht="15.75" customHeight="1">
      <c r="A754" s="109"/>
      <c r="B754" s="104"/>
      <c r="C754" s="104"/>
      <c r="D754" s="105"/>
      <c r="E754" s="106"/>
      <c r="F754" s="107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6"/>
    </row>
    <row r="755" ht="15.75" customHeight="1">
      <c r="A755" s="109"/>
      <c r="B755" s="104"/>
      <c r="C755" s="104"/>
      <c r="D755" s="105"/>
      <c r="E755" s="106"/>
      <c r="F755" s="107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6"/>
    </row>
    <row r="756" ht="15.75" customHeight="1">
      <c r="A756" s="109"/>
      <c r="B756" s="104"/>
      <c r="C756" s="104"/>
      <c r="D756" s="105"/>
      <c r="E756" s="106"/>
      <c r="F756" s="107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6"/>
    </row>
    <row r="757" ht="15.75" customHeight="1">
      <c r="A757" s="109"/>
      <c r="B757" s="104"/>
      <c r="C757" s="104"/>
      <c r="D757" s="105"/>
      <c r="E757" s="106"/>
      <c r="F757" s="107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6"/>
    </row>
    <row r="758" ht="15.75" customHeight="1">
      <c r="A758" s="109"/>
      <c r="B758" s="104"/>
      <c r="C758" s="104"/>
      <c r="D758" s="105"/>
      <c r="E758" s="106"/>
      <c r="F758" s="107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6"/>
    </row>
    <row r="759" ht="15.75" customHeight="1">
      <c r="A759" s="109"/>
      <c r="B759" s="104"/>
      <c r="C759" s="104"/>
      <c r="D759" s="105"/>
      <c r="E759" s="106"/>
      <c r="F759" s="107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6"/>
    </row>
    <row r="760" ht="15.75" customHeight="1">
      <c r="A760" s="109"/>
      <c r="B760" s="104"/>
      <c r="C760" s="104"/>
      <c r="D760" s="105"/>
      <c r="E760" s="106"/>
      <c r="F760" s="107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6"/>
    </row>
    <row r="761" ht="15.75" customHeight="1">
      <c r="A761" s="109"/>
      <c r="B761" s="104"/>
      <c r="C761" s="104"/>
      <c r="D761" s="105"/>
      <c r="E761" s="106"/>
      <c r="F761" s="107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6"/>
    </row>
    <row r="762" ht="15.75" customHeight="1">
      <c r="A762" s="109"/>
      <c r="B762" s="104"/>
      <c r="C762" s="104"/>
      <c r="D762" s="105"/>
      <c r="E762" s="106"/>
      <c r="F762" s="107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6"/>
    </row>
    <row r="763" ht="15.75" customHeight="1">
      <c r="A763" s="109"/>
      <c r="B763" s="104"/>
      <c r="C763" s="104"/>
      <c r="D763" s="105"/>
      <c r="E763" s="106"/>
      <c r="F763" s="107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6"/>
    </row>
    <row r="764" ht="15.75" customHeight="1">
      <c r="A764" s="109"/>
      <c r="B764" s="104"/>
      <c r="C764" s="104"/>
      <c r="D764" s="105"/>
      <c r="E764" s="106"/>
      <c r="F764" s="107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6"/>
    </row>
    <row r="765" ht="15.75" customHeight="1">
      <c r="A765" s="109"/>
      <c r="B765" s="104"/>
      <c r="C765" s="104"/>
      <c r="D765" s="105"/>
      <c r="E765" s="106"/>
      <c r="F765" s="107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6"/>
    </row>
    <row r="766" ht="15.75" customHeight="1">
      <c r="A766" s="109"/>
      <c r="B766" s="104"/>
      <c r="C766" s="104"/>
      <c r="D766" s="105"/>
      <c r="E766" s="106"/>
      <c r="F766" s="107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6"/>
    </row>
    <row r="767" ht="15.75" customHeight="1">
      <c r="A767" s="109"/>
      <c r="B767" s="104"/>
      <c r="C767" s="104"/>
      <c r="D767" s="105"/>
      <c r="E767" s="106"/>
      <c r="F767" s="107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6"/>
    </row>
    <row r="768" ht="15.75" customHeight="1">
      <c r="A768" s="109"/>
      <c r="B768" s="104"/>
      <c r="C768" s="104"/>
      <c r="D768" s="105"/>
      <c r="E768" s="106"/>
      <c r="F768" s="107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6"/>
    </row>
    <row r="769" ht="15.75" customHeight="1">
      <c r="A769" s="109"/>
      <c r="B769" s="104"/>
      <c r="C769" s="104"/>
      <c r="D769" s="105"/>
      <c r="E769" s="106"/>
      <c r="F769" s="107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6"/>
    </row>
    <row r="770" ht="15.75" customHeight="1">
      <c r="A770" s="109"/>
      <c r="B770" s="104"/>
      <c r="C770" s="104"/>
      <c r="D770" s="105"/>
      <c r="E770" s="106"/>
      <c r="F770" s="107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6"/>
    </row>
    <row r="771" ht="15.75" customHeight="1">
      <c r="A771" s="109"/>
      <c r="B771" s="104"/>
      <c r="C771" s="104"/>
      <c r="D771" s="105"/>
      <c r="E771" s="106"/>
      <c r="F771" s="107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6"/>
    </row>
    <row r="772" ht="15.75" customHeight="1">
      <c r="A772" s="109"/>
      <c r="B772" s="104"/>
      <c r="C772" s="104"/>
      <c r="D772" s="105"/>
      <c r="E772" s="106"/>
      <c r="F772" s="107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6"/>
    </row>
    <row r="773" ht="15.75" customHeight="1">
      <c r="A773" s="109"/>
      <c r="B773" s="104"/>
      <c r="C773" s="104"/>
      <c r="D773" s="105"/>
      <c r="E773" s="106"/>
      <c r="F773" s="107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6"/>
    </row>
    <row r="774" ht="15.75" customHeight="1">
      <c r="A774" s="109"/>
      <c r="B774" s="104"/>
      <c r="C774" s="104"/>
      <c r="D774" s="105"/>
      <c r="E774" s="106"/>
      <c r="F774" s="107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6"/>
    </row>
    <row r="775" ht="15.75" customHeight="1">
      <c r="A775" s="109"/>
      <c r="B775" s="104"/>
      <c r="C775" s="104"/>
      <c r="D775" s="105"/>
      <c r="E775" s="106"/>
      <c r="F775" s="107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6"/>
    </row>
    <row r="776" ht="15.75" customHeight="1">
      <c r="A776" s="109"/>
      <c r="B776" s="104"/>
      <c r="C776" s="104"/>
      <c r="D776" s="105"/>
      <c r="E776" s="106"/>
      <c r="F776" s="107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6"/>
    </row>
    <row r="777" ht="15.75" customHeight="1">
      <c r="A777" s="109"/>
      <c r="B777" s="104"/>
      <c r="C777" s="104"/>
      <c r="D777" s="105"/>
      <c r="E777" s="106"/>
      <c r="F777" s="107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6"/>
    </row>
    <row r="778" ht="15.75" customHeight="1">
      <c r="A778" s="109"/>
      <c r="B778" s="104"/>
      <c r="C778" s="104"/>
      <c r="D778" s="105"/>
      <c r="E778" s="106"/>
      <c r="F778" s="107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6"/>
    </row>
    <row r="779" ht="15.75" customHeight="1">
      <c r="A779" s="109"/>
      <c r="B779" s="104"/>
      <c r="C779" s="104"/>
      <c r="D779" s="105"/>
      <c r="E779" s="106"/>
      <c r="F779" s="107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6"/>
    </row>
    <row r="780" ht="15.75" customHeight="1">
      <c r="A780" s="109"/>
      <c r="B780" s="104"/>
      <c r="C780" s="104"/>
      <c r="D780" s="105"/>
      <c r="E780" s="106"/>
      <c r="F780" s="107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6"/>
    </row>
    <row r="781" ht="15.75" customHeight="1">
      <c r="A781" s="109"/>
      <c r="B781" s="104"/>
      <c r="C781" s="104"/>
      <c r="D781" s="105"/>
      <c r="E781" s="106"/>
      <c r="F781" s="107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6"/>
    </row>
    <row r="782" ht="15.75" customHeight="1">
      <c r="A782" s="109"/>
      <c r="B782" s="104"/>
      <c r="C782" s="104"/>
      <c r="D782" s="105"/>
      <c r="E782" s="106"/>
      <c r="F782" s="107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6"/>
    </row>
    <row r="783" ht="15.75" customHeight="1">
      <c r="A783" s="109"/>
      <c r="B783" s="104"/>
      <c r="C783" s="104"/>
      <c r="D783" s="105"/>
      <c r="E783" s="106"/>
      <c r="F783" s="107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6"/>
    </row>
    <row r="784" ht="15.75" customHeight="1">
      <c r="A784" s="109"/>
      <c r="B784" s="104"/>
      <c r="C784" s="104"/>
      <c r="D784" s="105"/>
      <c r="E784" s="106"/>
      <c r="F784" s="107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6"/>
    </row>
    <row r="785" ht="15.75" customHeight="1">
      <c r="A785" s="109"/>
      <c r="B785" s="104"/>
      <c r="C785" s="104"/>
      <c r="D785" s="105"/>
      <c r="E785" s="106"/>
      <c r="F785" s="107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6"/>
    </row>
    <row r="786" ht="15.75" customHeight="1">
      <c r="A786" s="109"/>
      <c r="B786" s="104"/>
      <c r="C786" s="104"/>
      <c r="D786" s="105"/>
      <c r="E786" s="106"/>
      <c r="F786" s="107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6"/>
    </row>
    <row r="787" ht="15.75" customHeight="1">
      <c r="A787" s="109"/>
      <c r="B787" s="104"/>
      <c r="C787" s="104"/>
      <c r="D787" s="105"/>
      <c r="E787" s="106"/>
      <c r="F787" s="107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6"/>
    </row>
    <row r="788" ht="15.75" customHeight="1">
      <c r="A788" s="109"/>
      <c r="B788" s="104"/>
      <c r="C788" s="104"/>
      <c r="D788" s="105"/>
      <c r="E788" s="106"/>
      <c r="F788" s="107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6"/>
    </row>
    <row r="789" ht="15.75" customHeight="1">
      <c r="A789" s="109"/>
      <c r="B789" s="104"/>
      <c r="C789" s="104"/>
      <c r="D789" s="105"/>
      <c r="E789" s="106"/>
      <c r="F789" s="107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6"/>
    </row>
    <row r="790" ht="15.75" customHeight="1">
      <c r="A790" s="109"/>
      <c r="B790" s="104"/>
      <c r="C790" s="104"/>
      <c r="D790" s="105"/>
      <c r="E790" s="106"/>
      <c r="F790" s="107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6"/>
    </row>
    <row r="791" ht="15.75" customHeight="1">
      <c r="A791" s="109"/>
      <c r="B791" s="104"/>
      <c r="C791" s="104"/>
      <c r="D791" s="105"/>
      <c r="E791" s="106"/>
      <c r="F791" s="107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6"/>
    </row>
    <row r="792" ht="15.75" customHeight="1">
      <c r="A792" s="109"/>
      <c r="B792" s="104"/>
      <c r="C792" s="104"/>
      <c r="D792" s="105"/>
      <c r="E792" s="106"/>
      <c r="F792" s="107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6"/>
    </row>
    <row r="793" ht="15.75" customHeight="1">
      <c r="A793" s="109"/>
      <c r="B793" s="104"/>
      <c r="C793" s="104"/>
      <c r="D793" s="105"/>
      <c r="E793" s="106"/>
      <c r="F793" s="107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6"/>
    </row>
    <row r="794" ht="15.75" customHeight="1">
      <c r="A794" s="109"/>
      <c r="B794" s="104"/>
      <c r="C794" s="104"/>
      <c r="D794" s="105"/>
      <c r="E794" s="106"/>
      <c r="F794" s="107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6"/>
    </row>
    <row r="795" ht="15.75" customHeight="1">
      <c r="A795" s="109"/>
      <c r="B795" s="104"/>
      <c r="C795" s="104"/>
      <c r="D795" s="105"/>
      <c r="E795" s="106"/>
      <c r="F795" s="107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6"/>
    </row>
    <row r="796" ht="15.75" customHeight="1">
      <c r="A796" s="109"/>
      <c r="B796" s="104"/>
      <c r="C796" s="104"/>
      <c r="D796" s="105"/>
      <c r="E796" s="106"/>
      <c r="F796" s="107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6"/>
    </row>
    <row r="797" ht="15.75" customHeight="1">
      <c r="A797" s="109"/>
      <c r="B797" s="104"/>
      <c r="C797" s="104"/>
      <c r="D797" s="105"/>
      <c r="E797" s="106"/>
      <c r="F797" s="107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6"/>
    </row>
    <row r="798" ht="15.75" customHeight="1">
      <c r="A798" s="109"/>
      <c r="B798" s="104"/>
      <c r="C798" s="104"/>
      <c r="D798" s="105"/>
      <c r="E798" s="106"/>
      <c r="F798" s="107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6"/>
    </row>
    <row r="799" ht="15.75" customHeight="1">
      <c r="A799" s="109"/>
      <c r="B799" s="104"/>
      <c r="C799" s="104"/>
      <c r="D799" s="105"/>
      <c r="E799" s="106"/>
      <c r="F799" s="107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6"/>
    </row>
    <row r="800" ht="15.75" customHeight="1">
      <c r="A800" s="109"/>
      <c r="B800" s="104"/>
      <c r="C800" s="104"/>
      <c r="D800" s="105"/>
      <c r="E800" s="106"/>
      <c r="F800" s="107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6"/>
    </row>
    <row r="801" ht="15.75" customHeight="1">
      <c r="A801" s="109"/>
      <c r="B801" s="104"/>
      <c r="C801" s="104"/>
      <c r="D801" s="105"/>
      <c r="E801" s="106"/>
      <c r="F801" s="107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6"/>
    </row>
    <row r="802" ht="15.75" customHeight="1">
      <c r="A802" s="109"/>
      <c r="B802" s="104"/>
      <c r="C802" s="104"/>
      <c r="D802" s="105"/>
      <c r="E802" s="106"/>
      <c r="F802" s="107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6"/>
    </row>
    <row r="803" ht="15.75" customHeight="1">
      <c r="A803" s="109"/>
      <c r="B803" s="104"/>
      <c r="C803" s="104"/>
      <c r="D803" s="105"/>
      <c r="E803" s="106"/>
      <c r="F803" s="107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6"/>
    </row>
    <row r="804" ht="15.75" customHeight="1">
      <c r="A804" s="109"/>
      <c r="B804" s="104"/>
      <c r="C804" s="104"/>
      <c r="D804" s="105"/>
      <c r="E804" s="106"/>
      <c r="F804" s="107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6"/>
    </row>
    <row r="805" ht="15.75" customHeight="1">
      <c r="A805" s="109"/>
      <c r="B805" s="104"/>
      <c r="C805" s="104"/>
      <c r="D805" s="105"/>
      <c r="E805" s="106"/>
      <c r="F805" s="107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6"/>
    </row>
    <row r="806" ht="15.75" customHeight="1">
      <c r="A806" s="109"/>
      <c r="B806" s="104"/>
      <c r="C806" s="104"/>
      <c r="D806" s="105"/>
      <c r="E806" s="106"/>
      <c r="F806" s="107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6"/>
    </row>
    <row r="807" ht="15.75" customHeight="1">
      <c r="A807" s="109"/>
      <c r="B807" s="104"/>
      <c r="C807" s="104"/>
      <c r="D807" s="105"/>
      <c r="E807" s="106"/>
      <c r="F807" s="107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6"/>
    </row>
    <row r="808" ht="15.75" customHeight="1">
      <c r="A808" s="109"/>
      <c r="B808" s="104"/>
      <c r="C808" s="104"/>
      <c r="D808" s="105"/>
      <c r="E808" s="106"/>
      <c r="F808" s="107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6"/>
    </row>
    <row r="809" ht="15.75" customHeight="1">
      <c r="A809" s="109"/>
      <c r="B809" s="104"/>
      <c r="C809" s="104"/>
      <c r="D809" s="105"/>
      <c r="E809" s="106"/>
      <c r="F809" s="107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6"/>
    </row>
    <row r="810" ht="15.75" customHeight="1">
      <c r="A810" s="109"/>
      <c r="B810" s="104"/>
      <c r="C810" s="104"/>
      <c r="D810" s="105"/>
      <c r="E810" s="106"/>
      <c r="F810" s="107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6"/>
    </row>
    <row r="811" ht="15.75" customHeight="1">
      <c r="A811" s="109"/>
      <c r="B811" s="104"/>
      <c r="C811" s="104"/>
      <c r="D811" s="105"/>
      <c r="E811" s="106"/>
      <c r="F811" s="107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6"/>
    </row>
    <row r="812" ht="15.75" customHeight="1">
      <c r="A812" s="109"/>
      <c r="B812" s="104"/>
      <c r="C812" s="104"/>
      <c r="D812" s="105"/>
      <c r="E812" s="106"/>
      <c r="F812" s="107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6"/>
    </row>
    <row r="813" ht="15.75" customHeight="1">
      <c r="A813" s="109"/>
      <c r="B813" s="104"/>
      <c r="C813" s="104"/>
      <c r="D813" s="105"/>
      <c r="E813" s="106"/>
      <c r="F813" s="107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6"/>
    </row>
    <row r="814" ht="15.75" customHeight="1">
      <c r="A814" s="109"/>
      <c r="B814" s="104"/>
      <c r="C814" s="104"/>
      <c r="D814" s="105"/>
      <c r="E814" s="106"/>
      <c r="F814" s="107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6"/>
    </row>
    <row r="815" ht="15.75" customHeight="1">
      <c r="A815" s="109"/>
      <c r="B815" s="104"/>
      <c r="C815" s="104"/>
      <c r="D815" s="105"/>
      <c r="E815" s="106"/>
      <c r="F815" s="107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6"/>
    </row>
    <row r="816" ht="15.75" customHeight="1">
      <c r="A816" s="109"/>
      <c r="B816" s="104"/>
      <c r="C816" s="104"/>
      <c r="D816" s="105"/>
      <c r="E816" s="106"/>
      <c r="F816" s="107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6"/>
    </row>
    <row r="817" ht="15.75" customHeight="1">
      <c r="A817" s="109"/>
      <c r="B817" s="104"/>
      <c r="C817" s="104"/>
      <c r="D817" s="105"/>
      <c r="E817" s="106"/>
      <c r="F817" s="107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6"/>
    </row>
    <row r="818" ht="15.75" customHeight="1">
      <c r="A818" s="109"/>
      <c r="B818" s="104"/>
      <c r="C818" s="104"/>
      <c r="D818" s="105"/>
      <c r="E818" s="106"/>
      <c r="F818" s="107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6"/>
    </row>
    <row r="819" ht="15.75" customHeight="1">
      <c r="A819" s="109"/>
      <c r="B819" s="104"/>
      <c r="C819" s="104"/>
      <c r="D819" s="105"/>
      <c r="E819" s="106"/>
      <c r="F819" s="107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6"/>
    </row>
    <row r="820" ht="15.75" customHeight="1">
      <c r="A820" s="109"/>
      <c r="B820" s="104"/>
      <c r="C820" s="104"/>
      <c r="D820" s="105"/>
      <c r="E820" s="106"/>
      <c r="F820" s="107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6"/>
    </row>
    <row r="821" ht="15.75" customHeight="1">
      <c r="A821" s="109"/>
      <c r="B821" s="104"/>
      <c r="C821" s="104"/>
      <c r="D821" s="105"/>
      <c r="E821" s="106"/>
      <c r="F821" s="107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6"/>
    </row>
    <row r="822" ht="15.75" customHeight="1">
      <c r="A822" s="109"/>
      <c r="B822" s="104"/>
      <c r="C822" s="104"/>
      <c r="D822" s="105"/>
      <c r="E822" s="106"/>
      <c r="F822" s="107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6"/>
    </row>
    <row r="823" ht="15.75" customHeight="1">
      <c r="A823" s="109"/>
      <c r="B823" s="104"/>
      <c r="C823" s="104"/>
      <c r="D823" s="105"/>
      <c r="E823" s="106"/>
      <c r="F823" s="107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6"/>
    </row>
    <row r="824" ht="15.75" customHeight="1">
      <c r="A824" s="109"/>
      <c r="B824" s="104"/>
      <c r="C824" s="104"/>
      <c r="D824" s="105"/>
      <c r="E824" s="106"/>
      <c r="F824" s="107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6"/>
    </row>
    <row r="825" ht="15.75" customHeight="1">
      <c r="A825" s="109"/>
      <c r="B825" s="104"/>
      <c r="C825" s="104"/>
      <c r="D825" s="105"/>
      <c r="E825" s="106"/>
      <c r="F825" s="107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6"/>
    </row>
    <row r="826" ht="15.75" customHeight="1">
      <c r="A826" s="109"/>
      <c r="B826" s="104"/>
      <c r="C826" s="104"/>
      <c r="D826" s="105"/>
      <c r="E826" s="106"/>
      <c r="F826" s="107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6"/>
    </row>
    <row r="827" ht="15.75" customHeight="1">
      <c r="A827" s="109"/>
      <c r="B827" s="104"/>
      <c r="C827" s="104"/>
      <c r="D827" s="105"/>
      <c r="E827" s="106"/>
      <c r="F827" s="107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6"/>
    </row>
    <row r="828" ht="15.75" customHeight="1">
      <c r="A828" s="109"/>
      <c r="B828" s="104"/>
      <c r="C828" s="104"/>
      <c r="D828" s="105"/>
      <c r="E828" s="106"/>
      <c r="F828" s="107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6"/>
    </row>
    <row r="829" ht="15.75" customHeight="1">
      <c r="A829" s="109"/>
      <c r="B829" s="104"/>
      <c r="C829" s="104"/>
      <c r="D829" s="105"/>
      <c r="E829" s="106"/>
      <c r="F829" s="107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6"/>
    </row>
    <row r="830" ht="15.75" customHeight="1">
      <c r="A830" s="109"/>
      <c r="B830" s="104"/>
      <c r="C830" s="104"/>
      <c r="D830" s="105"/>
      <c r="E830" s="106"/>
      <c r="F830" s="107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6"/>
    </row>
    <row r="831" ht="15.75" customHeight="1">
      <c r="A831" s="109"/>
      <c r="B831" s="104"/>
      <c r="C831" s="104"/>
      <c r="D831" s="105"/>
      <c r="E831" s="106"/>
      <c r="F831" s="107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6"/>
    </row>
    <row r="832" ht="15.75" customHeight="1">
      <c r="A832" s="109"/>
      <c r="B832" s="104"/>
      <c r="C832" s="104"/>
      <c r="D832" s="105"/>
      <c r="E832" s="106"/>
      <c r="F832" s="107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6"/>
    </row>
    <row r="833" ht="15.75" customHeight="1">
      <c r="A833" s="109"/>
      <c r="B833" s="104"/>
      <c r="C833" s="104"/>
      <c r="D833" s="105"/>
      <c r="E833" s="106"/>
      <c r="F833" s="107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6"/>
    </row>
    <row r="834" ht="15.75" customHeight="1">
      <c r="A834" s="109"/>
      <c r="B834" s="104"/>
      <c r="C834" s="104"/>
      <c r="D834" s="105"/>
      <c r="E834" s="106"/>
      <c r="F834" s="107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6"/>
    </row>
    <row r="835" ht="15.75" customHeight="1">
      <c r="A835" s="109"/>
      <c r="B835" s="104"/>
      <c r="C835" s="104"/>
      <c r="D835" s="105"/>
      <c r="E835" s="106"/>
      <c r="F835" s="107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6"/>
    </row>
    <row r="836" ht="15.75" customHeight="1">
      <c r="A836" s="109"/>
      <c r="B836" s="104"/>
      <c r="C836" s="104"/>
      <c r="D836" s="105"/>
      <c r="E836" s="106"/>
      <c r="F836" s="107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6"/>
    </row>
    <row r="837" ht="15.75" customHeight="1">
      <c r="A837" s="109"/>
      <c r="B837" s="104"/>
      <c r="C837" s="104"/>
      <c r="D837" s="105"/>
      <c r="E837" s="106"/>
      <c r="F837" s="107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6"/>
    </row>
    <row r="838" ht="15.75" customHeight="1">
      <c r="A838" s="109"/>
      <c r="B838" s="104"/>
      <c r="C838" s="104"/>
      <c r="D838" s="105"/>
      <c r="E838" s="106"/>
      <c r="F838" s="107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6"/>
    </row>
    <row r="839" ht="15.75" customHeight="1">
      <c r="A839" s="109"/>
      <c r="B839" s="104"/>
      <c r="C839" s="104"/>
      <c r="D839" s="105"/>
      <c r="E839" s="106"/>
      <c r="F839" s="107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6"/>
    </row>
    <row r="840" ht="15.75" customHeight="1">
      <c r="A840" s="109"/>
      <c r="B840" s="104"/>
      <c r="C840" s="104"/>
      <c r="D840" s="105"/>
      <c r="E840" s="106"/>
      <c r="F840" s="107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6"/>
    </row>
    <row r="841" ht="15.75" customHeight="1">
      <c r="A841" s="109"/>
      <c r="B841" s="104"/>
      <c r="C841" s="104"/>
      <c r="D841" s="105"/>
      <c r="E841" s="106"/>
      <c r="F841" s="107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6"/>
    </row>
    <row r="842" ht="15.75" customHeight="1">
      <c r="A842" s="109"/>
      <c r="B842" s="104"/>
      <c r="C842" s="104"/>
      <c r="D842" s="105"/>
      <c r="E842" s="106"/>
      <c r="F842" s="107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6"/>
    </row>
    <row r="843" ht="15.75" customHeight="1">
      <c r="A843" s="109"/>
      <c r="B843" s="104"/>
      <c r="C843" s="104"/>
      <c r="D843" s="105"/>
      <c r="E843" s="106"/>
      <c r="F843" s="107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6"/>
    </row>
    <row r="844" ht="15.75" customHeight="1">
      <c r="A844" s="109"/>
      <c r="B844" s="104"/>
      <c r="C844" s="104"/>
      <c r="D844" s="105"/>
      <c r="E844" s="106"/>
      <c r="F844" s="107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6"/>
    </row>
    <row r="845" ht="15.75" customHeight="1">
      <c r="A845" s="109"/>
      <c r="B845" s="104"/>
      <c r="C845" s="104"/>
      <c r="D845" s="105"/>
      <c r="E845" s="106"/>
      <c r="F845" s="107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6"/>
    </row>
    <row r="846" ht="15.75" customHeight="1">
      <c r="A846" s="109"/>
      <c r="B846" s="104"/>
      <c r="C846" s="104"/>
      <c r="D846" s="105"/>
      <c r="E846" s="106"/>
      <c r="F846" s="107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6"/>
    </row>
    <row r="847" ht="15.75" customHeight="1">
      <c r="A847" s="109"/>
      <c r="B847" s="104"/>
      <c r="C847" s="104"/>
      <c r="D847" s="105"/>
      <c r="E847" s="106"/>
      <c r="F847" s="107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6"/>
    </row>
    <row r="848" ht="15.75" customHeight="1">
      <c r="A848" s="109"/>
      <c r="B848" s="104"/>
      <c r="C848" s="104"/>
      <c r="D848" s="105"/>
      <c r="E848" s="106"/>
      <c r="F848" s="107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6"/>
    </row>
    <row r="849" ht="15.75" customHeight="1">
      <c r="A849" s="109"/>
      <c r="B849" s="104"/>
      <c r="C849" s="104"/>
      <c r="D849" s="105"/>
      <c r="E849" s="106"/>
      <c r="F849" s="107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6"/>
    </row>
    <row r="850" ht="15.75" customHeight="1">
      <c r="A850" s="109"/>
      <c r="B850" s="104"/>
      <c r="C850" s="104"/>
      <c r="D850" s="105"/>
      <c r="E850" s="106"/>
      <c r="F850" s="107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6"/>
    </row>
    <row r="851" ht="15.75" customHeight="1">
      <c r="A851" s="109"/>
      <c r="B851" s="104"/>
      <c r="C851" s="104"/>
      <c r="D851" s="105"/>
      <c r="E851" s="106"/>
      <c r="F851" s="107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6"/>
    </row>
    <row r="852" ht="15.75" customHeight="1">
      <c r="A852" s="109"/>
      <c r="B852" s="104"/>
      <c r="C852" s="104"/>
      <c r="D852" s="105"/>
      <c r="E852" s="106"/>
      <c r="F852" s="107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6"/>
    </row>
    <row r="853" ht="15.75" customHeight="1">
      <c r="A853" s="109"/>
      <c r="B853" s="104"/>
      <c r="C853" s="104"/>
      <c r="D853" s="105"/>
      <c r="E853" s="106"/>
      <c r="F853" s="107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6"/>
    </row>
    <row r="854" ht="15.75" customHeight="1">
      <c r="A854" s="109"/>
      <c r="B854" s="104"/>
      <c r="C854" s="104"/>
      <c r="D854" s="105"/>
      <c r="E854" s="106"/>
      <c r="F854" s="107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6"/>
    </row>
    <row r="855" ht="15.75" customHeight="1">
      <c r="A855" s="109"/>
      <c r="B855" s="104"/>
      <c r="C855" s="104"/>
      <c r="D855" s="105"/>
      <c r="E855" s="106"/>
      <c r="F855" s="107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6"/>
    </row>
    <row r="856" ht="15.75" customHeight="1">
      <c r="A856" s="109"/>
      <c r="B856" s="104"/>
      <c r="C856" s="104"/>
      <c r="D856" s="105"/>
      <c r="E856" s="106"/>
      <c r="F856" s="107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6"/>
    </row>
    <row r="857" ht="15.75" customHeight="1">
      <c r="A857" s="109"/>
      <c r="B857" s="104"/>
      <c r="C857" s="104"/>
      <c r="D857" s="105"/>
      <c r="E857" s="106"/>
      <c r="F857" s="107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6"/>
    </row>
    <row r="858" ht="15.75" customHeight="1">
      <c r="A858" s="109"/>
      <c r="B858" s="104"/>
      <c r="C858" s="104"/>
      <c r="D858" s="105"/>
      <c r="E858" s="106"/>
      <c r="F858" s="107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6"/>
    </row>
    <row r="859" ht="15.75" customHeight="1">
      <c r="A859" s="109"/>
      <c r="B859" s="104"/>
      <c r="C859" s="104"/>
      <c r="D859" s="105"/>
      <c r="E859" s="106"/>
      <c r="F859" s="107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6"/>
    </row>
    <row r="860" ht="15.75" customHeight="1">
      <c r="A860" s="109"/>
      <c r="B860" s="104"/>
      <c r="C860" s="104"/>
      <c r="D860" s="105"/>
      <c r="E860" s="106"/>
      <c r="F860" s="107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6"/>
    </row>
    <row r="861" ht="15.75" customHeight="1">
      <c r="A861" s="109"/>
      <c r="B861" s="104"/>
      <c r="C861" s="104"/>
      <c r="D861" s="105"/>
      <c r="E861" s="106"/>
      <c r="F861" s="107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6"/>
    </row>
    <row r="862" ht="15.75" customHeight="1">
      <c r="A862" s="109"/>
      <c r="B862" s="104"/>
      <c r="C862" s="104"/>
      <c r="D862" s="105"/>
      <c r="E862" s="106"/>
      <c r="F862" s="107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6"/>
    </row>
    <row r="863" ht="15.75" customHeight="1">
      <c r="A863" s="109"/>
      <c r="B863" s="104"/>
      <c r="C863" s="104"/>
      <c r="D863" s="105"/>
      <c r="E863" s="106"/>
      <c r="F863" s="107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6"/>
    </row>
    <row r="864" ht="15.75" customHeight="1">
      <c r="A864" s="109"/>
      <c r="B864" s="104"/>
      <c r="C864" s="104"/>
      <c r="D864" s="105"/>
      <c r="E864" s="106"/>
      <c r="F864" s="107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6"/>
    </row>
    <row r="865" ht="15.75" customHeight="1">
      <c r="A865" s="109"/>
      <c r="B865" s="104"/>
      <c r="C865" s="104"/>
      <c r="D865" s="105"/>
      <c r="E865" s="106"/>
      <c r="F865" s="107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6"/>
    </row>
    <row r="866" ht="15.75" customHeight="1">
      <c r="A866" s="109"/>
      <c r="B866" s="104"/>
      <c r="C866" s="104"/>
      <c r="D866" s="105"/>
      <c r="E866" s="106"/>
      <c r="F866" s="107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6"/>
    </row>
    <row r="867" ht="15.75" customHeight="1">
      <c r="A867" s="109"/>
      <c r="B867" s="104"/>
      <c r="C867" s="104"/>
      <c r="D867" s="105"/>
      <c r="E867" s="106"/>
      <c r="F867" s="107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6"/>
    </row>
    <row r="868" ht="15.75" customHeight="1">
      <c r="A868" s="109"/>
      <c r="B868" s="104"/>
      <c r="C868" s="104"/>
      <c r="D868" s="105"/>
      <c r="E868" s="106"/>
      <c r="F868" s="107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6"/>
    </row>
    <row r="869" ht="15.75" customHeight="1">
      <c r="A869" s="109"/>
      <c r="B869" s="104"/>
      <c r="C869" s="104"/>
      <c r="D869" s="105"/>
      <c r="E869" s="106"/>
      <c r="F869" s="107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6"/>
    </row>
    <row r="870" ht="15.75" customHeight="1">
      <c r="A870" s="109"/>
      <c r="B870" s="104"/>
      <c r="C870" s="104"/>
      <c r="D870" s="105"/>
      <c r="E870" s="106"/>
      <c r="F870" s="107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6"/>
    </row>
    <row r="871" ht="15.75" customHeight="1">
      <c r="A871" s="109"/>
      <c r="B871" s="104"/>
      <c r="C871" s="104"/>
      <c r="D871" s="105"/>
      <c r="E871" s="106"/>
      <c r="F871" s="107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6"/>
    </row>
    <row r="872" ht="15.75" customHeight="1">
      <c r="A872" s="109"/>
      <c r="B872" s="104"/>
      <c r="C872" s="104"/>
      <c r="D872" s="105"/>
      <c r="E872" s="106"/>
      <c r="F872" s="107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6"/>
    </row>
    <row r="873" ht="15.75" customHeight="1">
      <c r="A873" s="109"/>
      <c r="B873" s="104"/>
      <c r="C873" s="104"/>
      <c r="D873" s="105"/>
      <c r="E873" s="106"/>
      <c r="F873" s="107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6"/>
    </row>
    <row r="874" ht="15.75" customHeight="1">
      <c r="A874" s="109"/>
      <c r="B874" s="104"/>
      <c r="C874" s="104"/>
      <c r="D874" s="105"/>
      <c r="E874" s="106"/>
      <c r="F874" s="107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6"/>
    </row>
    <row r="875" ht="15.75" customHeight="1">
      <c r="A875" s="109"/>
      <c r="B875" s="104"/>
      <c r="C875" s="104"/>
      <c r="D875" s="105"/>
      <c r="E875" s="106"/>
      <c r="F875" s="107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6"/>
    </row>
    <row r="876" ht="15.75" customHeight="1">
      <c r="A876" s="109"/>
      <c r="B876" s="104"/>
      <c r="C876" s="104"/>
      <c r="D876" s="105"/>
      <c r="E876" s="106"/>
      <c r="F876" s="107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6"/>
    </row>
    <row r="877" ht="15.75" customHeight="1">
      <c r="A877" s="109"/>
      <c r="B877" s="104"/>
      <c r="C877" s="104"/>
      <c r="D877" s="105"/>
      <c r="E877" s="106"/>
      <c r="F877" s="107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6"/>
    </row>
    <row r="878" ht="15.75" customHeight="1">
      <c r="A878" s="109"/>
      <c r="B878" s="104"/>
      <c r="C878" s="104"/>
      <c r="D878" s="105"/>
      <c r="E878" s="106"/>
      <c r="F878" s="107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6"/>
    </row>
    <row r="879" ht="15.75" customHeight="1">
      <c r="A879" s="109"/>
      <c r="B879" s="104"/>
      <c r="C879" s="104"/>
      <c r="D879" s="105"/>
      <c r="E879" s="106"/>
      <c r="F879" s="107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6"/>
    </row>
    <row r="880" ht="15.75" customHeight="1">
      <c r="A880" s="109"/>
      <c r="B880" s="104"/>
      <c r="C880" s="104"/>
      <c r="D880" s="105"/>
      <c r="E880" s="106"/>
      <c r="F880" s="107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6"/>
    </row>
    <row r="881" ht="15.75" customHeight="1">
      <c r="A881" s="109"/>
      <c r="B881" s="104"/>
      <c r="C881" s="104"/>
      <c r="D881" s="105"/>
      <c r="E881" s="106"/>
      <c r="F881" s="107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6"/>
    </row>
    <row r="882" ht="15.75" customHeight="1">
      <c r="A882" s="109"/>
      <c r="B882" s="104"/>
      <c r="C882" s="104"/>
      <c r="D882" s="105"/>
      <c r="E882" s="106"/>
      <c r="F882" s="107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6"/>
    </row>
    <row r="883" ht="15.75" customHeight="1">
      <c r="A883" s="109"/>
      <c r="B883" s="104"/>
      <c r="C883" s="104"/>
      <c r="D883" s="105"/>
      <c r="E883" s="106"/>
      <c r="F883" s="107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6"/>
    </row>
    <row r="884" ht="15.75" customHeight="1">
      <c r="A884" s="109"/>
      <c r="B884" s="104"/>
      <c r="C884" s="104"/>
      <c r="D884" s="105"/>
      <c r="E884" s="106"/>
      <c r="F884" s="107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6"/>
    </row>
    <row r="885" ht="15.75" customHeight="1">
      <c r="A885" s="109"/>
      <c r="B885" s="104"/>
      <c r="C885" s="104"/>
      <c r="D885" s="105"/>
      <c r="E885" s="106"/>
      <c r="F885" s="107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6"/>
    </row>
    <row r="886" ht="15.75" customHeight="1">
      <c r="A886" s="109"/>
      <c r="B886" s="104"/>
      <c r="C886" s="104"/>
      <c r="D886" s="105"/>
      <c r="E886" s="106"/>
      <c r="F886" s="107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6"/>
    </row>
    <row r="887" ht="15.75" customHeight="1">
      <c r="A887" s="109"/>
      <c r="B887" s="104"/>
      <c r="C887" s="104"/>
      <c r="D887" s="105"/>
      <c r="E887" s="106"/>
      <c r="F887" s="107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6"/>
    </row>
    <row r="888" ht="15.75" customHeight="1">
      <c r="A888" s="109"/>
      <c r="B888" s="104"/>
      <c r="C888" s="104"/>
      <c r="D888" s="105"/>
      <c r="E888" s="106"/>
      <c r="F888" s="107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6"/>
    </row>
    <row r="889" ht="15.75" customHeight="1">
      <c r="A889" s="109"/>
      <c r="B889" s="104"/>
      <c r="C889" s="104"/>
      <c r="D889" s="105"/>
      <c r="E889" s="106"/>
      <c r="F889" s="107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6"/>
    </row>
    <row r="890" ht="15.75" customHeight="1">
      <c r="A890" s="109"/>
      <c r="B890" s="104"/>
      <c r="C890" s="104"/>
      <c r="D890" s="105"/>
      <c r="E890" s="106"/>
      <c r="F890" s="107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6"/>
    </row>
    <row r="891" ht="15.75" customHeight="1">
      <c r="A891" s="109"/>
      <c r="B891" s="104"/>
      <c r="C891" s="104"/>
      <c r="D891" s="105"/>
      <c r="E891" s="106"/>
      <c r="F891" s="107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6"/>
    </row>
    <row r="892" ht="15.75" customHeight="1">
      <c r="A892" s="109"/>
      <c r="B892" s="104"/>
      <c r="C892" s="104"/>
      <c r="D892" s="105"/>
      <c r="E892" s="106"/>
      <c r="F892" s="107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6"/>
    </row>
    <row r="893" ht="15.75" customHeight="1">
      <c r="A893" s="109"/>
      <c r="B893" s="104"/>
      <c r="C893" s="104"/>
      <c r="D893" s="105"/>
      <c r="E893" s="106"/>
      <c r="F893" s="107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6"/>
    </row>
    <row r="894" ht="15.75" customHeight="1">
      <c r="A894" s="109"/>
      <c r="B894" s="104"/>
      <c r="C894" s="104"/>
      <c r="D894" s="105"/>
      <c r="E894" s="106"/>
      <c r="F894" s="107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6"/>
    </row>
    <row r="895" ht="15.75" customHeight="1">
      <c r="A895" s="109"/>
      <c r="B895" s="104"/>
      <c r="C895" s="104"/>
      <c r="D895" s="105"/>
      <c r="E895" s="106"/>
      <c r="F895" s="107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6"/>
    </row>
    <row r="896" ht="15.75" customHeight="1">
      <c r="A896" s="109"/>
      <c r="B896" s="104"/>
      <c r="C896" s="104"/>
      <c r="D896" s="105"/>
      <c r="E896" s="106"/>
      <c r="F896" s="107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6"/>
    </row>
    <row r="897" ht="15.75" customHeight="1">
      <c r="A897" s="109"/>
      <c r="B897" s="104"/>
      <c r="C897" s="104"/>
      <c r="D897" s="105"/>
      <c r="E897" s="106"/>
      <c r="F897" s="107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6"/>
    </row>
    <row r="898" ht="15.75" customHeight="1">
      <c r="A898" s="109"/>
      <c r="B898" s="104"/>
      <c r="C898" s="104"/>
      <c r="D898" s="105"/>
      <c r="E898" s="106"/>
      <c r="F898" s="107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6"/>
    </row>
    <row r="899" ht="15.75" customHeight="1">
      <c r="A899" s="109"/>
      <c r="B899" s="104"/>
      <c r="C899" s="104"/>
      <c r="D899" s="105"/>
      <c r="E899" s="106"/>
      <c r="F899" s="107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6"/>
    </row>
    <row r="900" ht="15.75" customHeight="1">
      <c r="A900" s="109"/>
      <c r="B900" s="104"/>
      <c r="C900" s="104"/>
      <c r="D900" s="105"/>
      <c r="E900" s="106"/>
      <c r="F900" s="107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6"/>
    </row>
    <row r="901" ht="15.75" customHeight="1">
      <c r="A901" s="109"/>
      <c r="B901" s="104"/>
      <c r="C901" s="104"/>
      <c r="D901" s="105"/>
      <c r="E901" s="106"/>
      <c r="F901" s="107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6"/>
    </row>
    <row r="902" ht="15.75" customHeight="1">
      <c r="A902" s="109"/>
      <c r="B902" s="104"/>
      <c r="C902" s="104"/>
      <c r="D902" s="105"/>
      <c r="E902" s="106"/>
      <c r="F902" s="107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6"/>
    </row>
    <row r="903" ht="15.75" customHeight="1">
      <c r="A903" s="109"/>
      <c r="B903" s="104"/>
      <c r="C903" s="104"/>
      <c r="D903" s="105"/>
      <c r="E903" s="106"/>
      <c r="F903" s="107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6"/>
    </row>
    <row r="904" ht="15.75" customHeight="1">
      <c r="A904" s="109"/>
      <c r="B904" s="104"/>
      <c r="C904" s="104"/>
      <c r="D904" s="105"/>
      <c r="E904" s="106"/>
      <c r="F904" s="107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6"/>
    </row>
    <row r="905" ht="15.75" customHeight="1">
      <c r="A905" s="109"/>
      <c r="B905" s="104"/>
      <c r="C905" s="104"/>
      <c r="D905" s="105"/>
      <c r="E905" s="106"/>
      <c r="F905" s="107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6"/>
    </row>
    <row r="906" ht="15.75" customHeight="1">
      <c r="A906" s="109"/>
      <c r="B906" s="104"/>
      <c r="C906" s="104"/>
      <c r="D906" s="105"/>
      <c r="E906" s="106"/>
      <c r="F906" s="107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6"/>
    </row>
    <row r="907" ht="15.75" customHeight="1">
      <c r="A907" s="109"/>
      <c r="B907" s="104"/>
      <c r="C907" s="104"/>
      <c r="D907" s="105"/>
      <c r="E907" s="106"/>
      <c r="F907" s="107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6"/>
    </row>
    <row r="908" ht="15.75" customHeight="1">
      <c r="A908" s="109"/>
      <c r="B908" s="104"/>
      <c r="C908" s="104"/>
      <c r="D908" s="105"/>
      <c r="E908" s="106"/>
      <c r="F908" s="107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6"/>
    </row>
    <row r="909" ht="15.75" customHeight="1">
      <c r="A909" s="109"/>
      <c r="B909" s="104"/>
      <c r="C909" s="104"/>
      <c r="D909" s="105"/>
      <c r="E909" s="106"/>
      <c r="F909" s="107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6"/>
    </row>
    <row r="910" ht="15.75" customHeight="1">
      <c r="A910" s="109"/>
      <c r="B910" s="104"/>
      <c r="C910" s="104"/>
      <c r="D910" s="105"/>
      <c r="E910" s="106"/>
      <c r="F910" s="107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6"/>
    </row>
    <row r="911" ht="15.75" customHeight="1">
      <c r="A911" s="109"/>
      <c r="B911" s="104"/>
      <c r="C911" s="104"/>
      <c r="D911" s="105"/>
      <c r="E911" s="106"/>
      <c r="F911" s="107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6"/>
    </row>
    <row r="912" ht="15.75" customHeight="1">
      <c r="A912" s="109"/>
      <c r="B912" s="104"/>
      <c r="C912" s="104"/>
      <c r="D912" s="105"/>
      <c r="E912" s="106"/>
      <c r="F912" s="107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6"/>
    </row>
    <row r="913" ht="15.75" customHeight="1">
      <c r="A913" s="109"/>
      <c r="B913" s="104"/>
      <c r="C913" s="104"/>
      <c r="D913" s="105"/>
      <c r="E913" s="106"/>
      <c r="F913" s="107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6"/>
    </row>
    <row r="914" ht="15.75" customHeight="1">
      <c r="A914" s="109"/>
      <c r="B914" s="104"/>
      <c r="C914" s="104"/>
      <c r="D914" s="105"/>
      <c r="E914" s="106"/>
      <c r="F914" s="107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6"/>
    </row>
    <row r="915" ht="15.75" customHeight="1">
      <c r="A915" s="109"/>
      <c r="B915" s="104"/>
      <c r="C915" s="104"/>
      <c r="D915" s="105"/>
      <c r="E915" s="106"/>
      <c r="F915" s="107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6"/>
    </row>
    <row r="916" ht="15.75" customHeight="1">
      <c r="A916" s="109"/>
      <c r="B916" s="104"/>
      <c r="C916" s="104"/>
      <c r="D916" s="105"/>
      <c r="E916" s="106"/>
      <c r="F916" s="107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6"/>
    </row>
    <row r="917" ht="15.75" customHeight="1">
      <c r="A917" s="109"/>
      <c r="B917" s="104"/>
      <c r="C917" s="104"/>
      <c r="D917" s="105"/>
      <c r="E917" s="106"/>
      <c r="F917" s="107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6"/>
    </row>
    <row r="918" ht="15.75" customHeight="1">
      <c r="A918" s="109"/>
      <c r="B918" s="104"/>
      <c r="C918" s="104"/>
      <c r="D918" s="105"/>
      <c r="E918" s="106"/>
      <c r="F918" s="107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6"/>
    </row>
    <row r="919" ht="15.75" customHeight="1">
      <c r="A919" s="109"/>
      <c r="B919" s="104"/>
      <c r="C919" s="104"/>
      <c r="D919" s="105"/>
      <c r="E919" s="106"/>
      <c r="F919" s="107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6"/>
    </row>
    <row r="920" ht="15.75" customHeight="1">
      <c r="A920" s="109"/>
      <c r="B920" s="104"/>
      <c r="C920" s="104"/>
      <c r="D920" s="105"/>
      <c r="E920" s="106"/>
      <c r="F920" s="107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6"/>
    </row>
    <row r="921" ht="15.75" customHeight="1">
      <c r="A921" s="109"/>
      <c r="B921" s="104"/>
      <c r="C921" s="104"/>
      <c r="D921" s="105"/>
      <c r="E921" s="106"/>
      <c r="F921" s="107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6"/>
    </row>
    <row r="922" ht="15.75" customHeight="1">
      <c r="A922" s="109"/>
      <c r="B922" s="104"/>
      <c r="C922" s="104"/>
      <c r="D922" s="105"/>
      <c r="E922" s="106"/>
      <c r="F922" s="107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6"/>
    </row>
    <row r="923" ht="15.75" customHeight="1">
      <c r="A923" s="109"/>
      <c r="B923" s="104"/>
      <c r="C923" s="104"/>
      <c r="D923" s="105"/>
      <c r="E923" s="106"/>
      <c r="F923" s="107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6"/>
    </row>
    <row r="924" ht="15.75" customHeight="1">
      <c r="A924" s="109"/>
      <c r="B924" s="104"/>
      <c r="C924" s="104"/>
      <c r="D924" s="105"/>
      <c r="E924" s="106"/>
      <c r="F924" s="107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6"/>
    </row>
    <row r="925" ht="15.75" customHeight="1">
      <c r="A925" s="109"/>
      <c r="B925" s="104"/>
      <c r="C925" s="104"/>
      <c r="D925" s="105"/>
      <c r="E925" s="106"/>
      <c r="F925" s="107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6"/>
    </row>
    <row r="926" ht="15.75" customHeight="1">
      <c r="A926" s="109"/>
      <c r="B926" s="104"/>
      <c r="C926" s="104"/>
      <c r="D926" s="105"/>
      <c r="E926" s="106"/>
      <c r="F926" s="107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6"/>
    </row>
    <row r="927" ht="15.75" customHeight="1">
      <c r="A927" s="109"/>
      <c r="B927" s="104"/>
      <c r="C927" s="104"/>
      <c r="D927" s="105"/>
      <c r="E927" s="106"/>
      <c r="F927" s="107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6"/>
    </row>
    <row r="928" ht="15.75" customHeight="1">
      <c r="A928" s="109"/>
      <c r="B928" s="104"/>
      <c r="C928" s="104"/>
      <c r="D928" s="105"/>
      <c r="E928" s="106"/>
      <c r="F928" s="107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6"/>
    </row>
    <row r="929" ht="15.75" customHeight="1">
      <c r="A929" s="109"/>
      <c r="B929" s="104"/>
      <c r="C929" s="104"/>
      <c r="D929" s="105"/>
      <c r="E929" s="106"/>
      <c r="F929" s="107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6"/>
    </row>
    <row r="930" ht="15.75" customHeight="1">
      <c r="A930" s="109"/>
      <c r="B930" s="104"/>
      <c r="C930" s="104"/>
      <c r="D930" s="105"/>
      <c r="E930" s="106"/>
      <c r="F930" s="107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6"/>
    </row>
    <row r="931" ht="15.75" customHeight="1">
      <c r="A931" s="109"/>
      <c r="B931" s="104"/>
      <c r="C931" s="104"/>
      <c r="D931" s="105"/>
      <c r="E931" s="106"/>
      <c r="F931" s="107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6"/>
    </row>
    <row r="932" ht="15.75" customHeight="1">
      <c r="A932" s="109"/>
      <c r="B932" s="104"/>
      <c r="C932" s="104"/>
      <c r="D932" s="105"/>
      <c r="E932" s="106"/>
      <c r="F932" s="107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6"/>
    </row>
    <row r="933" ht="15.75" customHeight="1">
      <c r="A933" s="109"/>
      <c r="B933" s="104"/>
      <c r="C933" s="104"/>
      <c r="D933" s="105"/>
      <c r="E933" s="106"/>
      <c r="F933" s="107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6"/>
    </row>
    <row r="934" ht="15.75" customHeight="1">
      <c r="A934" s="109"/>
      <c r="B934" s="104"/>
      <c r="C934" s="104"/>
      <c r="D934" s="105"/>
      <c r="E934" s="106"/>
      <c r="F934" s="107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6"/>
    </row>
    <row r="935" ht="15.75" customHeight="1">
      <c r="A935" s="109"/>
      <c r="B935" s="104"/>
      <c r="C935" s="104"/>
      <c r="D935" s="105"/>
      <c r="E935" s="106"/>
      <c r="F935" s="107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6"/>
    </row>
    <row r="936" ht="15.75" customHeight="1">
      <c r="A936" s="109"/>
      <c r="B936" s="104"/>
      <c r="C936" s="104"/>
      <c r="D936" s="105"/>
      <c r="E936" s="106"/>
      <c r="F936" s="107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6"/>
    </row>
    <row r="937" ht="15.75" customHeight="1">
      <c r="A937" s="109"/>
      <c r="B937" s="104"/>
      <c r="C937" s="104"/>
      <c r="D937" s="105"/>
      <c r="E937" s="106"/>
      <c r="F937" s="107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6"/>
    </row>
    <row r="938" ht="15.75" customHeight="1">
      <c r="A938" s="109"/>
      <c r="B938" s="104"/>
      <c r="C938" s="104"/>
      <c r="D938" s="105"/>
      <c r="E938" s="106"/>
      <c r="F938" s="107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6"/>
    </row>
    <row r="939" ht="15.75" customHeight="1">
      <c r="A939" s="109"/>
      <c r="B939" s="104"/>
      <c r="C939" s="104"/>
      <c r="D939" s="105"/>
      <c r="E939" s="106"/>
      <c r="F939" s="107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6"/>
    </row>
    <row r="940" ht="15.75" customHeight="1">
      <c r="A940" s="109"/>
      <c r="B940" s="104"/>
      <c r="C940" s="104"/>
      <c r="D940" s="105"/>
      <c r="E940" s="106"/>
      <c r="F940" s="107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6"/>
    </row>
    <row r="941" ht="15.75" customHeight="1">
      <c r="A941" s="109"/>
      <c r="B941" s="104"/>
      <c r="C941" s="104"/>
      <c r="D941" s="105"/>
      <c r="E941" s="106"/>
      <c r="F941" s="107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6"/>
    </row>
    <row r="942" ht="15.75" customHeight="1">
      <c r="A942" s="109"/>
      <c r="B942" s="104"/>
      <c r="C942" s="104"/>
      <c r="D942" s="105"/>
      <c r="E942" s="106"/>
      <c r="F942" s="107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6"/>
    </row>
    <row r="943" ht="15.75" customHeight="1">
      <c r="A943" s="109"/>
      <c r="B943" s="104"/>
      <c r="C943" s="104"/>
      <c r="D943" s="105"/>
      <c r="E943" s="106"/>
      <c r="F943" s="107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6"/>
    </row>
    <row r="944" ht="15.75" customHeight="1">
      <c r="A944" s="109"/>
      <c r="B944" s="104"/>
      <c r="C944" s="104"/>
      <c r="D944" s="105"/>
      <c r="E944" s="106"/>
      <c r="F944" s="107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6"/>
    </row>
    <row r="945" ht="15.75" customHeight="1">
      <c r="A945" s="109"/>
      <c r="B945" s="104"/>
      <c r="C945" s="104"/>
      <c r="D945" s="105"/>
      <c r="E945" s="106"/>
      <c r="F945" s="107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6"/>
    </row>
    <row r="946" ht="15.75" customHeight="1">
      <c r="A946" s="109"/>
      <c r="B946" s="104"/>
      <c r="C946" s="104"/>
      <c r="D946" s="105"/>
      <c r="E946" s="106"/>
      <c r="F946" s="107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6"/>
    </row>
    <row r="947" ht="15.75" customHeight="1">
      <c r="A947" s="109"/>
      <c r="B947" s="104"/>
      <c r="C947" s="104"/>
      <c r="D947" s="105"/>
      <c r="E947" s="106"/>
      <c r="F947" s="107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6"/>
    </row>
    <row r="948" ht="15.75" customHeight="1">
      <c r="A948" s="109"/>
      <c r="B948" s="104"/>
      <c r="C948" s="104"/>
      <c r="D948" s="105"/>
      <c r="E948" s="106"/>
      <c r="F948" s="107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6"/>
    </row>
    <row r="949" ht="15.75" customHeight="1">
      <c r="A949" s="109"/>
      <c r="B949" s="104"/>
      <c r="C949" s="104"/>
      <c r="D949" s="105"/>
      <c r="E949" s="106"/>
      <c r="F949" s="107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6"/>
    </row>
    <row r="950" ht="15.75" customHeight="1">
      <c r="A950" s="109"/>
      <c r="B950" s="104"/>
      <c r="C950" s="104"/>
      <c r="D950" s="105"/>
      <c r="E950" s="106"/>
      <c r="F950" s="107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6"/>
    </row>
    <row r="951" ht="15.75" customHeight="1">
      <c r="A951" s="109"/>
      <c r="B951" s="104"/>
      <c r="C951" s="104"/>
      <c r="D951" s="105"/>
      <c r="E951" s="106"/>
      <c r="F951" s="107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6"/>
    </row>
    <row r="952" ht="15.75" customHeight="1">
      <c r="A952" s="109"/>
      <c r="B952" s="104"/>
      <c r="C952" s="104"/>
      <c r="D952" s="105"/>
      <c r="E952" s="106"/>
      <c r="F952" s="107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6"/>
    </row>
    <row r="953" ht="15.75" customHeight="1">
      <c r="A953" s="109"/>
      <c r="B953" s="104"/>
      <c r="C953" s="104"/>
      <c r="D953" s="105"/>
      <c r="E953" s="106"/>
      <c r="F953" s="107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6"/>
    </row>
    <row r="954" ht="15.75" customHeight="1">
      <c r="A954" s="109"/>
      <c r="B954" s="104"/>
      <c r="C954" s="104"/>
      <c r="D954" s="105"/>
      <c r="E954" s="106"/>
      <c r="F954" s="107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6"/>
    </row>
    <row r="955" ht="15.75" customHeight="1">
      <c r="A955" s="109"/>
      <c r="B955" s="104"/>
      <c r="C955" s="104"/>
      <c r="D955" s="105"/>
      <c r="E955" s="106"/>
      <c r="F955" s="107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6"/>
    </row>
    <row r="956" ht="15.75" customHeight="1">
      <c r="A956" s="109"/>
      <c r="B956" s="104"/>
      <c r="C956" s="104"/>
      <c r="D956" s="105"/>
      <c r="E956" s="106"/>
      <c r="F956" s="107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6"/>
    </row>
    <row r="957" ht="15.75" customHeight="1">
      <c r="A957" s="109"/>
      <c r="B957" s="104"/>
      <c r="C957" s="104"/>
      <c r="D957" s="105"/>
      <c r="E957" s="106"/>
      <c r="F957" s="107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6"/>
    </row>
    <row r="958" ht="15.75" customHeight="1">
      <c r="A958" s="109"/>
      <c r="B958" s="104"/>
      <c r="C958" s="104"/>
      <c r="D958" s="105"/>
      <c r="E958" s="106"/>
      <c r="F958" s="107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6"/>
    </row>
    <row r="959" ht="15.75" customHeight="1">
      <c r="A959" s="109"/>
      <c r="B959" s="104"/>
      <c r="C959" s="104"/>
      <c r="D959" s="105"/>
      <c r="E959" s="106"/>
      <c r="F959" s="107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6"/>
    </row>
    <row r="960" ht="15.75" customHeight="1">
      <c r="A960" s="109"/>
      <c r="B960" s="104"/>
      <c r="C960" s="104"/>
      <c r="D960" s="105"/>
      <c r="E960" s="106"/>
      <c r="F960" s="107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6"/>
    </row>
    <row r="961" ht="15.75" customHeight="1">
      <c r="A961" s="109"/>
      <c r="B961" s="104"/>
      <c r="C961" s="104"/>
      <c r="D961" s="105"/>
      <c r="E961" s="106"/>
      <c r="F961" s="107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6"/>
    </row>
    <row r="962" ht="15.75" customHeight="1">
      <c r="A962" s="109"/>
      <c r="B962" s="104"/>
      <c r="C962" s="104"/>
      <c r="D962" s="105"/>
      <c r="E962" s="106"/>
      <c r="F962" s="107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6"/>
    </row>
    <row r="963" ht="15.75" customHeight="1">
      <c r="A963" s="109"/>
      <c r="B963" s="104"/>
      <c r="C963" s="104"/>
      <c r="D963" s="105"/>
      <c r="E963" s="106"/>
      <c r="F963" s="107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6"/>
    </row>
    <row r="964" ht="15.75" customHeight="1">
      <c r="A964" s="109"/>
      <c r="B964" s="104"/>
      <c r="C964" s="104"/>
      <c r="D964" s="105"/>
      <c r="E964" s="106"/>
      <c r="F964" s="107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6"/>
    </row>
    <row r="965" ht="15.75" customHeight="1">
      <c r="A965" s="109"/>
      <c r="B965" s="104"/>
      <c r="C965" s="104"/>
      <c r="D965" s="105"/>
      <c r="E965" s="106"/>
      <c r="F965" s="107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6"/>
    </row>
    <row r="966" ht="15.75" customHeight="1">
      <c r="A966" s="109"/>
      <c r="B966" s="104"/>
      <c r="C966" s="104"/>
      <c r="D966" s="105"/>
      <c r="E966" s="106"/>
      <c r="F966" s="107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6"/>
    </row>
    <row r="967" ht="15.75" customHeight="1">
      <c r="A967" s="109"/>
      <c r="B967" s="104"/>
      <c r="C967" s="104"/>
      <c r="D967" s="105"/>
      <c r="E967" s="106"/>
      <c r="F967" s="107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6"/>
    </row>
    <row r="968" ht="15.75" customHeight="1">
      <c r="A968" s="109"/>
      <c r="B968" s="104"/>
      <c r="C968" s="104"/>
      <c r="D968" s="105"/>
      <c r="E968" s="106"/>
      <c r="F968" s="107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6"/>
    </row>
    <row r="969" ht="15.75" customHeight="1">
      <c r="A969" s="109"/>
      <c r="B969" s="104"/>
      <c r="C969" s="104"/>
      <c r="D969" s="105"/>
      <c r="E969" s="106"/>
      <c r="F969" s="107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6"/>
    </row>
    <row r="970" ht="15.75" customHeight="1">
      <c r="A970" s="109"/>
      <c r="B970" s="104"/>
      <c r="C970" s="104"/>
      <c r="D970" s="105"/>
      <c r="E970" s="106"/>
      <c r="F970" s="107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6"/>
    </row>
    <row r="971" ht="15.75" customHeight="1">
      <c r="A971" s="109"/>
      <c r="B971" s="104"/>
      <c r="C971" s="104"/>
      <c r="D971" s="105"/>
      <c r="E971" s="106"/>
      <c r="F971" s="107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6"/>
    </row>
    <row r="972" ht="15.75" customHeight="1">
      <c r="A972" s="109"/>
      <c r="B972" s="104"/>
      <c r="C972" s="104"/>
      <c r="D972" s="105"/>
      <c r="E972" s="106"/>
      <c r="F972" s="107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6"/>
    </row>
    <row r="973" ht="15.75" customHeight="1">
      <c r="A973" s="109"/>
      <c r="B973" s="104"/>
      <c r="C973" s="104"/>
      <c r="D973" s="105"/>
      <c r="E973" s="106"/>
      <c r="F973" s="107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6"/>
    </row>
    <row r="974" ht="15.75" customHeight="1">
      <c r="A974" s="109"/>
      <c r="B974" s="104"/>
      <c r="C974" s="104"/>
      <c r="D974" s="105"/>
      <c r="E974" s="106"/>
      <c r="F974" s="107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6"/>
    </row>
    <row r="975" ht="15.75" customHeight="1">
      <c r="A975" s="109"/>
      <c r="B975" s="104"/>
      <c r="C975" s="104"/>
      <c r="D975" s="105"/>
      <c r="E975" s="106"/>
      <c r="F975" s="107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6"/>
    </row>
    <row r="976" ht="15.75" customHeight="1">
      <c r="A976" s="109"/>
      <c r="B976" s="104"/>
      <c r="C976" s="104"/>
      <c r="D976" s="105"/>
      <c r="E976" s="106"/>
      <c r="F976" s="107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6"/>
    </row>
    <row r="977" ht="15.75" customHeight="1">
      <c r="A977" s="109"/>
      <c r="B977" s="104"/>
      <c r="C977" s="104"/>
      <c r="D977" s="105"/>
      <c r="E977" s="106"/>
      <c r="F977" s="107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6"/>
    </row>
    <row r="978" ht="15.75" customHeight="1">
      <c r="A978" s="109"/>
      <c r="B978" s="104"/>
      <c r="C978" s="104"/>
      <c r="D978" s="105"/>
      <c r="E978" s="106"/>
      <c r="F978" s="107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6"/>
    </row>
    <row r="979" ht="15.75" customHeight="1">
      <c r="A979" s="109"/>
      <c r="B979" s="104"/>
      <c r="C979" s="104"/>
      <c r="D979" s="105"/>
      <c r="E979" s="106"/>
      <c r="F979" s="107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6"/>
    </row>
    <row r="980" ht="15.75" customHeight="1">
      <c r="A980" s="109"/>
      <c r="B980" s="104"/>
      <c r="C980" s="104"/>
      <c r="D980" s="105"/>
      <c r="E980" s="106"/>
      <c r="F980" s="107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6"/>
    </row>
    <row r="981" ht="15.75" customHeight="1">
      <c r="A981" s="109"/>
      <c r="B981" s="104"/>
      <c r="C981" s="104"/>
      <c r="D981" s="105"/>
      <c r="E981" s="106"/>
      <c r="F981" s="107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6"/>
    </row>
    <row r="982" ht="15.75" customHeight="1">
      <c r="A982" s="109"/>
      <c r="B982" s="104"/>
      <c r="C982" s="104"/>
      <c r="D982" s="105"/>
      <c r="E982" s="106"/>
      <c r="F982" s="107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6"/>
    </row>
    <row r="983" ht="15.75" customHeight="1">
      <c r="A983" s="109"/>
      <c r="B983" s="104"/>
      <c r="C983" s="104"/>
      <c r="D983" s="105"/>
      <c r="E983" s="106"/>
      <c r="F983" s="107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6"/>
    </row>
    <row r="984" ht="15.75" customHeight="1">
      <c r="A984" s="109"/>
      <c r="B984" s="104"/>
      <c r="C984" s="104"/>
      <c r="D984" s="105"/>
      <c r="E984" s="106"/>
      <c r="F984" s="107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6"/>
    </row>
    <row r="985" ht="15.75" customHeight="1">
      <c r="A985" s="109"/>
      <c r="B985" s="104"/>
      <c r="C985" s="104"/>
      <c r="D985" s="105"/>
      <c r="E985" s="106"/>
      <c r="F985" s="107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6"/>
    </row>
    <row r="986" ht="15.75" customHeight="1">
      <c r="A986" s="109"/>
      <c r="B986" s="104"/>
      <c r="C986" s="104"/>
      <c r="D986" s="105"/>
      <c r="E986" s="106"/>
      <c r="F986" s="107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6"/>
    </row>
    <row r="987" ht="15.75" customHeight="1">
      <c r="A987" s="109"/>
      <c r="B987" s="104"/>
      <c r="C987" s="104"/>
      <c r="D987" s="105"/>
      <c r="E987" s="106"/>
      <c r="F987" s="107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6"/>
    </row>
    <row r="988" ht="15.75" customHeight="1">
      <c r="A988" s="109"/>
      <c r="B988" s="104"/>
      <c r="C988" s="104"/>
      <c r="D988" s="105"/>
      <c r="E988" s="106"/>
      <c r="F988" s="107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6"/>
    </row>
    <row r="989" ht="15.75" customHeight="1">
      <c r="A989" s="109"/>
      <c r="B989" s="104"/>
      <c r="C989" s="104"/>
      <c r="D989" s="105"/>
      <c r="E989" s="106"/>
      <c r="F989" s="107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6"/>
    </row>
    <row r="990" ht="15.75" customHeight="1">
      <c r="A990" s="109"/>
      <c r="B990" s="104"/>
      <c r="C990" s="104"/>
      <c r="D990" s="105"/>
      <c r="E990" s="106"/>
      <c r="F990" s="107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6"/>
    </row>
    <row r="991" ht="15.75" customHeight="1">
      <c r="A991" s="109"/>
      <c r="B991" s="104"/>
      <c r="C991" s="104"/>
      <c r="D991" s="105"/>
      <c r="E991" s="106"/>
      <c r="F991" s="107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6"/>
    </row>
    <row r="992" ht="15.75" customHeight="1">
      <c r="A992" s="109"/>
      <c r="B992" s="104"/>
      <c r="C992" s="104"/>
      <c r="D992" s="105"/>
      <c r="E992" s="106"/>
      <c r="F992" s="107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6"/>
    </row>
    <row r="993" ht="15.75" customHeight="1">
      <c r="A993" s="109"/>
      <c r="B993" s="104"/>
      <c r="C993" s="104"/>
      <c r="D993" s="105"/>
      <c r="E993" s="106"/>
      <c r="F993" s="107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6"/>
    </row>
    <row r="994" ht="15.75" customHeight="1">
      <c r="A994" s="109"/>
      <c r="B994" s="104"/>
      <c r="C994" s="104"/>
      <c r="D994" s="105"/>
      <c r="E994" s="106"/>
      <c r="F994" s="107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6"/>
    </row>
    <row r="995" ht="15.75" customHeight="1">
      <c r="A995" s="109"/>
      <c r="B995" s="104"/>
      <c r="C995" s="104"/>
      <c r="D995" s="105"/>
      <c r="E995" s="106"/>
      <c r="F995" s="107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6"/>
    </row>
    <row r="996" ht="15.75" customHeight="1">
      <c r="A996" s="109"/>
      <c r="B996" s="104"/>
      <c r="C996" s="104"/>
      <c r="D996" s="105"/>
      <c r="E996" s="106"/>
      <c r="F996" s="107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6"/>
    </row>
    <row r="997" ht="15.75" customHeight="1">
      <c r="A997" s="109"/>
      <c r="B997" s="104"/>
      <c r="C997" s="104"/>
      <c r="D997" s="105"/>
      <c r="E997" s="106"/>
      <c r="F997" s="107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6"/>
    </row>
    <row r="998" ht="15.75" customHeight="1">
      <c r="A998" s="109"/>
      <c r="B998" s="104"/>
      <c r="C998" s="104"/>
      <c r="D998" s="105"/>
      <c r="E998" s="106"/>
      <c r="F998" s="107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6"/>
    </row>
    <row r="999" ht="15.75" customHeight="1">
      <c r="A999" s="109"/>
      <c r="B999" s="104"/>
      <c r="C999" s="104"/>
      <c r="D999" s="105"/>
      <c r="E999" s="106"/>
      <c r="F999" s="107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6"/>
    </row>
    <row r="1000" ht="15.75" customHeight="1">
      <c r="A1000" s="109"/>
      <c r="B1000" s="104"/>
      <c r="C1000" s="104"/>
      <c r="D1000" s="105"/>
      <c r="E1000" s="106"/>
      <c r="F1000" s="107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6"/>
    </row>
  </sheetData>
  <hyperlinks>
    <hyperlink r:id="rId1" ref="R12"/>
    <hyperlink r:id="rId2" ref="R13"/>
  </hyperlinks>
  <printOptions/>
  <pageMargins bottom="0.75" footer="0.0" header="0.0" left="0.7" right="0.7" top="0.75"/>
  <pageSetup orientation="landscape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1.22" defaultRowHeight="15.0"/>
  <cols>
    <col customWidth="1" min="1" max="1" width="22.78"/>
    <col customWidth="1" min="2" max="2" width="16.44"/>
    <col customWidth="1" min="3" max="3" width="13.44"/>
    <col customWidth="1" min="4" max="4" width="14.11"/>
    <col customWidth="1" min="5" max="7" width="16.78"/>
    <col customWidth="1" min="8" max="8" width="17.33"/>
    <col customWidth="1" min="9" max="11" width="16.78"/>
    <col customWidth="1" min="12" max="12" width="20.0"/>
    <col customWidth="1" min="13" max="15" width="16.78"/>
    <col customWidth="1" min="16" max="16" width="22.78"/>
    <col customWidth="1" min="17" max="17" width="20.44"/>
    <col customWidth="1" min="18" max="18" width="98.89"/>
  </cols>
  <sheetData>
    <row r="1" ht="15.75" customHeight="1">
      <c r="A1" s="25" t="s">
        <v>28</v>
      </c>
      <c r="B1" s="26"/>
      <c r="C1" s="26"/>
      <c r="D1" s="27"/>
      <c r="E1" s="28"/>
      <c r="F1" s="29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28"/>
    </row>
    <row r="2" ht="15.75" customHeight="1">
      <c r="A2" s="31" t="s">
        <v>29</v>
      </c>
      <c r="B2" s="26"/>
      <c r="C2" s="26"/>
      <c r="D2" s="27"/>
      <c r="E2" s="28"/>
      <c r="F2" s="29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28"/>
    </row>
    <row r="3" ht="15.75" customHeight="1">
      <c r="A3" s="32" t="s">
        <v>30</v>
      </c>
      <c r="B3" s="26"/>
      <c r="C3" s="26"/>
      <c r="D3" s="27"/>
      <c r="E3" s="28"/>
      <c r="F3" s="29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28"/>
    </row>
    <row r="4" ht="21.75" customHeight="1">
      <c r="A4" s="33" t="s">
        <v>31</v>
      </c>
      <c r="B4" s="34" t="s">
        <v>130</v>
      </c>
      <c r="C4" s="26"/>
      <c r="D4" s="27"/>
      <c r="E4" s="28"/>
      <c r="F4" s="29"/>
      <c r="G4" s="30"/>
      <c r="H4" s="30"/>
      <c r="I4" s="35"/>
      <c r="J4" s="30"/>
      <c r="K4" s="30"/>
      <c r="L4" s="30"/>
      <c r="M4" s="30"/>
      <c r="N4" s="30"/>
      <c r="O4" s="30"/>
      <c r="P4" s="30"/>
      <c r="Q4" s="30"/>
      <c r="R4" s="28"/>
    </row>
    <row r="5" ht="24.0" customHeight="1">
      <c r="A5" s="36"/>
      <c r="B5" s="37" t="s">
        <v>32</v>
      </c>
      <c r="C5" s="38">
        <v>22.0</v>
      </c>
      <c r="D5" s="27"/>
      <c r="E5" s="28"/>
      <c r="F5" s="29"/>
      <c r="G5" s="30"/>
      <c r="H5" s="39"/>
      <c r="I5" s="35" t="s">
        <v>33</v>
      </c>
      <c r="J5" s="30"/>
      <c r="K5" s="30"/>
      <c r="L5" s="30"/>
      <c r="M5" s="30"/>
      <c r="N5" s="30"/>
      <c r="O5" s="30"/>
      <c r="P5" s="30"/>
      <c r="Q5" s="30"/>
      <c r="R5" s="39"/>
    </row>
    <row r="6" ht="15.75" customHeight="1">
      <c r="A6" s="40"/>
      <c r="B6" s="26"/>
      <c r="C6" s="26"/>
      <c r="D6" s="27"/>
      <c r="E6" s="28"/>
      <c r="F6" s="29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28"/>
    </row>
    <row r="7" ht="15.75" customHeight="1">
      <c r="A7" s="40"/>
      <c r="B7" s="26"/>
      <c r="C7" s="26"/>
      <c r="D7" s="27"/>
      <c r="E7" s="28"/>
      <c r="F7" s="29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28"/>
    </row>
    <row r="8" ht="15.75" customHeight="1">
      <c r="A8" s="40"/>
      <c r="B8" s="26"/>
      <c r="C8" s="26"/>
      <c r="D8" s="27"/>
      <c r="E8" s="28"/>
      <c r="F8" s="29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28"/>
    </row>
    <row r="9" ht="15.75" customHeight="1">
      <c r="A9" s="40"/>
      <c r="B9" s="26"/>
      <c r="C9" s="26"/>
      <c r="D9" s="27"/>
      <c r="E9" s="28"/>
      <c r="F9" s="29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28"/>
    </row>
    <row r="10" ht="78.75" customHeight="1">
      <c r="A10" s="41" t="s">
        <v>34</v>
      </c>
      <c r="B10" s="42" t="s">
        <v>35</v>
      </c>
      <c r="C10" s="42" t="s">
        <v>36</v>
      </c>
      <c r="D10" s="42" t="s">
        <v>37</v>
      </c>
      <c r="E10" s="43" t="s">
        <v>38</v>
      </c>
      <c r="F10" s="44" t="s">
        <v>39</v>
      </c>
      <c r="G10" s="45" t="s">
        <v>40</v>
      </c>
      <c r="H10" s="45" t="s">
        <v>41</v>
      </c>
      <c r="I10" s="45" t="s">
        <v>42</v>
      </c>
      <c r="J10" s="45" t="s">
        <v>43</v>
      </c>
      <c r="K10" s="45" t="s">
        <v>44</v>
      </c>
      <c r="L10" s="45" t="s">
        <v>45</v>
      </c>
      <c r="M10" s="45" t="s">
        <v>46</v>
      </c>
      <c r="N10" s="45" t="s">
        <v>43</v>
      </c>
      <c r="O10" s="45" t="s">
        <v>44</v>
      </c>
      <c r="P10" s="46" t="s">
        <v>47</v>
      </c>
      <c r="Q10" s="46" t="s">
        <v>131</v>
      </c>
      <c r="R10" s="44" t="s">
        <v>49</v>
      </c>
    </row>
    <row r="11" ht="15.75" customHeight="1">
      <c r="A11" s="47">
        <v>45662.0</v>
      </c>
      <c r="B11" s="48">
        <v>19.0</v>
      </c>
      <c r="C11" s="49">
        <f t="shared" ref="C11:C75" si="1">IF(B11=0,"",B11/C$5)</f>
        <v>0.8636363636</v>
      </c>
      <c r="D11" s="50">
        <v>8380.22</v>
      </c>
      <c r="E11" s="51">
        <f t="shared" ref="E11:E14" si="2">IFERROR(D11/B11,"")</f>
        <v>441.0642105</v>
      </c>
      <c r="F11" s="50">
        <v>3425.0</v>
      </c>
      <c r="G11" s="52">
        <f t="shared" ref="G11:G75" si="3">IFERROR(F11/D11,"")</f>
        <v>0.4087004876</v>
      </c>
      <c r="H11" s="53"/>
      <c r="I11" s="53"/>
      <c r="J11" s="54"/>
      <c r="K11" s="55"/>
      <c r="L11" s="53"/>
      <c r="M11" s="53"/>
      <c r="N11" s="55"/>
      <c r="O11" s="55"/>
      <c r="P11" s="53"/>
      <c r="Q11" s="53"/>
      <c r="R11" s="56" t="s">
        <v>132</v>
      </c>
    </row>
    <row r="12" ht="15.75" customHeight="1">
      <c r="A12" s="57">
        <f t="shared" ref="A12:A14" si="4">A11+7</f>
        <v>45669</v>
      </c>
      <c r="B12" s="48">
        <v>19.0</v>
      </c>
      <c r="C12" s="49">
        <f t="shared" si="1"/>
        <v>0.8636363636</v>
      </c>
      <c r="D12" s="50">
        <v>8130.0</v>
      </c>
      <c r="E12" s="51">
        <f t="shared" si="2"/>
        <v>427.8947368</v>
      </c>
      <c r="F12" s="50">
        <v>3925.0</v>
      </c>
      <c r="G12" s="52">
        <f t="shared" si="3"/>
        <v>0.4827798278</v>
      </c>
      <c r="H12" s="58"/>
      <c r="I12" s="58"/>
      <c r="J12" s="54"/>
      <c r="K12" s="55"/>
      <c r="L12" s="58"/>
      <c r="M12" s="58"/>
      <c r="N12" s="55"/>
      <c r="O12" s="55"/>
      <c r="P12" s="58"/>
      <c r="Q12" s="58"/>
      <c r="R12" s="59"/>
    </row>
    <row r="13" ht="15.75" customHeight="1">
      <c r="A13" s="57">
        <f t="shared" si="4"/>
        <v>45676</v>
      </c>
      <c r="B13" s="48">
        <v>19.0</v>
      </c>
      <c r="C13" s="49">
        <f t="shared" si="1"/>
        <v>0.8636363636</v>
      </c>
      <c r="D13" s="50">
        <v>8130.0</v>
      </c>
      <c r="E13" s="51">
        <f t="shared" si="2"/>
        <v>427.8947368</v>
      </c>
      <c r="F13" s="50">
        <v>4238.0</v>
      </c>
      <c r="G13" s="52">
        <f t="shared" si="3"/>
        <v>0.5212792128</v>
      </c>
      <c r="H13" s="58"/>
      <c r="I13" s="58"/>
      <c r="J13" s="54"/>
      <c r="K13" s="55"/>
      <c r="L13" s="58"/>
      <c r="M13" s="58"/>
      <c r="N13" s="55"/>
      <c r="O13" s="55"/>
      <c r="P13" s="58"/>
      <c r="Q13" s="58"/>
      <c r="R13" s="59"/>
    </row>
    <row r="14" ht="15.75" customHeight="1">
      <c r="A14" s="57">
        <f t="shared" si="4"/>
        <v>45683</v>
      </c>
      <c r="B14" s="48">
        <v>19.0</v>
      </c>
      <c r="C14" s="49">
        <f t="shared" si="1"/>
        <v>0.8636363636</v>
      </c>
      <c r="D14" s="50">
        <v>8130.0</v>
      </c>
      <c r="E14" s="51">
        <f t="shared" si="2"/>
        <v>427.8947368</v>
      </c>
      <c r="F14" s="50">
        <v>5084.0</v>
      </c>
      <c r="G14" s="52">
        <f t="shared" si="3"/>
        <v>0.6253382534</v>
      </c>
      <c r="H14" s="60"/>
      <c r="I14" s="60"/>
      <c r="J14" s="54"/>
      <c r="K14" s="55"/>
      <c r="L14" s="58"/>
      <c r="M14" s="58"/>
      <c r="N14" s="55"/>
      <c r="O14" s="55"/>
      <c r="P14" s="58"/>
      <c r="Q14" s="58"/>
      <c r="R14" s="59"/>
    </row>
    <row r="15" ht="15.75" customHeight="1">
      <c r="A15" s="61" t="s">
        <v>51</v>
      </c>
      <c r="B15" s="62">
        <v>20.0</v>
      </c>
      <c r="C15" s="63">
        <f t="shared" si="1"/>
        <v>0.9090909091</v>
      </c>
      <c r="D15" s="64">
        <v>8000.0</v>
      </c>
      <c r="E15" s="65">
        <f>D15/B15</f>
        <v>400</v>
      </c>
      <c r="F15" s="64">
        <v>8000.0</v>
      </c>
      <c r="G15" s="66">
        <f t="shared" si="3"/>
        <v>1</v>
      </c>
      <c r="H15" s="67">
        <v>5959.0</v>
      </c>
      <c r="I15" s="67">
        <v>8000.0</v>
      </c>
      <c r="J15" s="68">
        <f>IF(H15=0,"",H15-I15)</f>
        <v>-2041</v>
      </c>
      <c r="K15" s="69">
        <f>IFERROR((H15-I15)/H15,"")</f>
        <v>-0.3425071321</v>
      </c>
      <c r="L15" s="67">
        <v>3181.0</v>
      </c>
      <c r="M15" s="67">
        <v>5000.0</v>
      </c>
      <c r="N15" s="68">
        <f>IF(L15=0,"",L15-M15)</f>
        <v>-1819</v>
      </c>
      <c r="O15" s="69">
        <f>IFERROR((L15-M15)/L15,"")</f>
        <v>-0.571832757</v>
      </c>
      <c r="P15" s="70">
        <f t="shared" ref="P15:Q15" si="5">H15-L15</f>
        <v>2778</v>
      </c>
      <c r="Q15" s="70">
        <f t="shared" si="5"/>
        <v>3000</v>
      </c>
      <c r="R15" s="87"/>
    </row>
    <row r="16" ht="15.75" customHeight="1">
      <c r="A16" s="57">
        <f>A14+7</f>
        <v>45690</v>
      </c>
      <c r="B16" s="48">
        <v>19.0</v>
      </c>
      <c r="C16" s="49">
        <f t="shared" si="1"/>
        <v>0.8636363636</v>
      </c>
      <c r="D16" s="50">
        <v>8130.0</v>
      </c>
      <c r="E16" s="51">
        <f t="shared" ref="E16:E19" si="6">IFERROR(D16/B16,"")</f>
        <v>427.8947368</v>
      </c>
      <c r="F16" s="50">
        <v>1850.0</v>
      </c>
      <c r="G16" s="72">
        <f t="shared" si="3"/>
        <v>0.2275522755</v>
      </c>
      <c r="H16" s="73"/>
      <c r="I16" s="74"/>
      <c r="J16" s="75"/>
      <c r="K16" s="76"/>
      <c r="L16" s="74"/>
      <c r="M16" s="74"/>
      <c r="N16" s="77"/>
      <c r="O16" s="55"/>
      <c r="P16" s="74"/>
      <c r="Q16" s="74"/>
      <c r="R16" s="59"/>
    </row>
    <row r="17" ht="15.75" customHeight="1">
      <c r="A17" s="57">
        <f t="shared" ref="A17:A19" si="7">A16+7</f>
        <v>45697</v>
      </c>
      <c r="B17" s="48">
        <v>19.0</v>
      </c>
      <c r="C17" s="49">
        <f t="shared" si="1"/>
        <v>0.8636363636</v>
      </c>
      <c r="D17" s="50">
        <v>8130.0</v>
      </c>
      <c r="E17" s="51">
        <f t="shared" si="6"/>
        <v>427.8947368</v>
      </c>
      <c r="F17" s="50">
        <v>4200.0</v>
      </c>
      <c r="G17" s="52">
        <f t="shared" si="3"/>
        <v>0.5166051661</v>
      </c>
      <c r="H17" s="78"/>
      <c r="I17" s="78"/>
      <c r="J17" s="54"/>
      <c r="K17" s="55"/>
      <c r="L17" s="78"/>
      <c r="M17" s="78"/>
      <c r="N17" s="55"/>
      <c r="O17" s="55"/>
      <c r="P17" s="78"/>
      <c r="Q17" s="78"/>
      <c r="R17" s="59"/>
    </row>
    <row r="18" ht="15.75" customHeight="1">
      <c r="A18" s="57">
        <f t="shared" si="7"/>
        <v>45704</v>
      </c>
      <c r="B18" s="48">
        <v>19.0</v>
      </c>
      <c r="C18" s="49">
        <f t="shared" si="1"/>
        <v>0.8636363636</v>
      </c>
      <c r="D18" s="50">
        <v>8130.0</v>
      </c>
      <c r="E18" s="51">
        <f t="shared" si="6"/>
        <v>427.8947368</v>
      </c>
      <c r="F18" s="50">
        <v>3800.0</v>
      </c>
      <c r="G18" s="52">
        <f t="shared" si="3"/>
        <v>0.467404674</v>
      </c>
      <c r="H18" s="58"/>
      <c r="I18" s="58"/>
      <c r="J18" s="54"/>
      <c r="K18" s="55"/>
      <c r="L18" s="58"/>
      <c r="M18" s="58"/>
      <c r="N18" s="55"/>
      <c r="O18" s="55"/>
      <c r="P18" s="58"/>
      <c r="Q18" s="58"/>
      <c r="R18" s="59"/>
    </row>
    <row r="19" ht="15.75" customHeight="1">
      <c r="A19" s="57">
        <f t="shared" si="7"/>
        <v>45711</v>
      </c>
      <c r="B19" s="48">
        <v>19.0</v>
      </c>
      <c r="C19" s="49">
        <f t="shared" si="1"/>
        <v>0.8636363636</v>
      </c>
      <c r="D19" s="50">
        <v>8130.0</v>
      </c>
      <c r="E19" s="51">
        <f t="shared" si="6"/>
        <v>427.8947368</v>
      </c>
      <c r="F19" s="50">
        <v>4613.0</v>
      </c>
      <c r="G19" s="52">
        <f t="shared" si="3"/>
        <v>0.567404674</v>
      </c>
      <c r="H19" s="60"/>
      <c r="I19" s="60"/>
      <c r="J19" s="54"/>
      <c r="K19" s="55"/>
      <c r="L19" s="58"/>
      <c r="M19" s="58"/>
      <c r="N19" s="55"/>
      <c r="O19" s="55"/>
      <c r="P19" s="58"/>
      <c r="Q19" s="58"/>
      <c r="R19" s="59"/>
    </row>
    <row r="20" ht="15.75" customHeight="1">
      <c r="A20" s="61" t="s">
        <v>51</v>
      </c>
      <c r="B20" s="62">
        <v>20.0</v>
      </c>
      <c r="C20" s="63">
        <f t="shared" si="1"/>
        <v>0.9090909091</v>
      </c>
      <c r="D20" s="64">
        <v>8000.0</v>
      </c>
      <c r="E20" s="70">
        <f>D20/B20</f>
        <v>400</v>
      </c>
      <c r="F20" s="64">
        <v>8000.0</v>
      </c>
      <c r="G20" s="66">
        <f t="shared" si="3"/>
        <v>1</v>
      </c>
      <c r="H20" s="67">
        <v>7043.0</v>
      </c>
      <c r="I20" s="67">
        <v>8000.0</v>
      </c>
      <c r="J20" s="68">
        <f>IF(H20=0,"",H20-I20)</f>
        <v>-957</v>
      </c>
      <c r="K20" s="69">
        <f>IFERROR((H20-I20)/H20,"")</f>
        <v>-0.1358795968</v>
      </c>
      <c r="L20" s="67">
        <v>13342.0</v>
      </c>
      <c r="M20" s="67">
        <v>5000.0</v>
      </c>
      <c r="N20" s="68">
        <f>IF(L20=0,"",L20-M20)</f>
        <v>8342</v>
      </c>
      <c r="O20" s="69">
        <f>IFERROR((L20-M20)/L20,"")</f>
        <v>0.6252435917</v>
      </c>
      <c r="P20" s="70">
        <f t="shared" ref="P20:Q20" si="8">H20-L20</f>
        <v>-6299</v>
      </c>
      <c r="Q20" s="70">
        <f t="shared" si="8"/>
        <v>3000</v>
      </c>
      <c r="R20" s="71" t="s">
        <v>133</v>
      </c>
    </row>
    <row r="21" ht="15.75" customHeight="1">
      <c r="A21" s="57">
        <f>A19+7</f>
        <v>45718</v>
      </c>
      <c r="B21" s="48">
        <v>19.0</v>
      </c>
      <c r="C21" s="49">
        <f t="shared" si="1"/>
        <v>0.8636363636</v>
      </c>
      <c r="D21" s="50">
        <v>8130.0</v>
      </c>
      <c r="E21" s="51">
        <f t="shared" ref="E21:E25" si="9">IFERROR(D21/B21,"")</f>
        <v>427.8947368</v>
      </c>
      <c r="F21" s="50">
        <v>1400.0</v>
      </c>
      <c r="G21" s="79">
        <f t="shared" si="3"/>
        <v>0.172201722</v>
      </c>
      <c r="H21" s="80"/>
      <c r="I21" s="81"/>
      <c r="J21" s="54"/>
      <c r="K21" s="76"/>
      <c r="L21" s="73"/>
      <c r="M21" s="74"/>
      <c r="N21" s="77"/>
      <c r="O21" s="55"/>
      <c r="P21" s="73"/>
      <c r="Q21" s="74"/>
      <c r="R21" s="59"/>
    </row>
    <row r="22" ht="15.75" customHeight="1">
      <c r="A22" s="57">
        <f t="shared" ref="A22:A25" si="10">A21+7</f>
        <v>45725</v>
      </c>
      <c r="B22" s="48">
        <v>19.0</v>
      </c>
      <c r="C22" s="49">
        <f t="shared" si="1"/>
        <v>0.8636363636</v>
      </c>
      <c r="D22" s="50">
        <v>8130.0</v>
      </c>
      <c r="E22" s="51">
        <f t="shared" si="9"/>
        <v>427.8947368</v>
      </c>
      <c r="F22" s="50">
        <v>4900.0</v>
      </c>
      <c r="G22" s="52">
        <f t="shared" si="3"/>
        <v>0.6027060271</v>
      </c>
      <c r="H22" s="78"/>
      <c r="I22" s="78"/>
      <c r="J22" s="54"/>
      <c r="K22" s="55"/>
      <c r="L22" s="78"/>
      <c r="M22" s="78"/>
      <c r="N22" s="55"/>
      <c r="O22" s="55"/>
      <c r="P22" s="78"/>
      <c r="Q22" s="78"/>
      <c r="R22" s="59"/>
    </row>
    <row r="23" ht="15.75" customHeight="1">
      <c r="A23" s="57">
        <f t="shared" si="10"/>
        <v>45732</v>
      </c>
      <c r="B23" s="48">
        <v>18.0</v>
      </c>
      <c r="C23" s="49">
        <f t="shared" si="1"/>
        <v>0.8181818182</v>
      </c>
      <c r="D23" s="50">
        <v>7650.0</v>
      </c>
      <c r="E23" s="51">
        <f t="shared" si="9"/>
        <v>425</v>
      </c>
      <c r="F23" s="50">
        <v>4813.0</v>
      </c>
      <c r="G23" s="52">
        <f t="shared" si="3"/>
        <v>0.6291503268</v>
      </c>
      <c r="H23" s="58"/>
      <c r="I23" s="58"/>
      <c r="J23" s="54"/>
      <c r="K23" s="55"/>
      <c r="L23" s="58"/>
      <c r="M23" s="58"/>
      <c r="N23" s="55"/>
      <c r="O23" s="55"/>
      <c r="P23" s="58"/>
      <c r="Q23" s="58"/>
      <c r="R23" s="59"/>
    </row>
    <row r="24" ht="15.75" customHeight="1">
      <c r="A24" s="57">
        <f t="shared" si="10"/>
        <v>45739</v>
      </c>
      <c r="B24" s="48">
        <v>18.0</v>
      </c>
      <c r="C24" s="49">
        <f t="shared" si="1"/>
        <v>0.8181818182</v>
      </c>
      <c r="D24" s="50">
        <v>7650.0</v>
      </c>
      <c r="E24" s="51">
        <f t="shared" si="9"/>
        <v>425</v>
      </c>
      <c r="F24" s="50">
        <v>4813.0</v>
      </c>
      <c r="G24" s="52">
        <f t="shared" si="3"/>
        <v>0.6291503268</v>
      </c>
      <c r="H24" s="58"/>
      <c r="I24" s="58"/>
      <c r="J24" s="54"/>
      <c r="K24" s="55"/>
      <c r="L24" s="58"/>
      <c r="M24" s="58"/>
      <c r="N24" s="55"/>
      <c r="O24" s="55"/>
      <c r="P24" s="58"/>
      <c r="Q24" s="58"/>
      <c r="R24" s="59"/>
    </row>
    <row r="25" ht="15.75" customHeight="1">
      <c r="A25" s="57">
        <f t="shared" si="10"/>
        <v>45746</v>
      </c>
      <c r="B25" s="48">
        <v>18.0</v>
      </c>
      <c r="C25" s="49">
        <f t="shared" si="1"/>
        <v>0.8181818182</v>
      </c>
      <c r="D25" s="50">
        <v>7650.0</v>
      </c>
      <c r="E25" s="51">
        <f t="shared" si="9"/>
        <v>425</v>
      </c>
      <c r="F25" s="50">
        <v>4813.0</v>
      </c>
      <c r="G25" s="52">
        <f t="shared" si="3"/>
        <v>0.6291503268</v>
      </c>
      <c r="H25" s="82"/>
      <c r="I25" s="82"/>
      <c r="J25" s="54"/>
      <c r="K25" s="55"/>
      <c r="L25" s="82"/>
      <c r="M25" s="82"/>
      <c r="N25" s="55"/>
      <c r="O25" s="55"/>
      <c r="P25" s="82"/>
      <c r="Q25" s="82"/>
      <c r="R25" s="59"/>
    </row>
    <row r="26" ht="15.75" customHeight="1">
      <c r="A26" s="61" t="s">
        <v>51</v>
      </c>
      <c r="B26" s="62">
        <v>20.0</v>
      </c>
      <c r="C26" s="63">
        <f t="shared" si="1"/>
        <v>0.9090909091</v>
      </c>
      <c r="D26" s="64">
        <v>8000.0</v>
      </c>
      <c r="E26" s="70">
        <f t="shared" ref="E26:E32" si="12">D26/B26</f>
        <v>400</v>
      </c>
      <c r="F26" s="64">
        <v>8000.0</v>
      </c>
      <c r="G26" s="66">
        <f t="shared" si="3"/>
        <v>1</v>
      </c>
      <c r="H26" s="83">
        <v>6973.0</v>
      </c>
      <c r="I26" s="67">
        <v>8000.0</v>
      </c>
      <c r="J26" s="68">
        <f>IF(H26=0,"",H26-I26)</f>
        <v>-1027</v>
      </c>
      <c r="K26" s="69">
        <f>IFERROR((H26-I26)/H26,"")</f>
        <v>-0.1472823749</v>
      </c>
      <c r="L26" s="83">
        <v>6171.0</v>
      </c>
      <c r="M26" s="67">
        <v>5000.0</v>
      </c>
      <c r="N26" s="68">
        <f>IF(L26=0,"",L26-M26)</f>
        <v>1171</v>
      </c>
      <c r="O26" s="69">
        <f>IFERROR((L26-M26)/L26,"")</f>
        <v>0.189758548</v>
      </c>
      <c r="P26" s="84">
        <f t="shared" ref="P26:Q26" si="11">H26-L26</f>
        <v>802</v>
      </c>
      <c r="Q26" s="84">
        <f t="shared" si="11"/>
        <v>3000</v>
      </c>
      <c r="R26" s="87"/>
    </row>
    <row r="27" ht="15.75" customHeight="1">
      <c r="A27" s="57">
        <f>A25+7</f>
        <v>45753</v>
      </c>
      <c r="B27" s="48">
        <v>18.0</v>
      </c>
      <c r="C27" s="49">
        <f t="shared" si="1"/>
        <v>0.8181818182</v>
      </c>
      <c r="D27" s="50">
        <v>6827.0</v>
      </c>
      <c r="E27" s="51">
        <f t="shared" si="12"/>
        <v>379.2777778</v>
      </c>
      <c r="F27" s="50">
        <v>5194.0</v>
      </c>
      <c r="G27" s="52">
        <f t="shared" si="3"/>
        <v>0.7608026952</v>
      </c>
      <c r="H27" s="53"/>
      <c r="I27" s="53"/>
      <c r="J27" s="54"/>
      <c r="K27" s="55"/>
      <c r="L27" s="53"/>
      <c r="M27" s="53"/>
      <c r="N27" s="55"/>
      <c r="O27" s="55"/>
      <c r="P27" s="53"/>
      <c r="Q27" s="53"/>
      <c r="R27" s="59"/>
    </row>
    <row r="28" ht="15.75" customHeight="1">
      <c r="A28" s="57">
        <f t="shared" ref="A28:A30" si="13">A27+7</f>
        <v>45760</v>
      </c>
      <c r="B28" s="48">
        <v>18.0</v>
      </c>
      <c r="C28" s="49">
        <f t="shared" si="1"/>
        <v>0.8181818182</v>
      </c>
      <c r="D28" s="50">
        <v>6827.0</v>
      </c>
      <c r="E28" s="51">
        <f t="shared" si="12"/>
        <v>379.2777778</v>
      </c>
      <c r="F28" s="50">
        <v>6594.0</v>
      </c>
      <c r="G28" s="52">
        <f t="shared" si="3"/>
        <v>0.9658708071</v>
      </c>
      <c r="H28" s="58"/>
      <c r="I28" s="58"/>
      <c r="J28" s="54"/>
      <c r="K28" s="55"/>
      <c r="L28" s="58"/>
      <c r="M28" s="58"/>
      <c r="N28" s="55"/>
      <c r="O28" s="55"/>
      <c r="P28" s="58"/>
      <c r="Q28" s="58"/>
      <c r="R28" s="59"/>
    </row>
    <row r="29" ht="15.75" customHeight="1">
      <c r="A29" s="57">
        <f t="shared" si="13"/>
        <v>45767</v>
      </c>
      <c r="B29" s="48">
        <v>18.0</v>
      </c>
      <c r="C29" s="49">
        <f t="shared" si="1"/>
        <v>0.8181818182</v>
      </c>
      <c r="D29" s="50">
        <v>6827.0</v>
      </c>
      <c r="E29" s="51">
        <f t="shared" si="12"/>
        <v>379.2777778</v>
      </c>
      <c r="F29" s="50">
        <v>6993.0</v>
      </c>
      <c r="G29" s="52">
        <f t="shared" si="3"/>
        <v>1.024315219</v>
      </c>
      <c r="H29" s="58"/>
      <c r="I29" s="58"/>
      <c r="J29" s="54"/>
      <c r="K29" s="55"/>
      <c r="L29" s="58"/>
      <c r="M29" s="58"/>
      <c r="N29" s="55"/>
      <c r="O29" s="55"/>
      <c r="P29" s="58"/>
      <c r="Q29" s="58"/>
      <c r="R29" s="59"/>
    </row>
    <row r="30" ht="15.75" customHeight="1">
      <c r="A30" s="85">
        <f t="shared" si="13"/>
        <v>45774</v>
      </c>
      <c r="B30" s="48">
        <v>18.0</v>
      </c>
      <c r="C30" s="49">
        <f t="shared" si="1"/>
        <v>0.8181818182</v>
      </c>
      <c r="D30" s="50">
        <v>6827.0</v>
      </c>
      <c r="E30" s="51">
        <f t="shared" si="12"/>
        <v>379.2777778</v>
      </c>
      <c r="F30" s="50">
        <v>6993.0</v>
      </c>
      <c r="G30" s="52">
        <f t="shared" si="3"/>
        <v>1.024315219</v>
      </c>
      <c r="H30" s="82"/>
      <c r="I30" s="82"/>
      <c r="J30" s="54"/>
      <c r="K30" s="55"/>
      <c r="L30" s="82"/>
      <c r="M30" s="82"/>
      <c r="N30" s="55"/>
      <c r="O30" s="55"/>
      <c r="P30" s="82"/>
      <c r="Q30" s="82"/>
      <c r="R30" s="59"/>
    </row>
    <row r="31" ht="15.75" customHeight="1">
      <c r="A31" s="61" t="s">
        <v>51</v>
      </c>
      <c r="B31" s="62">
        <v>20.0</v>
      </c>
      <c r="C31" s="63">
        <f t="shared" si="1"/>
        <v>0.9090909091</v>
      </c>
      <c r="D31" s="64">
        <v>8000.0</v>
      </c>
      <c r="E31" s="70">
        <f t="shared" si="12"/>
        <v>400</v>
      </c>
      <c r="F31" s="64">
        <v>8000.0</v>
      </c>
      <c r="G31" s="66">
        <f t="shared" si="3"/>
        <v>1</v>
      </c>
      <c r="H31" s="83">
        <v>8138.0</v>
      </c>
      <c r="I31" s="67">
        <v>8000.0</v>
      </c>
      <c r="J31" s="68">
        <f>IF(H31=0,"",H31-I31)</f>
        <v>138</v>
      </c>
      <c r="K31" s="69">
        <f>IFERROR((H31-I31)/H31,"")</f>
        <v>0.01695748341</v>
      </c>
      <c r="L31" s="83">
        <v>2464.0</v>
      </c>
      <c r="M31" s="67">
        <v>5000.0</v>
      </c>
      <c r="N31" s="68">
        <f>IF(L31=0,"",L31-M31)</f>
        <v>-2536</v>
      </c>
      <c r="O31" s="69">
        <f>IFERROR((L31-M31)/L31,"")</f>
        <v>-1.029220779</v>
      </c>
      <c r="P31" s="84">
        <f t="shared" ref="P31:Q31" si="14">H31-L31</f>
        <v>5674</v>
      </c>
      <c r="Q31" s="84">
        <f t="shared" si="14"/>
        <v>3000</v>
      </c>
      <c r="R31" s="87"/>
    </row>
    <row r="32" ht="15.75" customHeight="1">
      <c r="A32" s="57">
        <f>A30+7</f>
        <v>45781</v>
      </c>
      <c r="B32" s="48">
        <v>18.0</v>
      </c>
      <c r="C32" s="49">
        <f t="shared" si="1"/>
        <v>0.8181818182</v>
      </c>
      <c r="D32" s="50">
        <v>7127.0</v>
      </c>
      <c r="E32" s="149">
        <f t="shared" si="12"/>
        <v>395.9444444</v>
      </c>
      <c r="F32" s="50">
        <v>5265.0</v>
      </c>
      <c r="G32" s="52">
        <f t="shared" si="3"/>
        <v>0.7387400028</v>
      </c>
      <c r="H32" s="53"/>
      <c r="I32" s="53"/>
      <c r="J32" s="54"/>
      <c r="K32" s="55"/>
      <c r="L32" s="53"/>
      <c r="M32" s="53"/>
      <c r="N32" s="55"/>
      <c r="O32" s="55"/>
      <c r="P32" s="53"/>
      <c r="Q32" s="53"/>
      <c r="R32" s="59"/>
    </row>
    <row r="33" ht="15.75" customHeight="1">
      <c r="A33" s="57">
        <f t="shared" ref="A33:A35" si="15">A32+7</f>
        <v>45788</v>
      </c>
      <c r="B33" s="48">
        <v>18.0</v>
      </c>
      <c r="C33" s="49">
        <f t="shared" si="1"/>
        <v>0.8181818182</v>
      </c>
      <c r="D33" s="50">
        <v>7127.0</v>
      </c>
      <c r="E33" s="51">
        <f t="shared" ref="E33:E35" si="16">IFERROR(D33/B33,"")</f>
        <v>395.9444444</v>
      </c>
      <c r="F33" s="50">
        <v>6528.0</v>
      </c>
      <c r="G33" s="52">
        <f t="shared" si="3"/>
        <v>0.9159534166</v>
      </c>
      <c r="H33" s="58"/>
      <c r="I33" s="58"/>
      <c r="J33" s="54"/>
      <c r="K33" s="55"/>
      <c r="L33" s="58"/>
      <c r="M33" s="58"/>
      <c r="N33" s="55"/>
      <c r="O33" s="55"/>
      <c r="P33" s="58"/>
      <c r="Q33" s="58"/>
      <c r="R33" s="86"/>
    </row>
    <row r="34" ht="15.75" customHeight="1">
      <c r="A34" s="57">
        <f t="shared" si="15"/>
        <v>45795</v>
      </c>
      <c r="B34" s="48">
        <v>18.0</v>
      </c>
      <c r="C34" s="49">
        <f t="shared" si="1"/>
        <v>0.8181818182</v>
      </c>
      <c r="D34" s="50">
        <v>7127.0</v>
      </c>
      <c r="E34" s="51">
        <f t="shared" si="16"/>
        <v>395.9444444</v>
      </c>
      <c r="F34" s="50">
        <v>7227.0</v>
      </c>
      <c r="G34" s="52">
        <f t="shared" si="3"/>
        <v>1.014031149</v>
      </c>
      <c r="H34" s="58"/>
      <c r="I34" s="58"/>
      <c r="J34" s="54"/>
      <c r="K34" s="55"/>
      <c r="L34" s="58"/>
      <c r="M34" s="58"/>
      <c r="N34" s="55"/>
      <c r="O34" s="55"/>
      <c r="P34" s="58"/>
      <c r="Q34" s="58"/>
      <c r="R34" s="86"/>
    </row>
    <row r="35" ht="15.75" customHeight="1">
      <c r="A35" s="57">
        <f t="shared" si="15"/>
        <v>45802</v>
      </c>
      <c r="B35" s="48">
        <v>18.0</v>
      </c>
      <c r="C35" s="49">
        <f t="shared" si="1"/>
        <v>0.8181818182</v>
      </c>
      <c r="D35" s="50">
        <v>7127.0</v>
      </c>
      <c r="E35" s="51">
        <f t="shared" si="16"/>
        <v>395.9444444</v>
      </c>
      <c r="F35" s="50">
        <v>7227.0</v>
      </c>
      <c r="G35" s="52">
        <f t="shared" si="3"/>
        <v>1.014031149</v>
      </c>
      <c r="H35" s="60"/>
      <c r="I35" s="60"/>
      <c r="J35" s="54"/>
      <c r="K35" s="55"/>
      <c r="L35" s="58"/>
      <c r="M35" s="58"/>
      <c r="N35" s="55"/>
      <c r="O35" s="55"/>
      <c r="P35" s="58"/>
      <c r="Q35" s="58"/>
      <c r="R35" s="86"/>
    </row>
    <row r="36" ht="15.75" customHeight="1">
      <c r="A36" s="61" t="s">
        <v>51</v>
      </c>
      <c r="B36" s="62">
        <v>20.0</v>
      </c>
      <c r="C36" s="63">
        <f t="shared" si="1"/>
        <v>0.9090909091</v>
      </c>
      <c r="D36" s="64">
        <v>8000.0</v>
      </c>
      <c r="E36" s="70">
        <f>D36/B36</f>
        <v>400</v>
      </c>
      <c r="F36" s="64">
        <v>8000.0</v>
      </c>
      <c r="G36" s="66">
        <f t="shared" si="3"/>
        <v>1</v>
      </c>
      <c r="H36" s="67">
        <v>7327.0</v>
      </c>
      <c r="I36" s="67">
        <v>8000.0</v>
      </c>
      <c r="J36" s="68">
        <f>IF(H36=0,"",H36-I36)</f>
        <v>-673</v>
      </c>
      <c r="K36" s="69">
        <f>IFERROR((H36-I36)/H36,"")</f>
        <v>-0.09185205405</v>
      </c>
      <c r="L36" s="67">
        <v>8401.0</v>
      </c>
      <c r="M36" s="67">
        <v>5000.0</v>
      </c>
      <c r="N36" s="68">
        <f>IF(L36=0,"",L36-M36)</f>
        <v>3401</v>
      </c>
      <c r="O36" s="69">
        <f>IFERROR((L36-M36)/L36,"")</f>
        <v>0.404832758</v>
      </c>
      <c r="P36" s="70">
        <f t="shared" ref="P36:Q36" si="17">H36-L36</f>
        <v>-1074</v>
      </c>
      <c r="Q36" s="70">
        <f t="shared" si="17"/>
        <v>3000</v>
      </c>
      <c r="R36" s="71" t="s">
        <v>134</v>
      </c>
    </row>
    <row r="37" ht="15.75" customHeight="1">
      <c r="A37" s="57">
        <f>A35+7</f>
        <v>45809</v>
      </c>
      <c r="B37" s="48">
        <v>18.0</v>
      </c>
      <c r="C37" s="49">
        <f t="shared" si="1"/>
        <v>0.8181818182</v>
      </c>
      <c r="D37" s="50">
        <v>7127.0</v>
      </c>
      <c r="E37" s="51">
        <f t="shared" ref="E37:E41" si="18">IFERROR(D37/B37,"")</f>
        <v>395.9444444</v>
      </c>
      <c r="F37" s="50">
        <v>3290.0</v>
      </c>
      <c r="G37" s="72">
        <f t="shared" si="3"/>
        <v>0.4616248071</v>
      </c>
      <c r="H37" s="74"/>
      <c r="I37" s="80"/>
      <c r="J37" s="75"/>
      <c r="K37" s="55"/>
      <c r="L37" s="60"/>
      <c r="M37" s="60"/>
      <c r="N37" s="55"/>
      <c r="O37" s="55"/>
      <c r="P37" s="60"/>
      <c r="Q37" s="60"/>
      <c r="R37" s="86"/>
    </row>
    <row r="38" ht="15.75" customHeight="1">
      <c r="A38" s="57">
        <f t="shared" ref="A38:A41" si="19">A37+7</f>
        <v>45816</v>
      </c>
      <c r="B38" s="48">
        <v>18.0</v>
      </c>
      <c r="C38" s="49">
        <f t="shared" si="1"/>
        <v>0.8181818182</v>
      </c>
      <c r="D38" s="50">
        <v>7127.0</v>
      </c>
      <c r="E38" s="51">
        <f t="shared" si="18"/>
        <v>395.9444444</v>
      </c>
      <c r="F38" s="50">
        <v>6878.0</v>
      </c>
      <c r="G38" s="52">
        <f t="shared" si="3"/>
        <v>0.9650624386</v>
      </c>
      <c r="H38" s="78"/>
      <c r="I38" s="78"/>
      <c r="J38" s="54"/>
      <c r="K38" s="76"/>
      <c r="L38" s="74"/>
      <c r="M38" s="74"/>
      <c r="N38" s="77"/>
      <c r="O38" s="55"/>
      <c r="P38" s="74"/>
      <c r="Q38" s="74"/>
      <c r="R38" s="86"/>
    </row>
    <row r="39" ht="15.75" customHeight="1">
      <c r="A39" s="57">
        <f t="shared" si="19"/>
        <v>45823</v>
      </c>
      <c r="B39" s="48">
        <v>18.0</v>
      </c>
      <c r="C39" s="49">
        <f t="shared" si="1"/>
        <v>0.8181818182</v>
      </c>
      <c r="D39" s="50">
        <v>7127.0</v>
      </c>
      <c r="E39" s="51">
        <f t="shared" si="18"/>
        <v>395.9444444</v>
      </c>
      <c r="F39" s="50">
        <v>6878.0</v>
      </c>
      <c r="G39" s="52">
        <f t="shared" si="3"/>
        <v>0.9650624386</v>
      </c>
      <c r="H39" s="58"/>
      <c r="I39" s="58"/>
      <c r="J39" s="54"/>
      <c r="K39" s="55"/>
      <c r="L39" s="78"/>
      <c r="M39" s="78"/>
      <c r="N39" s="55"/>
      <c r="O39" s="55"/>
      <c r="P39" s="78"/>
      <c r="Q39" s="78"/>
      <c r="R39" s="86"/>
    </row>
    <row r="40" ht="15.75" customHeight="1">
      <c r="A40" s="57">
        <f t="shared" si="19"/>
        <v>45830</v>
      </c>
      <c r="B40" s="48">
        <v>18.0</v>
      </c>
      <c r="C40" s="49">
        <f t="shared" si="1"/>
        <v>0.8181818182</v>
      </c>
      <c r="D40" s="50">
        <v>7127.0</v>
      </c>
      <c r="E40" s="51">
        <f t="shared" si="18"/>
        <v>395.9444444</v>
      </c>
      <c r="F40" s="50">
        <v>6878.0</v>
      </c>
      <c r="G40" s="52">
        <f t="shared" si="3"/>
        <v>0.9650624386</v>
      </c>
      <c r="H40" s="58"/>
      <c r="I40" s="58"/>
      <c r="J40" s="54"/>
      <c r="K40" s="55"/>
      <c r="L40" s="58"/>
      <c r="M40" s="58"/>
      <c r="N40" s="55"/>
      <c r="O40" s="55"/>
      <c r="P40" s="58"/>
      <c r="Q40" s="58"/>
      <c r="R40" s="86"/>
    </row>
    <row r="41" ht="15.75" customHeight="1">
      <c r="A41" s="57">
        <f t="shared" si="19"/>
        <v>45837</v>
      </c>
      <c r="B41" s="48">
        <v>18.0</v>
      </c>
      <c r="C41" s="49">
        <f t="shared" si="1"/>
        <v>0.8181818182</v>
      </c>
      <c r="D41" s="50">
        <v>7127.0</v>
      </c>
      <c r="E41" s="51">
        <f t="shared" si="18"/>
        <v>395.9444444</v>
      </c>
      <c r="F41" s="50">
        <v>6878.52</v>
      </c>
      <c r="G41" s="52">
        <f t="shared" si="3"/>
        <v>0.9651354006</v>
      </c>
      <c r="H41" s="82"/>
      <c r="I41" s="82"/>
      <c r="J41" s="54"/>
      <c r="K41" s="55"/>
      <c r="L41" s="82"/>
      <c r="M41" s="82"/>
      <c r="N41" s="55"/>
      <c r="O41" s="55"/>
      <c r="P41" s="82"/>
      <c r="Q41" s="82"/>
      <c r="R41" s="86"/>
    </row>
    <row r="42" ht="15.75" customHeight="1">
      <c r="A42" s="61" t="s">
        <v>51</v>
      </c>
      <c r="B42" s="62">
        <v>20.0</v>
      </c>
      <c r="C42" s="63">
        <f t="shared" si="1"/>
        <v>0.9090909091</v>
      </c>
      <c r="D42" s="64">
        <v>8000.0</v>
      </c>
      <c r="E42" s="70">
        <f>D42/B42</f>
        <v>400</v>
      </c>
      <c r="F42" s="64">
        <v>8000.0</v>
      </c>
      <c r="G42" s="66">
        <f t="shared" si="3"/>
        <v>1</v>
      </c>
      <c r="H42" s="83">
        <v>5977.0</v>
      </c>
      <c r="I42" s="67">
        <v>8000.0</v>
      </c>
      <c r="J42" s="68">
        <f>IF(H42=0,"",H42-I42)</f>
        <v>-2023</v>
      </c>
      <c r="K42" s="69">
        <f>IFERROR((H42-I42)/H42,"")</f>
        <v>-0.3384641124</v>
      </c>
      <c r="L42" s="83">
        <v>13784.0</v>
      </c>
      <c r="M42" s="67">
        <v>5000.0</v>
      </c>
      <c r="N42" s="68">
        <f>IF(L42=0,"",L42-M42)</f>
        <v>8784</v>
      </c>
      <c r="O42" s="69">
        <f>IFERROR((L42-M42)/L42,"")</f>
        <v>0.637260592</v>
      </c>
      <c r="P42" s="84">
        <f t="shared" ref="P42:Q42" si="20">H42-L42</f>
        <v>-7807</v>
      </c>
      <c r="Q42" s="84">
        <f t="shared" si="20"/>
        <v>3000</v>
      </c>
      <c r="R42" s="71" t="s">
        <v>135</v>
      </c>
    </row>
    <row r="43" ht="15.75" customHeight="1">
      <c r="A43" s="57">
        <f>A41+7</f>
        <v>45844</v>
      </c>
      <c r="B43" s="48">
        <v>19.0</v>
      </c>
      <c r="C43" s="49">
        <f t="shared" si="1"/>
        <v>0.8636363636</v>
      </c>
      <c r="D43" s="50">
        <v>7427.0</v>
      </c>
      <c r="E43" s="51">
        <f t="shared" ref="E43:E46" si="21">IFERROR(D43/B43,"")</f>
        <v>390.8947368</v>
      </c>
      <c r="F43" s="50">
        <v>6728.0</v>
      </c>
      <c r="G43" s="52">
        <f t="shared" si="3"/>
        <v>0.905883937</v>
      </c>
      <c r="H43" s="53"/>
      <c r="I43" s="53"/>
      <c r="J43" s="54"/>
      <c r="K43" s="55"/>
      <c r="L43" s="53"/>
      <c r="M43" s="53"/>
      <c r="N43" s="55"/>
      <c r="O43" s="55"/>
      <c r="P43" s="53"/>
      <c r="Q43" s="53"/>
      <c r="R43" s="86"/>
    </row>
    <row r="44" ht="15.75" customHeight="1">
      <c r="A44" s="57">
        <f t="shared" ref="A44:A46" si="22">A43+7</f>
        <v>45851</v>
      </c>
      <c r="B44" s="48">
        <v>19.0</v>
      </c>
      <c r="C44" s="49">
        <f t="shared" si="1"/>
        <v>0.8636363636</v>
      </c>
      <c r="D44" s="50">
        <v>7427.0</v>
      </c>
      <c r="E44" s="51">
        <f t="shared" si="21"/>
        <v>390.8947368</v>
      </c>
      <c r="F44" s="50">
        <v>6728.0</v>
      </c>
      <c r="G44" s="52">
        <f t="shared" si="3"/>
        <v>0.905883937</v>
      </c>
      <c r="H44" s="58"/>
      <c r="I44" s="58"/>
      <c r="J44" s="54"/>
      <c r="K44" s="55"/>
      <c r="L44" s="58"/>
      <c r="M44" s="58"/>
      <c r="N44" s="55"/>
      <c r="O44" s="55"/>
      <c r="P44" s="58"/>
      <c r="Q44" s="58"/>
      <c r="R44" s="86"/>
    </row>
    <row r="45" ht="15.75" customHeight="1">
      <c r="A45" s="57">
        <f t="shared" si="22"/>
        <v>45858</v>
      </c>
      <c r="B45" s="48">
        <v>21.0</v>
      </c>
      <c r="C45" s="49">
        <f t="shared" si="1"/>
        <v>0.9545454545</v>
      </c>
      <c r="D45" s="50">
        <v>8027.0</v>
      </c>
      <c r="E45" s="51">
        <f t="shared" si="21"/>
        <v>382.2380952</v>
      </c>
      <c r="F45" s="50">
        <v>6728.0</v>
      </c>
      <c r="G45" s="52">
        <f t="shared" si="3"/>
        <v>0.8381711723</v>
      </c>
      <c r="H45" s="58"/>
      <c r="I45" s="58"/>
      <c r="J45" s="54"/>
      <c r="K45" s="55"/>
      <c r="L45" s="58"/>
      <c r="M45" s="58"/>
      <c r="N45" s="55"/>
      <c r="O45" s="55"/>
      <c r="P45" s="58"/>
      <c r="Q45" s="58"/>
      <c r="R45" s="86"/>
    </row>
    <row r="46" ht="15.75" customHeight="1">
      <c r="A46" s="57">
        <f t="shared" si="22"/>
        <v>45865</v>
      </c>
      <c r="B46" s="48">
        <v>21.0</v>
      </c>
      <c r="C46" s="49">
        <f t="shared" si="1"/>
        <v>0.9545454545</v>
      </c>
      <c r="D46" s="50">
        <v>8027.0</v>
      </c>
      <c r="E46" s="51">
        <f t="shared" si="21"/>
        <v>382.2380952</v>
      </c>
      <c r="F46" s="50">
        <v>6728.0</v>
      </c>
      <c r="G46" s="52">
        <f t="shared" si="3"/>
        <v>0.8381711723</v>
      </c>
      <c r="H46" s="82"/>
      <c r="I46" s="82"/>
      <c r="J46" s="54"/>
      <c r="K46" s="55"/>
      <c r="L46" s="82"/>
      <c r="M46" s="82"/>
      <c r="N46" s="55"/>
      <c r="O46" s="55"/>
      <c r="P46" s="82"/>
      <c r="Q46" s="82"/>
      <c r="R46" s="86"/>
    </row>
    <row r="47" ht="15.75" customHeight="1">
      <c r="A47" s="61" t="s">
        <v>51</v>
      </c>
      <c r="B47" s="62">
        <v>20.0</v>
      </c>
      <c r="C47" s="63">
        <f t="shared" si="1"/>
        <v>0.9090909091</v>
      </c>
      <c r="D47" s="64">
        <v>8000.0</v>
      </c>
      <c r="E47" s="70">
        <f>D47/B47</f>
        <v>400</v>
      </c>
      <c r="F47" s="64">
        <v>8000.0</v>
      </c>
      <c r="G47" s="66">
        <f t="shared" si="3"/>
        <v>1</v>
      </c>
      <c r="H47" s="83">
        <v>6978.0</v>
      </c>
      <c r="I47" s="83">
        <v>8000.0</v>
      </c>
      <c r="J47" s="68">
        <f>IF(H47=0,"",H47-I47)</f>
        <v>-1022</v>
      </c>
      <c r="K47" s="69">
        <f>IFERROR((H47-I47)/H47,"")</f>
        <v>-0.1464603038</v>
      </c>
      <c r="L47" s="83">
        <v>23457.0</v>
      </c>
      <c r="M47" s="67">
        <v>5000.0</v>
      </c>
      <c r="N47" s="68">
        <f>IF(L47=0,"",L47-M47)</f>
        <v>18457</v>
      </c>
      <c r="O47" s="69">
        <f>IFERROR((L47-M47)/L47,"")</f>
        <v>0.7868440124</v>
      </c>
      <c r="P47" s="84">
        <f t="shared" ref="P47:Q47" si="23">H47-L47</f>
        <v>-16479</v>
      </c>
      <c r="Q47" s="84">
        <f t="shared" si="23"/>
        <v>3000</v>
      </c>
      <c r="R47" s="71" t="s">
        <v>136</v>
      </c>
    </row>
    <row r="48" ht="15.75" customHeight="1">
      <c r="A48" s="57">
        <f>A46+7</f>
        <v>45872</v>
      </c>
      <c r="B48" s="48">
        <v>21.0</v>
      </c>
      <c r="C48" s="49">
        <f t="shared" si="1"/>
        <v>0.9545454545</v>
      </c>
      <c r="D48" s="50">
        <v>7127.0</v>
      </c>
      <c r="E48" s="51">
        <f t="shared" ref="E48:E52" si="24">IFERROR(D48/B48,"")</f>
        <v>339.3809524</v>
      </c>
      <c r="F48" s="50">
        <v>5265.0</v>
      </c>
      <c r="G48" s="52">
        <f t="shared" si="3"/>
        <v>0.7387400028</v>
      </c>
      <c r="H48" s="53"/>
      <c r="I48" s="53"/>
      <c r="J48" s="54"/>
      <c r="K48" s="55"/>
      <c r="L48" s="53"/>
      <c r="M48" s="53"/>
      <c r="N48" s="55"/>
      <c r="O48" s="55"/>
      <c r="P48" s="53"/>
      <c r="Q48" s="53"/>
      <c r="R48" s="86"/>
    </row>
    <row r="49" ht="15.75" customHeight="1">
      <c r="A49" s="57">
        <f t="shared" ref="A49:A52" si="25">A48+7</f>
        <v>45879</v>
      </c>
      <c r="B49" s="48">
        <v>21.0</v>
      </c>
      <c r="C49" s="49">
        <f t="shared" si="1"/>
        <v>0.9545454545</v>
      </c>
      <c r="D49" s="50">
        <v>7127.0</v>
      </c>
      <c r="E49" s="51">
        <f t="shared" si="24"/>
        <v>339.3809524</v>
      </c>
      <c r="F49" s="50">
        <v>6065.0</v>
      </c>
      <c r="G49" s="52">
        <f t="shared" si="3"/>
        <v>0.850989196</v>
      </c>
      <c r="H49" s="58"/>
      <c r="I49" s="58"/>
      <c r="J49" s="54"/>
      <c r="K49" s="55"/>
      <c r="L49" s="58"/>
      <c r="M49" s="58"/>
      <c r="N49" s="55"/>
      <c r="O49" s="55"/>
      <c r="P49" s="58"/>
      <c r="Q49" s="58"/>
      <c r="R49" s="86"/>
    </row>
    <row r="50" ht="15.75" customHeight="1">
      <c r="A50" s="57">
        <f t="shared" si="25"/>
        <v>45886</v>
      </c>
      <c r="B50" s="48">
        <v>21.0</v>
      </c>
      <c r="C50" s="49">
        <f t="shared" si="1"/>
        <v>0.9545454545</v>
      </c>
      <c r="D50" s="50">
        <v>7127.0</v>
      </c>
      <c r="E50" s="51">
        <f t="shared" si="24"/>
        <v>339.3809524</v>
      </c>
      <c r="F50" s="50">
        <v>6178.0</v>
      </c>
      <c r="G50" s="52">
        <f t="shared" si="3"/>
        <v>0.8668443946</v>
      </c>
      <c r="H50" s="58"/>
      <c r="I50" s="58"/>
      <c r="J50" s="54"/>
      <c r="K50" s="55"/>
      <c r="L50" s="58"/>
      <c r="M50" s="58"/>
      <c r="N50" s="55"/>
      <c r="O50" s="55"/>
      <c r="P50" s="58"/>
      <c r="Q50" s="58"/>
      <c r="R50" s="86"/>
    </row>
    <row r="51" ht="15.75" customHeight="1">
      <c r="A51" s="57">
        <f t="shared" si="25"/>
        <v>45893</v>
      </c>
      <c r="B51" s="48">
        <v>21.0</v>
      </c>
      <c r="C51" s="49">
        <f t="shared" si="1"/>
        <v>0.9545454545</v>
      </c>
      <c r="D51" s="50">
        <v>7127.0</v>
      </c>
      <c r="E51" s="51">
        <f t="shared" si="24"/>
        <v>339.3809524</v>
      </c>
      <c r="F51" s="50">
        <v>6178.0</v>
      </c>
      <c r="G51" s="52">
        <f t="shared" si="3"/>
        <v>0.8668443946</v>
      </c>
      <c r="H51" s="60"/>
      <c r="I51" s="60"/>
      <c r="J51" s="54"/>
      <c r="K51" s="55"/>
      <c r="L51" s="58"/>
      <c r="M51" s="58"/>
      <c r="N51" s="55"/>
      <c r="O51" s="55"/>
      <c r="P51" s="58"/>
      <c r="Q51" s="58"/>
      <c r="R51" s="86"/>
    </row>
    <row r="52" ht="15.75" customHeight="1">
      <c r="A52" s="57">
        <f t="shared" si="25"/>
        <v>45900</v>
      </c>
      <c r="B52" s="48">
        <v>21.0</v>
      </c>
      <c r="C52" s="49">
        <f t="shared" si="1"/>
        <v>0.9545454545</v>
      </c>
      <c r="D52" s="50">
        <v>7127.0</v>
      </c>
      <c r="E52" s="51">
        <f t="shared" si="24"/>
        <v>339.3809524</v>
      </c>
      <c r="F52" s="50">
        <v>6178.0</v>
      </c>
      <c r="G52" s="72">
        <f t="shared" si="3"/>
        <v>0.8668443946</v>
      </c>
      <c r="H52" s="74"/>
      <c r="I52" s="80"/>
      <c r="J52" s="75"/>
      <c r="K52" s="55"/>
      <c r="L52" s="60"/>
      <c r="M52" s="60"/>
      <c r="N52" s="55"/>
      <c r="O52" s="55"/>
      <c r="P52" s="60"/>
      <c r="Q52" s="60"/>
      <c r="R52" s="86"/>
    </row>
    <row r="53" ht="15.75" customHeight="1">
      <c r="A53" s="61" t="s">
        <v>51</v>
      </c>
      <c r="B53" s="62">
        <v>20.0</v>
      </c>
      <c r="C53" s="63">
        <f t="shared" si="1"/>
        <v>0.9090909091</v>
      </c>
      <c r="D53" s="64">
        <v>8000.0</v>
      </c>
      <c r="E53" s="70">
        <f>D53/B53</f>
        <v>400</v>
      </c>
      <c r="F53" s="64">
        <v>8000.0</v>
      </c>
      <c r="G53" s="66">
        <f t="shared" si="3"/>
        <v>1</v>
      </c>
      <c r="H53" s="67">
        <v>6178.0</v>
      </c>
      <c r="I53" s="67">
        <v>8000.0</v>
      </c>
      <c r="J53" s="68">
        <f>IF(H53=0,"",H53-I53)</f>
        <v>-1822</v>
      </c>
      <c r="K53" s="69">
        <f>IFERROR((H53-I53)/H53,"")</f>
        <v>-0.294917449</v>
      </c>
      <c r="L53" s="67">
        <v>3010.0</v>
      </c>
      <c r="M53" s="67">
        <v>5000.0</v>
      </c>
      <c r="N53" s="68">
        <f>IF(L53=0,"",L53-M53)</f>
        <v>-1990</v>
      </c>
      <c r="O53" s="69">
        <f>IFERROR((L53-M53)/L53,"")</f>
        <v>-0.6611295681</v>
      </c>
      <c r="P53" s="70">
        <f t="shared" ref="P53:Q53" si="26">H53-L53</f>
        <v>3168</v>
      </c>
      <c r="Q53" s="70">
        <f t="shared" si="26"/>
        <v>3000</v>
      </c>
      <c r="R53" s="71" t="s">
        <v>137</v>
      </c>
    </row>
    <row r="54" ht="15.75" customHeight="1">
      <c r="A54" s="57">
        <f>A52+7</f>
        <v>45907</v>
      </c>
      <c r="B54" s="48">
        <v>21.0</v>
      </c>
      <c r="C54" s="49">
        <f t="shared" si="1"/>
        <v>0.9545454545</v>
      </c>
      <c r="D54" s="50">
        <v>7677.0</v>
      </c>
      <c r="E54" s="51">
        <f t="shared" ref="E54:E57" si="27">IFERROR(D54/B54,"")</f>
        <v>365.5714286</v>
      </c>
      <c r="F54" s="50">
        <v>7162.0</v>
      </c>
      <c r="G54" s="52">
        <f t="shared" si="3"/>
        <v>0.9329165038</v>
      </c>
      <c r="H54" s="78"/>
      <c r="I54" s="78"/>
      <c r="J54" s="54"/>
      <c r="K54" s="76"/>
      <c r="L54" s="74"/>
      <c r="M54" s="74"/>
      <c r="N54" s="77"/>
      <c r="O54" s="55"/>
      <c r="P54" s="74"/>
      <c r="Q54" s="74"/>
      <c r="R54" s="86"/>
    </row>
    <row r="55" ht="15.75" customHeight="1">
      <c r="A55" s="57">
        <f t="shared" ref="A55:A57" si="28">A54+7</f>
        <v>45914</v>
      </c>
      <c r="B55" s="48">
        <v>21.0</v>
      </c>
      <c r="C55" s="49">
        <f t="shared" si="1"/>
        <v>0.9545454545</v>
      </c>
      <c r="D55" s="50">
        <v>7677.0</v>
      </c>
      <c r="E55" s="51">
        <f t="shared" si="27"/>
        <v>365.5714286</v>
      </c>
      <c r="F55" s="50">
        <v>7762.0</v>
      </c>
      <c r="G55" s="52">
        <f t="shared" si="3"/>
        <v>1.011072033</v>
      </c>
      <c r="H55" s="58"/>
      <c r="I55" s="58"/>
      <c r="J55" s="54"/>
      <c r="K55" s="55"/>
      <c r="L55" s="78"/>
      <c r="M55" s="78"/>
      <c r="N55" s="55"/>
      <c r="O55" s="55"/>
      <c r="P55" s="78"/>
      <c r="Q55" s="78"/>
      <c r="R55" s="86"/>
    </row>
    <row r="56" ht="15.75" customHeight="1">
      <c r="A56" s="57">
        <f t="shared" si="28"/>
        <v>45921</v>
      </c>
      <c r="B56" s="48">
        <v>21.0</v>
      </c>
      <c r="C56" s="49">
        <f t="shared" si="1"/>
        <v>0.9545454545</v>
      </c>
      <c r="D56" s="50">
        <v>7677.0</v>
      </c>
      <c r="E56" s="51">
        <f t="shared" si="27"/>
        <v>365.5714286</v>
      </c>
      <c r="F56" s="50">
        <v>7762.0</v>
      </c>
      <c r="G56" s="52">
        <f t="shared" si="3"/>
        <v>1.011072033</v>
      </c>
      <c r="H56" s="58"/>
      <c r="I56" s="58"/>
      <c r="J56" s="54"/>
      <c r="K56" s="55"/>
      <c r="L56" s="58"/>
      <c r="M56" s="58"/>
      <c r="N56" s="55"/>
      <c r="O56" s="55"/>
      <c r="P56" s="58"/>
      <c r="Q56" s="58"/>
      <c r="R56" s="86"/>
    </row>
    <row r="57" ht="15.75" customHeight="1">
      <c r="A57" s="57">
        <f t="shared" si="28"/>
        <v>45928</v>
      </c>
      <c r="B57" s="48">
        <v>21.0</v>
      </c>
      <c r="C57" s="49">
        <f t="shared" si="1"/>
        <v>0.9545454545</v>
      </c>
      <c r="D57" s="50">
        <v>7677.0</v>
      </c>
      <c r="E57" s="51">
        <f t="shared" si="27"/>
        <v>365.5714286</v>
      </c>
      <c r="F57" s="50">
        <v>7762.0</v>
      </c>
      <c r="G57" s="52">
        <f t="shared" si="3"/>
        <v>1.011072033</v>
      </c>
      <c r="H57" s="82"/>
      <c r="I57" s="82"/>
      <c r="J57" s="54"/>
      <c r="K57" s="55"/>
      <c r="L57" s="82"/>
      <c r="M57" s="82"/>
      <c r="N57" s="55"/>
      <c r="O57" s="55"/>
      <c r="P57" s="82"/>
      <c r="Q57" s="82"/>
      <c r="R57" s="86"/>
    </row>
    <row r="58" ht="15.75" customHeight="1">
      <c r="A58" s="61" t="s">
        <v>51</v>
      </c>
      <c r="B58" s="62">
        <v>20.0</v>
      </c>
      <c r="C58" s="63">
        <f t="shared" si="1"/>
        <v>0.9090909091</v>
      </c>
      <c r="D58" s="64">
        <v>8000.0</v>
      </c>
      <c r="E58" s="70">
        <f>D58/B58</f>
        <v>400</v>
      </c>
      <c r="F58" s="64">
        <v>8000.0</v>
      </c>
      <c r="G58" s="66">
        <f t="shared" si="3"/>
        <v>1</v>
      </c>
      <c r="H58" s="83">
        <v>7487.0</v>
      </c>
      <c r="I58" s="67">
        <v>8000.0</v>
      </c>
      <c r="J58" s="68">
        <f>IF(H58=0,"",H58-I58)</f>
        <v>-513</v>
      </c>
      <c r="K58" s="69">
        <f>IFERROR((H58-I58)/H58,"")</f>
        <v>-0.06851876586</v>
      </c>
      <c r="L58" s="83">
        <v>3579.0</v>
      </c>
      <c r="M58" s="67">
        <v>5000.0</v>
      </c>
      <c r="N58" s="68">
        <f>IF(L58=0,"",L58-M58)</f>
        <v>-1421</v>
      </c>
      <c r="O58" s="69">
        <f>IFERROR((L58-M58)/L58,"")</f>
        <v>-0.3970382788</v>
      </c>
      <c r="P58" s="84">
        <f t="shared" ref="P58:Q58" si="29">H58-L58</f>
        <v>3908</v>
      </c>
      <c r="Q58" s="84">
        <f t="shared" si="29"/>
        <v>3000</v>
      </c>
      <c r="R58" s="87"/>
    </row>
    <row r="59" ht="15.75" customHeight="1">
      <c r="A59" s="57">
        <f>A57+7</f>
        <v>45935</v>
      </c>
      <c r="B59" s="48">
        <v>21.0</v>
      </c>
      <c r="C59" s="88">
        <f t="shared" si="1"/>
        <v>0.9545454545</v>
      </c>
      <c r="D59" s="50">
        <v>7927.0</v>
      </c>
      <c r="E59" s="51">
        <f t="shared" ref="E59:E62" si="30">IFERROR(D59/B59,"")</f>
        <v>377.4761905</v>
      </c>
      <c r="F59" s="50">
        <v>5666.0</v>
      </c>
      <c r="G59" s="52">
        <f t="shared" si="3"/>
        <v>0.7147722972</v>
      </c>
      <c r="H59" s="53"/>
      <c r="I59" s="53"/>
      <c r="J59" s="54"/>
      <c r="K59" s="55"/>
      <c r="L59" s="53"/>
      <c r="M59" s="53"/>
      <c r="N59" s="55"/>
      <c r="O59" s="55"/>
      <c r="P59" s="53"/>
      <c r="Q59" s="53"/>
      <c r="R59" s="86"/>
    </row>
    <row r="60" ht="15.75" customHeight="1">
      <c r="A60" s="57">
        <f t="shared" ref="A60:A62" si="31">A59+7</f>
        <v>45942</v>
      </c>
      <c r="B60" s="48">
        <v>21.0</v>
      </c>
      <c r="C60" s="88">
        <f t="shared" si="1"/>
        <v>0.9545454545</v>
      </c>
      <c r="D60" s="50">
        <v>7927.0</v>
      </c>
      <c r="E60" s="51">
        <f t="shared" si="30"/>
        <v>377.4761905</v>
      </c>
      <c r="F60" s="50">
        <v>7266.0</v>
      </c>
      <c r="G60" s="52">
        <f t="shared" si="3"/>
        <v>0.9166141037</v>
      </c>
      <c r="H60" s="58"/>
      <c r="I60" s="58"/>
      <c r="J60" s="54"/>
      <c r="K60" s="55"/>
      <c r="L60" s="58"/>
      <c r="M60" s="58"/>
      <c r="N60" s="55"/>
      <c r="O60" s="55"/>
      <c r="P60" s="58"/>
      <c r="Q60" s="58"/>
      <c r="R60" s="86"/>
    </row>
    <row r="61" ht="15.75" customHeight="1">
      <c r="A61" s="57">
        <f t="shared" si="31"/>
        <v>45949</v>
      </c>
      <c r="B61" s="48">
        <v>21.0</v>
      </c>
      <c r="C61" s="88">
        <f t="shared" si="1"/>
        <v>0.9545454545</v>
      </c>
      <c r="D61" s="50">
        <v>7927.0</v>
      </c>
      <c r="E61" s="51">
        <f t="shared" si="30"/>
        <v>377.4761905</v>
      </c>
      <c r="F61" s="50">
        <v>7916.0</v>
      </c>
      <c r="G61" s="52">
        <f t="shared" si="3"/>
        <v>0.9986123376</v>
      </c>
      <c r="H61" s="58"/>
      <c r="I61" s="58"/>
      <c r="J61" s="54"/>
      <c r="K61" s="55"/>
      <c r="L61" s="58"/>
      <c r="M61" s="58"/>
      <c r="N61" s="55"/>
      <c r="O61" s="55"/>
      <c r="P61" s="58"/>
      <c r="Q61" s="58"/>
      <c r="R61" s="86"/>
    </row>
    <row r="62" ht="15.75" customHeight="1">
      <c r="A62" s="57">
        <f t="shared" si="31"/>
        <v>45956</v>
      </c>
      <c r="B62" s="48">
        <v>21.0</v>
      </c>
      <c r="C62" s="88">
        <f t="shared" si="1"/>
        <v>0.9545454545</v>
      </c>
      <c r="D62" s="50">
        <v>7927.0</v>
      </c>
      <c r="E62" s="51">
        <f t="shared" si="30"/>
        <v>377.4761905</v>
      </c>
      <c r="F62" s="50">
        <v>8891.0</v>
      </c>
      <c r="G62" s="52">
        <f t="shared" si="3"/>
        <v>1.121609688</v>
      </c>
      <c r="H62" s="60"/>
      <c r="I62" s="60"/>
      <c r="J62" s="54"/>
      <c r="K62" s="55"/>
      <c r="L62" s="58"/>
      <c r="M62" s="58"/>
      <c r="N62" s="55"/>
      <c r="O62" s="55"/>
      <c r="P62" s="58"/>
      <c r="Q62" s="58"/>
      <c r="R62" s="86"/>
    </row>
    <row r="63" ht="15.75" customHeight="1">
      <c r="A63" s="61" t="s">
        <v>51</v>
      </c>
      <c r="B63" s="62">
        <v>20.0</v>
      </c>
      <c r="C63" s="63">
        <f t="shared" si="1"/>
        <v>0.9090909091</v>
      </c>
      <c r="D63" s="64">
        <v>8000.0</v>
      </c>
      <c r="E63" s="70">
        <f>D63/B63</f>
        <v>400</v>
      </c>
      <c r="F63" s="64">
        <v>8000.0</v>
      </c>
      <c r="G63" s="66">
        <f t="shared" si="3"/>
        <v>1</v>
      </c>
      <c r="H63" s="67">
        <v>9866.0</v>
      </c>
      <c r="I63" s="67">
        <v>8000.0</v>
      </c>
      <c r="J63" s="68">
        <f>IF(H63=0,"",H63-I63)</f>
        <v>1866</v>
      </c>
      <c r="K63" s="69">
        <f>IFERROR((H63-I63)/H63,"")</f>
        <v>0.189134401</v>
      </c>
      <c r="L63" s="67">
        <v>4201.0</v>
      </c>
      <c r="M63" s="67">
        <v>5000.0</v>
      </c>
      <c r="N63" s="68">
        <f>IF(L63=0,"",L63-M63)</f>
        <v>-799</v>
      </c>
      <c r="O63" s="69">
        <f>IFERROR((L63-M63)/L63,"")</f>
        <v>-0.1901928112</v>
      </c>
      <c r="P63" s="70">
        <f t="shared" ref="P63:Q63" si="32">H63-L63</f>
        <v>5665</v>
      </c>
      <c r="Q63" s="70">
        <f t="shared" si="32"/>
        <v>3000</v>
      </c>
      <c r="R63" s="87"/>
    </row>
    <row r="64" ht="15.75" customHeight="1">
      <c r="A64" s="57">
        <f>A62+7</f>
        <v>45963</v>
      </c>
      <c r="B64" s="48">
        <v>21.0</v>
      </c>
      <c r="C64" s="88">
        <f t="shared" si="1"/>
        <v>0.9545454545</v>
      </c>
      <c r="D64" s="50">
        <v>7927.0</v>
      </c>
      <c r="E64" s="51">
        <f t="shared" ref="E64:E68" si="33">IFERROR(D64/B64,"")</f>
        <v>377.4761905</v>
      </c>
      <c r="F64" s="50">
        <v>3965.0</v>
      </c>
      <c r="G64" s="79">
        <f t="shared" si="3"/>
        <v>0.5001892267</v>
      </c>
      <c r="H64" s="81"/>
      <c r="I64" s="74"/>
      <c r="J64" s="75"/>
      <c r="K64" s="55"/>
      <c r="L64" s="60"/>
      <c r="M64" s="60"/>
      <c r="N64" s="55"/>
      <c r="O64" s="55"/>
      <c r="P64" s="60"/>
      <c r="Q64" s="60"/>
      <c r="R64" s="86"/>
    </row>
    <row r="65" ht="15.75" customHeight="1">
      <c r="A65" s="57">
        <f t="shared" ref="A65:A68" si="34">A64+7</f>
        <v>45970</v>
      </c>
      <c r="B65" s="48">
        <v>21.0</v>
      </c>
      <c r="C65" s="88">
        <f t="shared" si="1"/>
        <v>0.9545454545</v>
      </c>
      <c r="D65" s="50">
        <v>7927.0</v>
      </c>
      <c r="E65" s="51">
        <f t="shared" si="33"/>
        <v>377.4761905</v>
      </c>
      <c r="F65" s="50">
        <v>6615.0</v>
      </c>
      <c r="G65" s="52">
        <f t="shared" si="3"/>
        <v>0.8344897187</v>
      </c>
      <c r="H65" s="78"/>
      <c r="I65" s="78"/>
      <c r="J65" s="54"/>
      <c r="K65" s="55"/>
      <c r="L65" s="80"/>
      <c r="M65" s="81"/>
      <c r="N65" s="55"/>
      <c r="O65" s="55"/>
      <c r="P65" s="80"/>
      <c r="Q65" s="81"/>
      <c r="R65" s="86"/>
    </row>
    <row r="66" ht="15.75" customHeight="1">
      <c r="A66" s="57">
        <f t="shared" si="34"/>
        <v>45977</v>
      </c>
      <c r="B66" s="48">
        <v>21.0</v>
      </c>
      <c r="C66" s="88">
        <f t="shared" si="1"/>
        <v>0.9545454545</v>
      </c>
      <c r="D66" s="50">
        <v>7927.0</v>
      </c>
      <c r="E66" s="51">
        <f t="shared" si="33"/>
        <v>377.4761905</v>
      </c>
      <c r="F66" s="50">
        <v>6615.0</v>
      </c>
      <c r="G66" s="52">
        <f t="shared" si="3"/>
        <v>0.8344897187</v>
      </c>
      <c r="H66" s="58"/>
      <c r="I66" s="58"/>
      <c r="J66" s="54"/>
      <c r="K66" s="55"/>
      <c r="L66" s="78"/>
      <c r="M66" s="78"/>
      <c r="N66" s="55"/>
      <c r="O66" s="55"/>
      <c r="P66" s="78"/>
      <c r="Q66" s="78"/>
      <c r="R66" s="86"/>
    </row>
    <row r="67" ht="15.75" customHeight="1">
      <c r="A67" s="57">
        <f t="shared" si="34"/>
        <v>45984</v>
      </c>
      <c r="B67" s="48">
        <v>21.0</v>
      </c>
      <c r="C67" s="88">
        <f t="shared" si="1"/>
        <v>0.9545454545</v>
      </c>
      <c r="D67" s="50">
        <v>7927.0</v>
      </c>
      <c r="E67" s="51">
        <f t="shared" si="33"/>
        <v>377.4761905</v>
      </c>
      <c r="F67" s="50">
        <v>7115.0</v>
      </c>
      <c r="G67" s="52">
        <f t="shared" si="3"/>
        <v>0.8975652832</v>
      </c>
      <c r="H67" s="60"/>
      <c r="I67" s="60"/>
      <c r="J67" s="54"/>
      <c r="K67" s="55"/>
      <c r="L67" s="58"/>
      <c r="M67" s="58"/>
      <c r="N67" s="55"/>
      <c r="O67" s="55"/>
      <c r="P67" s="58"/>
      <c r="Q67" s="58"/>
      <c r="R67" s="86"/>
    </row>
    <row r="68" ht="15.75" customHeight="1">
      <c r="A68" s="57">
        <f t="shared" si="34"/>
        <v>45991</v>
      </c>
      <c r="B68" s="48">
        <v>21.0</v>
      </c>
      <c r="C68" s="88">
        <f t="shared" si="1"/>
        <v>0.9545454545</v>
      </c>
      <c r="D68" s="50">
        <v>7927.0</v>
      </c>
      <c r="E68" s="51">
        <f t="shared" si="33"/>
        <v>377.4761905</v>
      </c>
      <c r="F68" s="50">
        <v>7728.0</v>
      </c>
      <c r="G68" s="79">
        <f t="shared" si="3"/>
        <v>0.9748959253</v>
      </c>
      <c r="H68" s="81"/>
      <c r="I68" s="74"/>
      <c r="J68" s="75"/>
      <c r="K68" s="55"/>
      <c r="L68" s="60"/>
      <c r="M68" s="60"/>
      <c r="N68" s="55"/>
      <c r="O68" s="55"/>
      <c r="P68" s="60"/>
      <c r="Q68" s="60"/>
      <c r="R68" s="86"/>
    </row>
    <row r="69" ht="15.75" customHeight="1">
      <c r="A69" s="61" t="s">
        <v>51</v>
      </c>
      <c r="B69" s="62">
        <v>20.0</v>
      </c>
      <c r="C69" s="63">
        <f t="shared" si="1"/>
        <v>0.9090909091</v>
      </c>
      <c r="D69" s="64">
        <v>8000.0</v>
      </c>
      <c r="E69" s="70">
        <f>D69/B69</f>
        <v>400</v>
      </c>
      <c r="F69" s="64">
        <v>8000.0</v>
      </c>
      <c r="G69" s="66">
        <f t="shared" si="3"/>
        <v>1</v>
      </c>
      <c r="H69" s="70"/>
      <c r="I69" s="67">
        <v>8000.0</v>
      </c>
      <c r="J69" s="68" t="str">
        <f>IF(H69=0,"",H69-I69)</f>
        <v/>
      </c>
      <c r="K69" s="69" t="str">
        <f>IFERROR((H69-I69)/H69,"")</f>
        <v/>
      </c>
      <c r="L69" s="70"/>
      <c r="M69" s="67">
        <v>5000.0</v>
      </c>
      <c r="N69" s="68" t="str">
        <f>IF(L69=0,"",L69-M69)</f>
        <v/>
      </c>
      <c r="O69" s="69" t="str">
        <f>IFERROR((L69-M69)/L69,"")</f>
        <v/>
      </c>
      <c r="P69" s="70">
        <f t="shared" ref="P69:Q69" si="35">H69-L69</f>
        <v>0</v>
      </c>
      <c r="Q69" s="70">
        <f t="shared" si="35"/>
        <v>3000</v>
      </c>
      <c r="R69" s="87"/>
    </row>
    <row r="70" ht="15.75" customHeight="1">
      <c r="A70" s="57">
        <f>A68+7</f>
        <v>45998</v>
      </c>
      <c r="B70" s="89" t="s">
        <v>125</v>
      </c>
      <c r="C70" s="88">
        <f t="shared" si="1"/>
        <v>1</v>
      </c>
      <c r="D70" s="50">
        <v>9131.0</v>
      </c>
      <c r="E70" s="51">
        <f t="shared" ref="E70:E73" si="36">IFERROR(D70/B70,"")</f>
        <v>415.0454545</v>
      </c>
      <c r="F70" s="50">
        <v>6721.0</v>
      </c>
      <c r="G70" s="52">
        <f t="shared" si="3"/>
        <v>0.7360639579</v>
      </c>
      <c r="H70" s="78"/>
      <c r="I70" s="78"/>
      <c r="J70" s="54"/>
      <c r="K70" s="76"/>
      <c r="L70" s="74"/>
      <c r="M70" s="74"/>
      <c r="N70" s="77"/>
      <c r="O70" s="55"/>
      <c r="P70" s="74"/>
      <c r="Q70" s="74"/>
      <c r="R70" s="86"/>
    </row>
    <row r="71" ht="15.75" customHeight="1">
      <c r="A71" s="57">
        <f t="shared" ref="A71:A73" si="37">A70+7</f>
        <v>46005</v>
      </c>
      <c r="B71" s="89" t="s">
        <v>125</v>
      </c>
      <c r="C71" s="88">
        <f t="shared" si="1"/>
        <v>1</v>
      </c>
      <c r="D71" s="50">
        <v>9131.0</v>
      </c>
      <c r="E71" s="51">
        <f t="shared" si="36"/>
        <v>415.0454545</v>
      </c>
      <c r="F71" s="50">
        <v>7328.0</v>
      </c>
      <c r="G71" s="52">
        <f t="shared" si="3"/>
        <v>0.8025407951</v>
      </c>
      <c r="H71" s="58"/>
      <c r="I71" s="58"/>
      <c r="J71" s="54"/>
      <c r="K71" s="55"/>
      <c r="L71" s="78"/>
      <c r="M71" s="78"/>
      <c r="N71" s="55"/>
      <c r="O71" s="55"/>
      <c r="P71" s="78"/>
      <c r="Q71" s="78"/>
      <c r="R71" s="86"/>
    </row>
    <row r="72" ht="15.75" customHeight="1">
      <c r="A72" s="57">
        <f t="shared" si="37"/>
        <v>46012</v>
      </c>
      <c r="B72" s="90"/>
      <c r="C72" s="88" t="str">
        <f t="shared" si="1"/>
        <v/>
      </c>
      <c r="D72" s="91"/>
      <c r="E72" s="51" t="str">
        <f t="shared" si="36"/>
        <v/>
      </c>
      <c r="F72" s="91"/>
      <c r="G72" s="52" t="str">
        <f t="shared" si="3"/>
        <v/>
      </c>
      <c r="H72" s="58"/>
      <c r="I72" s="58"/>
      <c r="J72" s="54"/>
      <c r="K72" s="55"/>
      <c r="L72" s="58"/>
      <c r="M72" s="58"/>
      <c r="N72" s="55"/>
      <c r="O72" s="55"/>
      <c r="P72" s="58"/>
      <c r="Q72" s="58"/>
      <c r="R72" s="86"/>
    </row>
    <row r="73" ht="15.75" customHeight="1">
      <c r="A73" s="57">
        <f t="shared" si="37"/>
        <v>46019</v>
      </c>
      <c r="B73" s="90"/>
      <c r="C73" s="88" t="str">
        <f t="shared" si="1"/>
        <v/>
      </c>
      <c r="D73" s="91"/>
      <c r="E73" s="51" t="str">
        <f t="shared" si="36"/>
        <v/>
      </c>
      <c r="F73" s="91"/>
      <c r="G73" s="52" t="str">
        <f t="shared" si="3"/>
        <v/>
      </c>
      <c r="H73" s="82"/>
      <c r="I73" s="82"/>
      <c r="J73" s="54"/>
      <c r="K73" s="55"/>
      <c r="L73" s="82"/>
      <c r="M73" s="82"/>
      <c r="N73" s="55"/>
      <c r="O73" s="55"/>
      <c r="P73" s="82"/>
      <c r="Q73" s="82"/>
      <c r="R73" s="86"/>
    </row>
    <row r="74" ht="15.75" customHeight="1">
      <c r="A74" s="61" t="s">
        <v>51</v>
      </c>
      <c r="B74" s="62">
        <v>20.0</v>
      </c>
      <c r="C74" s="63">
        <f t="shared" si="1"/>
        <v>0.9090909091</v>
      </c>
      <c r="D74" s="64">
        <v>8000.0</v>
      </c>
      <c r="E74" s="70">
        <f>D74/B74</f>
        <v>400</v>
      </c>
      <c r="F74" s="64">
        <v>8000.0</v>
      </c>
      <c r="G74" s="66">
        <f t="shared" si="3"/>
        <v>1</v>
      </c>
      <c r="H74" s="92"/>
      <c r="I74" s="67">
        <v>8000.0</v>
      </c>
      <c r="J74" s="68" t="str">
        <f t="shared" ref="J74:J75" si="40">IF(H74=0,"",H74-I74)</f>
        <v/>
      </c>
      <c r="K74" s="69" t="str">
        <f t="shared" ref="K74:K75" si="41">IFERROR((H74-I74)/H74,"")</f>
        <v/>
      </c>
      <c r="L74" s="92"/>
      <c r="M74" s="67">
        <v>5000.0</v>
      </c>
      <c r="N74" s="68" t="str">
        <f t="shared" ref="N74:N75" si="43">IF(L74=0,"",L74-M74)</f>
        <v/>
      </c>
      <c r="O74" s="69" t="str">
        <f t="shared" ref="O74:O75" si="44">IFERROR((L74-M74)/L74,"")</f>
        <v/>
      </c>
      <c r="P74" s="92">
        <f t="shared" ref="P74:Q74" si="38">H74-L74</f>
        <v>0</v>
      </c>
      <c r="Q74" s="92">
        <f t="shared" si="38"/>
        <v>3000</v>
      </c>
      <c r="R74" s="87"/>
    </row>
    <row r="75" ht="15.75" customHeight="1">
      <c r="A75" s="93" t="s">
        <v>61</v>
      </c>
      <c r="B75" s="94"/>
      <c r="C75" s="63" t="str">
        <f t="shared" si="1"/>
        <v/>
      </c>
      <c r="D75" s="96"/>
      <c r="E75" s="96" t="str">
        <f>IFERROR(D75/B75,"")</f>
        <v/>
      </c>
      <c r="F75" s="96"/>
      <c r="G75" s="97" t="str">
        <f t="shared" si="3"/>
        <v/>
      </c>
      <c r="H75" s="96">
        <f t="shared" ref="H75:I75" si="39">H15+H20+H26+H31+H36+H42+H47+H53+H58+H63+H69+H74</f>
        <v>71926</v>
      </c>
      <c r="I75" s="96">
        <f t="shared" si="39"/>
        <v>96000</v>
      </c>
      <c r="J75" s="96">
        <f t="shared" si="40"/>
        <v>-24074</v>
      </c>
      <c r="K75" s="95">
        <f t="shared" si="41"/>
        <v>-0.3347051136</v>
      </c>
      <c r="L75" s="96">
        <f t="shared" ref="L75:M75" si="42">L15+L20+L26+L31+L36+L42+L47+L53+L58+L63+L69+L74</f>
        <v>81590</v>
      </c>
      <c r="M75" s="96">
        <f t="shared" si="42"/>
        <v>60000</v>
      </c>
      <c r="N75" s="95">
        <f t="shared" si="43"/>
        <v>21590</v>
      </c>
      <c r="O75" s="95">
        <f t="shared" si="44"/>
        <v>0.2646157617</v>
      </c>
      <c r="P75" s="96">
        <f t="shared" ref="P75:Q75" si="45">P15+P20+P26+P31+P36+P42+P47+P53+P58+P63+P69+P74</f>
        <v>-9664</v>
      </c>
      <c r="Q75" s="96">
        <f t="shared" si="45"/>
        <v>36000</v>
      </c>
      <c r="R75" s="98"/>
    </row>
    <row r="76" ht="15.75" customHeight="1">
      <c r="A76" s="99" t="s">
        <v>62</v>
      </c>
      <c r="B76" s="100" t="s">
        <v>62</v>
      </c>
      <c r="C76" s="100" t="s">
        <v>62</v>
      </c>
      <c r="D76" s="101" t="s">
        <v>62</v>
      </c>
      <c r="E76" s="102" t="s">
        <v>62</v>
      </c>
      <c r="F76" s="101" t="s">
        <v>62</v>
      </c>
      <c r="G76" s="100" t="s">
        <v>62</v>
      </c>
      <c r="H76" s="102" t="s">
        <v>62</v>
      </c>
      <c r="I76" s="102" t="s">
        <v>62</v>
      </c>
      <c r="J76" s="102" t="s">
        <v>62</v>
      </c>
      <c r="K76" s="100" t="s">
        <v>62</v>
      </c>
      <c r="L76" s="102" t="s">
        <v>62</v>
      </c>
      <c r="M76" s="102" t="s">
        <v>62</v>
      </c>
      <c r="N76" s="100" t="s">
        <v>62</v>
      </c>
      <c r="O76" s="100" t="s">
        <v>62</v>
      </c>
      <c r="P76" s="102" t="s">
        <v>62</v>
      </c>
      <c r="Q76" s="102" t="s">
        <v>62</v>
      </c>
      <c r="R76" s="100" t="s">
        <v>62</v>
      </c>
    </row>
    <row r="77" ht="15.75" customHeight="1">
      <c r="A77" s="103"/>
      <c r="B77" s="104"/>
      <c r="C77" s="104"/>
      <c r="D77" s="105"/>
      <c r="E77" s="106"/>
      <c r="F77" s="107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6"/>
    </row>
    <row r="78" ht="15.75" customHeight="1">
      <c r="A78" s="103"/>
      <c r="B78" s="104"/>
      <c r="C78" s="104"/>
      <c r="D78" s="105"/>
      <c r="E78" s="106"/>
      <c r="F78" s="107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6"/>
    </row>
    <row r="79" ht="15.75" customHeight="1">
      <c r="A79" s="103"/>
      <c r="B79" s="104"/>
      <c r="C79" s="104"/>
      <c r="D79" s="105"/>
      <c r="E79" s="106"/>
      <c r="F79" s="107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6"/>
    </row>
    <row r="80" ht="15.75" customHeight="1">
      <c r="A80" s="103"/>
      <c r="B80" s="104"/>
      <c r="C80" s="104"/>
      <c r="D80" s="105"/>
      <c r="E80" s="106"/>
      <c r="F80" s="107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6"/>
    </row>
    <row r="81" ht="15.75" customHeight="1">
      <c r="A81" s="109"/>
      <c r="B81" s="104"/>
      <c r="C81" s="104"/>
      <c r="D81" s="105"/>
      <c r="E81" s="106"/>
      <c r="F81" s="107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6"/>
    </row>
    <row r="82" ht="15.75" customHeight="1">
      <c r="A82" s="109"/>
      <c r="B82" s="104"/>
      <c r="C82" s="104"/>
      <c r="D82" s="105"/>
      <c r="E82" s="106"/>
      <c r="F82" s="107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6"/>
    </row>
    <row r="83" ht="15.75" customHeight="1">
      <c r="A83" s="109"/>
      <c r="B83" s="104"/>
      <c r="C83" s="104"/>
      <c r="D83" s="105"/>
      <c r="E83" s="106"/>
      <c r="F83" s="107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6"/>
    </row>
    <row r="84" ht="15.75" customHeight="1">
      <c r="A84" s="109"/>
      <c r="B84" s="104"/>
      <c r="C84" s="104"/>
      <c r="D84" s="105"/>
      <c r="E84" s="106"/>
      <c r="F84" s="107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6"/>
    </row>
    <row r="85" ht="15.75" customHeight="1">
      <c r="A85" s="109"/>
      <c r="B85" s="104"/>
      <c r="C85" s="104"/>
      <c r="D85" s="105"/>
      <c r="E85" s="106"/>
      <c r="F85" s="107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6"/>
    </row>
    <row r="86" ht="15.75" customHeight="1">
      <c r="A86" s="109"/>
      <c r="B86" s="104"/>
      <c r="C86" s="104"/>
      <c r="D86" s="105"/>
      <c r="E86" s="106"/>
      <c r="F86" s="107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6"/>
    </row>
    <row r="87" ht="15.75" customHeight="1">
      <c r="A87" s="109"/>
      <c r="B87" s="104"/>
      <c r="C87" s="104"/>
      <c r="D87" s="105"/>
      <c r="E87" s="106"/>
      <c r="F87" s="107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6"/>
    </row>
    <row r="88" ht="15.75" customHeight="1">
      <c r="A88" s="109"/>
      <c r="B88" s="104"/>
      <c r="C88" s="104"/>
      <c r="D88" s="105"/>
      <c r="E88" s="106"/>
      <c r="F88" s="107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6"/>
    </row>
    <row r="89" ht="15.75" customHeight="1">
      <c r="A89" s="109"/>
      <c r="B89" s="104"/>
      <c r="C89" s="104"/>
      <c r="D89" s="105"/>
      <c r="E89" s="106"/>
      <c r="F89" s="107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6"/>
    </row>
    <row r="90" ht="15.75" customHeight="1">
      <c r="A90" s="109"/>
      <c r="B90" s="104"/>
      <c r="C90" s="104"/>
      <c r="D90" s="105"/>
      <c r="E90" s="106"/>
      <c r="F90" s="107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6"/>
    </row>
    <row r="91" ht="15.75" customHeight="1">
      <c r="A91" s="109"/>
      <c r="B91" s="104"/>
      <c r="C91" s="104"/>
      <c r="D91" s="105"/>
      <c r="E91" s="106"/>
      <c r="F91" s="107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6"/>
    </row>
    <row r="92" ht="15.75" customHeight="1">
      <c r="A92" s="109"/>
      <c r="B92" s="104"/>
      <c r="C92" s="104"/>
      <c r="D92" s="105"/>
      <c r="E92" s="106"/>
      <c r="F92" s="107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6"/>
    </row>
    <row r="93" ht="15.75" customHeight="1">
      <c r="A93" s="109"/>
      <c r="B93" s="104"/>
      <c r="C93" s="104"/>
      <c r="D93" s="105"/>
      <c r="E93" s="106"/>
      <c r="F93" s="107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6"/>
    </row>
    <row r="94" ht="15.75" customHeight="1">
      <c r="A94" s="109"/>
      <c r="B94" s="104"/>
      <c r="C94" s="104"/>
      <c r="D94" s="105"/>
      <c r="E94" s="106"/>
      <c r="F94" s="107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6"/>
    </row>
    <row r="95" ht="15.75" customHeight="1">
      <c r="A95" s="109"/>
      <c r="B95" s="104"/>
      <c r="C95" s="104"/>
      <c r="D95" s="105"/>
      <c r="E95" s="106"/>
      <c r="F95" s="107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6"/>
    </row>
    <row r="96" ht="15.75" customHeight="1">
      <c r="A96" s="109"/>
      <c r="B96" s="104"/>
      <c r="C96" s="104"/>
      <c r="D96" s="105"/>
      <c r="E96" s="106"/>
      <c r="F96" s="107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6"/>
    </row>
    <row r="97" ht="15.75" customHeight="1">
      <c r="A97" s="109"/>
      <c r="B97" s="104"/>
      <c r="C97" s="104"/>
      <c r="D97" s="105"/>
      <c r="E97" s="106"/>
      <c r="F97" s="107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6"/>
    </row>
    <row r="98" ht="15.75" customHeight="1">
      <c r="A98" s="109"/>
      <c r="B98" s="104"/>
      <c r="C98" s="104"/>
      <c r="D98" s="105"/>
      <c r="E98" s="106"/>
      <c r="F98" s="107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6"/>
    </row>
    <row r="99" ht="15.75" customHeight="1">
      <c r="A99" s="109"/>
      <c r="B99" s="104"/>
      <c r="C99" s="104"/>
      <c r="D99" s="105"/>
      <c r="E99" s="106"/>
      <c r="F99" s="107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6"/>
    </row>
    <row r="100" ht="15.75" customHeight="1">
      <c r="A100" s="109"/>
      <c r="B100" s="104"/>
      <c r="C100" s="104"/>
      <c r="D100" s="105"/>
      <c r="E100" s="106"/>
      <c r="F100" s="107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6"/>
    </row>
    <row r="101" ht="15.75" customHeight="1">
      <c r="A101" s="109"/>
      <c r="B101" s="104"/>
      <c r="C101" s="104"/>
      <c r="D101" s="105"/>
      <c r="E101" s="106"/>
      <c r="F101" s="107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6"/>
    </row>
    <row r="102" ht="15.75" customHeight="1">
      <c r="A102" s="109"/>
      <c r="B102" s="104"/>
      <c r="C102" s="104"/>
      <c r="D102" s="105"/>
      <c r="E102" s="106"/>
      <c r="F102" s="107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6"/>
    </row>
    <row r="103" ht="15.75" customHeight="1">
      <c r="A103" s="109"/>
      <c r="B103" s="104"/>
      <c r="C103" s="104"/>
      <c r="D103" s="105"/>
      <c r="E103" s="106"/>
      <c r="F103" s="107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6"/>
    </row>
    <row r="104" ht="15.75" customHeight="1">
      <c r="A104" s="109"/>
      <c r="B104" s="104"/>
      <c r="C104" s="104"/>
      <c r="D104" s="105"/>
      <c r="E104" s="106"/>
      <c r="F104" s="107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6"/>
    </row>
    <row r="105" ht="15.75" customHeight="1">
      <c r="A105" s="109"/>
      <c r="B105" s="104"/>
      <c r="C105" s="104"/>
      <c r="D105" s="105"/>
      <c r="E105" s="106"/>
      <c r="F105" s="107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6"/>
    </row>
    <row r="106" ht="15.75" customHeight="1">
      <c r="A106" s="109"/>
      <c r="B106" s="104"/>
      <c r="C106" s="104"/>
      <c r="D106" s="105"/>
      <c r="E106" s="106"/>
      <c r="F106" s="107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6"/>
    </row>
    <row r="107" ht="15.75" customHeight="1">
      <c r="A107" s="109"/>
      <c r="B107" s="104"/>
      <c r="C107" s="104"/>
      <c r="D107" s="105"/>
      <c r="E107" s="106"/>
      <c r="F107" s="107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6"/>
    </row>
    <row r="108" ht="15.75" customHeight="1">
      <c r="A108" s="109"/>
      <c r="B108" s="104"/>
      <c r="C108" s="104"/>
      <c r="D108" s="105"/>
      <c r="E108" s="106"/>
      <c r="F108" s="107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6"/>
    </row>
    <row r="109" ht="15.75" customHeight="1">
      <c r="A109" s="109"/>
      <c r="B109" s="104"/>
      <c r="C109" s="104"/>
      <c r="D109" s="105"/>
      <c r="E109" s="106"/>
      <c r="F109" s="107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6"/>
    </row>
    <row r="110" ht="15.75" customHeight="1">
      <c r="A110" s="109"/>
      <c r="B110" s="104"/>
      <c r="C110" s="104"/>
      <c r="D110" s="105"/>
      <c r="E110" s="106"/>
      <c r="F110" s="107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6"/>
    </row>
    <row r="111" ht="15.75" customHeight="1">
      <c r="A111" s="109"/>
      <c r="B111" s="104"/>
      <c r="C111" s="104"/>
      <c r="D111" s="105"/>
      <c r="E111" s="106"/>
      <c r="F111" s="107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6"/>
    </row>
    <row r="112" ht="15.75" customHeight="1">
      <c r="A112" s="109"/>
      <c r="B112" s="104"/>
      <c r="C112" s="104"/>
      <c r="D112" s="105"/>
      <c r="E112" s="106"/>
      <c r="F112" s="107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6"/>
    </row>
    <row r="113" ht="15.75" customHeight="1">
      <c r="A113" s="109"/>
      <c r="B113" s="104"/>
      <c r="C113" s="104"/>
      <c r="D113" s="105"/>
      <c r="E113" s="106"/>
      <c r="F113" s="107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6"/>
    </row>
    <row r="114" ht="15.75" customHeight="1">
      <c r="A114" s="109"/>
      <c r="B114" s="104"/>
      <c r="C114" s="104"/>
      <c r="D114" s="105"/>
      <c r="E114" s="106"/>
      <c r="F114" s="107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6"/>
    </row>
    <row r="115" ht="15.75" customHeight="1">
      <c r="A115" s="109"/>
      <c r="B115" s="104"/>
      <c r="C115" s="104"/>
      <c r="D115" s="105"/>
      <c r="E115" s="106"/>
      <c r="F115" s="107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6"/>
    </row>
    <row r="116" ht="15.75" customHeight="1">
      <c r="A116" s="109"/>
      <c r="B116" s="104"/>
      <c r="C116" s="104"/>
      <c r="D116" s="105"/>
      <c r="E116" s="106"/>
      <c r="F116" s="107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6"/>
    </row>
    <row r="117" ht="15.75" customHeight="1">
      <c r="A117" s="109"/>
      <c r="B117" s="104"/>
      <c r="C117" s="104"/>
      <c r="D117" s="105"/>
      <c r="E117" s="106"/>
      <c r="F117" s="107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6"/>
    </row>
    <row r="118" ht="15.75" customHeight="1">
      <c r="A118" s="109"/>
      <c r="B118" s="104"/>
      <c r="C118" s="104"/>
      <c r="D118" s="105"/>
      <c r="E118" s="106"/>
      <c r="F118" s="107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6"/>
    </row>
    <row r="119" ht="15.75" customHeight="1">
      <c r="A119" s="109"/>
      <c r="B119" s="104"/>
      <c r="C119" s="104"/>
      <c r="D119" s="105"/>
      <c r="E119" s="106"/>
      <c r="F119" s="107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6"/>
    </row>
    <row r="120" ht="15.75" customHeight="1">
      <c r="A120" s="109"/>
      <c r="B120" s="104"/>
      <c r="C120" s="104"/>
      <c r="D120" s="105"/>
      <c r="E120" s="106"/>
      <c r="F120" s="107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6"/>
    </row>
    <row r="121" ht="15.75" customHeight="1">
      <c r="A121" s="109"/>
      <c r="B121" s="104"/>
      <c r="C121" s="104"/>
      <c r="D121" s="105"/>
      <c r="E121" s="106"/>
      <c r="F121" s="107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6"/>
    </row>
    <row r="122" ht="15.75" customHeight="1">
      <c r="A122" s="109"/>
      <c r="B122" s="104"/>
      <c r="C122" s="104"/>
      <c r="D122" s="105"/>
      <c r="E122" s="106"/>
      <c r="F122" s="107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6"/>
    </row>
    <row r="123" ht="15.75" customHeight="1">
      <c r="A123" s="109"/>
      <c r="B123" s="104"/>
      <c r="C123" s="104"/>
      <c r="D123" s="105"/>
      <c r="E123" s="106"/>
      <c r="F123" s="107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6"/>
    </row>
    <row r="124" ht="15.75" customHeight="1">
      <c r="A124" s="109"/>
      <c r="B124" s="104"/>
      <c r="C124" s="104"/>
      <c r="D124" s="105"/>
      <c r="E124" s="106"/>
      <c r="F124" s="107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6"/>
    </row>
    <row r="125" ht="15.75" customHeight="1">
      <c r="A125" s="109"/>
      <c r="B125" s="104"/>
      <c r="C125" s="104"/>
      <c r="D125" s="105"/>
      <c r="E125" s="106"/>
      <c r="F125" s="107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6"/>
    </row>
    <row r="126" ht="15.75" customHeight="1">
      <c r="A126" s="109"/>
      <c r="B126" s="104"/>
      <c r="C126" s="104"/>
      <c r="D126" s="105"/>
      <c r="E126" s="106"/>
      <c r="F126" s="107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6"/>
    </row>
    <row r="127" ht="15.75" customHeight="1">
      <c r="A127" s="109"/>
      <c r="B127" s="104"/>
      <c r="C127" s="104"/>
      <c r="D127" s="105"/>
      <c r="E127" s="106"/>
      <c r="F127" s="107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6"/>
    </row>
    <row r="128" ht="15.75" customHeight="1">
      <c r="A128" s="109"/>
      <c r="B128" s="104"/>
      <c r="C128" s="104"/>
      <c r="D128" s="105"/>
      <c r="E128" s="106"/>
      <c r="F128" s="107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6"/>
    </row>
    <row r="129" ht="15.75" customHeight="1">
      <c r="A129" s="109"/>
      <c r="B129" s="104"/>
      <c r="C129" s="104"/>
      <c r="D129" s="105"/>
      <c r="E129" s="106"/>
      <c r="F129" s="107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6"/>
    </row>
    <row r="130" ht="15.75" customHeight="1">
      <c r="A130" s="109"/>
      <c r="B130" s="104"/>
      <c r="C130" s="104"/>
      <c r="D130" s="105"/>
      <c r="E130" s="106"/>
      <c r="F130" s="107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6"/>
    </row>
    <row r="131" ht="15.75" customHeight="1">
      <c r="A131" s="109"/>
      <c r="B131" s="104"/>
      <c r="C131" s="104"/>
      <c r="D131" s="105"/>
      <c r="E131" s="106"/>
      <c r="F131" s="107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6"/>
    </row>
    <row r="132" ht="15.75" customHeight="1">
      <c r="A132" s="109"/>
      <c r="B132" s="104"/>
      <c r="C132" s="104"/>
      <c r="D132" s="105"/>
      <c r="E132" s="106"/>
      <c r="F132" s="107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6"/>
    </row>
    <row r="133" ht="15.75" customHeight="1">
      <c r="A133" s="109"/>
      <c r="B133" s="104"/>
      <c r="C133" s="104"/>
      <c r="D133" s="105"/>
      <c r="E133" s="106"/>
      <c r="F133" s="107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6"/>
    </row>
    <row r="134" ht="15.75" customHeight="1">
      <c r="A134" s="109"/>
      <c r="B134" s="104"/>
      <c r="C134" s="104"/>
      <c r="D134" s="105"/>
      <c r="E134" s="106"/>
      <c r="F134" s="107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6"/>
    </row>
    <row r="135" ht="15.75" customHeight="1">
      <c r="A135" s="109"/>
      <c r="B135" s="104"/>
      <c r="C135" s="104"/>
      <c r="D135" s="105"/>
      <c r="E135" s="106"/>
      <c r="F135" s="107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6"/>
    </row>
    <row r="136" ht="15.75" customHeight="1">
      <c r="A136" s="109"/>
      <c r="B136" s="104"/>
      <c r="C136" s="104"/>
      <c r="D136" s="105"/>
      <c r="E136" s="106"/>
      <c r="F136" s="107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6"/>
    </row>
    <row r="137" ht="15.75" customHeight="1">
      <c r="A137" s="109"/>
      <c r="B137" s="104"/>
      <c r="C137" s="104"/>
      <c r="D137" s="105"/>
      <c r="E137" s="106"/>
      <c r="F137" s="107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6"/>
    </row>
    <row r="138" ht="15.75" customHeight="1">
      <c r="A138" s="109"/>
      <c r="B138" s="104"/>
      <c r="C138" s="104"/>
      <c r="D138" s="105"/>
      <c r="E138" s="106"/>
      <c r="F138" s="107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6"/>
    </row>
    <row r="139" ht="15.75" customHeight="1">
      <c r="A139" s="109"/>
      <c r="B139" s="104"/>
      <c r="C139" s="104"/>
      <c r="D139" s="105"/>
      <c r="E139" s="106"/>
      <c r="F139" s="107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6"/>
    </row>
    <row r="140" ht="15.75" customHeight="1">
      <c r="A140" s="109"/>
      <c r="B140" s="104"/>
      <c r="C140" s="104"/>
      <c r="D140" s="105"/>
      <c r="E140" s="106"/>
      <c r="F140" s="107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6"/>
    </row>
    <row r="141" ht="15.75" customHeight="1">
      <c r="A141" s="109"/>
      <c r="B141" s="104"/>
      <c r="C141" s="104"/>
      <c r="D141" s="105"/>
      <c r="E141" s="106"/>
      <c r="F141" s="107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6"/>
    </row>
    <row r="142" ht="15.75" customHeight="1">
      <c r="A142" s="109"/>
      <c r="B142" s="104"/>
      <c r="C142" s="104"/>
      <c r="D142" s="105"/>
      <c r="E142" s="106"/>
      <c r="F142" s="107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6"/>
    </row>
    <row r="143" ht="15.75" customHeight="1">
      <c r="A143" s="109"/>
      <c r="B143" s="104"/>
      <c r="C143" s="104"/>
      <c r="D143" s="105"/>
      <c r="E143" s="106"/>
      <c r="F143" s="107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6"/>
    </row>
    <row r="144" ht="15.75" customHeight="1">
      <c r="A144" s="109"/>
      <c r="B144" s="104"/>
      <c r="C144" s="104"/>
      <c r="D144" s="105"/>
      <c r="E144" s="106"/>
      <c r="F144" s="107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6"/>
    </row>
    <row r="145" ht="15.75" customHeight="1">
      <c r="A145" s="109"/>
      <c r="B145" s="104"/>
      <c r="C145" s="104"/>
      <c r="D145" s="105"/>
      <c r="E145" s="106"/>
      <c r="F145" s="107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6"/>
    </row>
    <row r="146" ht="15.75" customHeight="1">
      <c r="A146" s="109"/>
      <c r="B146" s="104"/>
      <c r="C146" s="104"/>
      <c r="D146" s="105"/>
      <c r="E146" s="106"/>
      <c r="F146" s="107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6"/>
    </row>
    <row r="147" ht="15.75" customHeight="1">
      <c r="A147" s="109"/>
      <c r="B147" s="104"/>
      <c r="C147" s="104"/>
      <c r="D147" s="105"/>
      <c r="E147" s="106"/>
      <c r="F147" s="107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6"/>
    </row>
    <row r="148" ht="15.75" customHeight="1">
      <c r="A148" s="109"/>
      <c r="B148" s="104"/>
      <c r="C148" s="104"/>
      <c r="D148" s="105"/>
      <c r="E148" s="106"/>
      <c r="F148" s="107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6"/>
    </row>
    <row r="149" ht="15.75" customHeight="1">
      <c r="A149" s="109"/>
      <c r="B149" s="104"/>
      <c r="C149" s="104"/>
      <c r="D149" s="105"/>
      <c r="E149" s="106"/>
      <c r="F149" s="107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6"/>
    </row>
    <row r="150" ht="15.75" customHeight="1">
      <c r="A150" s="109"/>
      <c r="B150" s="104"/>
      <c r="C150" s="104"/>
      <c r="D150" s="105"/>
      <c r="E150" s="106"/>
      <c r="F150" s="107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6"/>
    </row>
    <row r="151" ht="15.75" customHeight="1">
      <c r="A151" s="109"/>
      <c r="B151" s="104"/>
      <c r="C151" s="104"/>
      <c r="D151" s="105"/>
      <c r="E151" s="106"/>
      <c r="F151" s="107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6"/>
    </row>
    <row r="152" ht="15.75" customHeight="1">
      <c r="A152" s="109"/>
      <c r="B152" s="104"/>
      <c r="C152" s="104"/>
      <c r="D152" s="105"/>
      <c r="E152" s="106"/>
      <c r="F152" s="107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6"/>
    </row>
    <row r="153" ht="15.75" customHeight="1">
      <c r="A153" s="109"/>
      <c r="B153" s="104"/>
      <c r="C153" s="104"/>
      <c r="D153" s="105"/>
      <c r="E153" s="106"/>
      <c r="F153" s="107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6"/>
    </row>
    <row r="154" ht="15.75" customHeight="1">
      <c r="A154" s="109"/>
      <c r="B154" s="104"/>
      <c r="C154" s="104"/>
      <c r="D154" s="105"/>
      <c r="E154" s="106"/>
      <c r="F154" s="107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6"/>
    </row>
    <row r="155" ht="15.75" customHeight="1">
      <c r="A155" s="109"/>
      <c r="B155" s="104"/>
      <c r="C155" s="104"/>
      <c r="D155" s="105"/>
      <c r="E155" s="106"/>
      <c r="F155" s="107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6"/>
    </row>
    <row r="156" ht="15.75" customHeight="1">
      <c r="A156" s="109"/>
      <c r="B156" s="104"/>
      <c r="C156" s="104"/>
      <c r="D156" s="105"/>
      <c r="E156" s="106"/>
      <c r="F156" s="107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6"/>
    </row>
    <row r="157" ht="15.75" customHeight="1">
      <c r="A157" s="109"/>
      <c r="B157" s="104"/>
      <c r="C157" s="104"/>
      <c r="D157" s="105"/>
      <c r="E157" s="106"/>
      <c r="F157" s="107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6"/>
    </row>
    <row r="158" ht="15.75" customHeight="1">
      <c r="A158" s="109"/>
      <c r="B158" s="104"/>
      <c r="C158" s="104"/>
      <c r="D158" s="105"/>
      <c r="E158" s="106"/>
      <c r="F158" s="107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6"/>
    </row>
    <row r="159" ht="15.75" customHeight="1">
      <c r="A159" s="109"/>
      <c r="B159" s="104"/>
      <c r="C159" s="104"/>
      <c r="D159" s="105"/>
      <c r="E159" s="106"/>
      <c r="F159" s="107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6"/>
    </row>
    <row r="160" ht="15.75" customHeight="1">
      <c r="A160" s="109"/>
      <c r="B160" s="104"/>
      <c r="C160" s="104"/>
      <c r="D160" s="105"/>
      <c r="E160" s="106"/>
      <c r="F160" s="107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6"/>
    </row>
    <row r="161" ht="15.75" customHeight="1">
      <c r="A161" s="109"/>
      <c r="B161" s="104"/>
      <c r="C161" s="104"/>
      <c r="D161" s="105"/>
      <c r="E161" s="106"/>
      <c r="F161" s="107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6"/>
    </row>
    <row r="162" ht="15.75" customHeight="1">
      <c r="A162" s="109"/>
      <c r="B162" s="104"/>
      <c r="C162" s="104"/>
      <c r="D162" s="105"/>
      <c r="E162" s="106"/>
      <c r="F162" s="107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6"/>
    </row>
    <row r="163" ht="15.75" customHeight="1">
      <c r="A163" s="109"/>
      <c r="B163" s="104"/>
      <c r="C163" s="104"/>
      <c r="D163" s="105"/>
      <c r="E163" s="106"/>
      <c r="F163" s="107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6"/>
    </row>
    <row r="164" ht="15.75" customHeight="1">
      <c r="A164" s="109"/>
      <c r="B164" s="104"/>
      <c r="C164" s="104"/>
      <c r="D164" s="105"/>
      <c r="E164" s="106"/>
      <c r="F164" s="107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6"/>
    </row>
    <row r="165" ht="15.75" customHeight="1">
      <c r="A165" s="109"/>
      <c r="B165" s="104"/>
      <c r="C165" s="104"/>
      <c r="D165" s="105"/>
      <c r="E165" s="106"/>
      <c r="F165" s="107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6"/>
    </row>
    <row r="166" ht="15.75" customHeight="1">
      <c r="A166" s="109"/>
      <c r="B166" s="104"/>
      <c r="C166" s="104"/>
      <c r="D166" s="105"/>
      <c r="E166" s="106"/>
      <c r="F166" s="107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6"/>
    </row>
    <row r="167" ht="15.75" customHeight="1">
      <c r="A167" s="109"/>
      <c r="B167" s="104"/>
      <c r="C167" s="104"/>
      <c r="D167" s="105"/>
      <c r="E167" s="106"/>
      <c r="F167" s="107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6"/>
    </row>
    <row r="168" ht="15.75" customHeight="1">
      <c r="A168" s="109"/>
      <c r="B168" s="104"/>
      <c r="C168" s="104"/>
      <c r="D168" s="105"/>
      <c r="E168" s="106"/>
      <c r="F168" s="107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6"/>
    </row>
    <row r="169" ht="15.75" customHeight="1">
      <c r="A169" s="109"/>
      <c r="B169" s="104"/>
      <c r="C169" s="104"/>
      <c r="D169" s="105"/>
      <c r="E169" s="106"/>
      <c r="F169" s="107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6"/>
    </row>
    <row r="170" ht="15.75" customHeight="1">
      <c r="A170" s="109"/>
      <c r="B170" s="104"/>
      <c r="C170" s="104"/>
      <c r="D170" s="105"/>
      <c r="E170" s="106"/>
      <c r="F170" s="107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6"/>
    </row>
    <row r="171" ht="15.75" customHeight="1">
      <c r="A171" s="109"/>
      <c r="B171" s="104"/>
      <c r="C171" s="104"/>
      <c r="D171" s="105"/>
      <c r="E171" s="106"/>
      <c r="F171" s="107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6"/>
    </row>
    <row r="172" ht="15.75" customHeight="1">
      <c r="A172" s="109"/>
      <c r="B172" s="104"/>
      <c r="C172" s="104"/>
      <c r="D172" s="105"/>
      <c r="E172" s="106"/>
      <c r="F172" s="107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6"/>
    </row>
    <row r="173" ht="15.75" customHeight="1">
      <c r="A173" s="109"/>
      <c r="B173" s="104"/>
      <c r="C173" s="104"/>
      <c r="D173" s="105"/>
      <c r="E173" s="106"/>
      <c r="F173" s="107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6"/>
    </row>
    <row r="174" ht="15.75" customHeight="1">
      <c r="A174" s="109"/>
      <c r="B174" s="104"/>
      <c r="C174" s="104"/>
      <c r="D174" s="105"/>
      <c r="E174" s="106"/>
      <c r="F174" s="107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6"/>
    </row>
    <row r="175" ht="15.75" customHeight="1">
      <c r="A175" s="109"/>
      <c r="B175" s="104"/>
      <c r="C175" s="104"/>
      <c r="D175" s="105"/>
      <c r="E175" s="106"/>
      <c r="F175" s="107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6"/>
    </row>
    <row r="176" ht="15.75" customHeight="1">
      <c r="A176" s="109"/>
      <c r="B176" s="104"/>
      <c r="C176" s="104"/>
      <c r="D176" s="105"/>
      <c r="E176" s="106"/>
      <c r="F176" s="107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6"/>
    </row>
    <row r="177" ht="15.75" customHeight="1">
      <c r="A177" s="109"/>
      <c r="B177" s="104"/>
      <c r="C177" s="104"/>
      <c r="D177" s="105"/>
      <c r="E177" s="106"/>
      <c r="F177" s="107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6"/>
    </row>
    <row r="178" ht="15.75" customHeight="1">
      <c r="A178" s="109"/>
      <c r="B178" s="104"/>
      <c r="C178" s="104"/>
      <c r="D178" s="105"/>
      <c r="E178" s="106"/>
      <c r="F178" s="107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6"/>
    </row>
    <row r="179" ht="15.75" customHeight="1">
      <c r="A179" s="109"/>
      <c r="B179" s="104"/>
      <c r="C179" s="104"/>
      <c r="D179" s="105"/>
      <c r="E179" s="106"/>
      <c r="F179" s="107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6"/>
    </row>
    <row r="180" ht="15.75" customHeight="1">
      <c r="A180" s="109"/>
      <c r="B180" s="104"/>
      <c r="C180" s="104"/>
      <c r="D180" s="105"/>
      <c r="E180" s="106"/>
      <c r="F180" s="107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6"/>
    </row>
    <row r="181" ht="15.75" customHeight="1">
      <c r="A181" s="109"/>
      <c r="B181" s="104"/>
      <c r="C181" s="104"/>
      <c r="D181" s="105"/>
      <c r="E181" s="106"/>
      <c r="F181" s="107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6"/>
    </row>
    <row r="182" ht="15.75" customHeight="1">
      <c r="A182" s="109"/>
      <c r="B182" s="104"/>
      <c r="C182" s="104"/>
      <c r="D182" s="105"/>
      <c r="E182" s="106"/>
      <c r="F182" s="107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6"/>
    </row>
    <row r="183" ht="15.75" customHeight="1">
      <c r="A183" s="109"/>
      <c r="B183" s="104"/>
      <c r="C183" s="104"/>
      <c r="D183" s="105"/>
      <c r="E183" s="106"/>
      <c r="F183" s="107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6"/>
    </row>
    <row r="184" ht="15.75" customHeight="1">
      <c r="A184" s="109"/>
      <c r="B184" s="104"/>
      <c r="C184" s="104"/>
      <c r="D184" s="105"/>
      <c r="E184" s="106"/>
      <c r="F184" s="107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6"/>
    </row>
    <row r="185" ht="15.75" customHeight="1">
      <c r="A185" s="109"/>
      <c r="B185" s="104"/>
      <c r="C185" s="104"/>
      <c r="D185" s="105"/>
      <c r="E185" s="106"/>
      <c r="F185" s="107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6"/>
    </row>
    <row r="186" ht="15.75" customHeight="1">
      <c r="A186" s="109"/>
      <c r="B186" s="104"/>
      <c r="C186" s="104"/>
      <c r="D186" s="105"/>
      <c r="E186" s="106"/>
      <c r="F186" s="107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6"/>
    </row>
    <row r="187" ht="15.75" customHeight="1">
      <c r="A187" s="109"/>
      <c r="B187" s="104"/>
      <c r="C187" s="104"/>
      <c r="D187" s="105"/>
      <c r="E187" s="106"/>
      <c r="F187" s="107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6"/>
    </row>
    <row r="188" ht="15.75" customHeight="1">
      <c r="A188" s="109"/>
      <c r="B188" s="104"/>
      <c r="C188" s="104"/>
      <c r="D188" s="105"/>
      <c r="E188" s="106"/>
      <c r="F188" s="107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6"/>
    </row>
    <row r="189" ht="15.75" customHeight="1">
      <c r="A189" s="109"/>
      <c r="B189" s="104"/>
      <c r="C189" s="104"/>
      <c r="D189" s="105"/>
      <c r="E189" s="106"/>
      <c r="F189" s="107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6"/>
    </row>
    <row r="190" ht="15.75" customHeight="1">
      <c r="A190" s="109"/>
      <c r="B190" s="104"/>
      <c r="C190" s="104"/>
      <c r="D190" s="105"/>
      <c r="E190" s="106"/>
      <c r="F190" s="107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6"/>
    </row>
    <row r="191" ht="15.75" customHeight="1">
      <c r="A191" s="109"/>
      <c r="B191" s="104"/>
      <c r="C191" s="104"/>
      <c r="D191" s="105"/>
      <c r="E191" s="106"/>
      <c r="F191" s="107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6"/>
    </row>
    <row r="192" ht="15.75" customHeight="1">
      <c r="A192" s="109"/>
      <c r="B192" s="104"/>
      <c r="C192" s="104"/>
      <c r="D192" s="105"/>
      <c r="E192" s="106"/>
      <c r="F192" s="107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6"/>
    </row>
    <row r="193" ht="15.75" customHeight="1">
      <c r="A193" s="109"/>
      <c r="B193" s="104"/>
      <c r="C193" s="104"/>
      <c r="D193" s="105"/>
      <c r="E193" s="106"/>
      <c r="F193" s="107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6"/>
    </row>
    <row r="194" ht="15.75" customHeight="1">
      <c r="A194" s="109"/>
      <c r="B194" s="104"/>
      <c r="C194" s="104"/>
      <c r="D194" s="105"/>
      <c r="E194" s="106"/>
      <c r="F194" s="107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6"/>
    </row>
    <row r="195" ht="15.75" customHeight="1">
      <c r="A195" s="109"/>
      <c r="B195" s="104"/>
      <c r="C195" s="104"/>
      <c r="D195" s="105"/>
      <c r="E195" s="106"/>
      <c r="F195" s="107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6"/>
    </row>
    <row r="196" ht="15.75" customHeight="1">
      <c r="A196" s="109"/>
      <c r="B196" s="104"/>
      <c r="C196" s="104"/>
      <c r="D196" s="105"/>
      <c r="E196" s="106"/>
      <c r="F196" s="107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6"/>
    </row>
    <row r="197" ht="15.75" customHeight="1">
      <c r="A197" s="109"/>
      <c r="B197" s="104"/>
      <c r="C197" s="104"/>
      <c r="D197" s="105"/>
      <c r="E197" s="106"/>
      <c r="F197" s="107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6"/>
    </row>
    <row r="198" ht="15.75" customHeight="1">
      <c r="A198" s="109"/>
      <c r="B198" s="104"/>
      <c r="C198" s="104"/>
      <c r="D198" s="105"/>
      <c r="E198" s="106"/>
      <c r="F198" s="107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6"/>
    </row>
    <row r="199" ht="15.75" customHeight="1">
      <c r="A199" s="109"/>
      <c r="B199" s="104"/>
      <c r="C199" s="104"/>
      <c r="D199" s="105"/>
      <c r="E199" s="106"/>
      <c r="F199" s="107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6"/>
    </row>
    <row r="200" ht="15.75" customHeight="1">
      <c r="A200" s="109"/>
      <c r="B200" s="104"/>
      <c r="C200" s="104"/>
      <c r="D200" s="105"/>
      <c r="E200" s="106"/>
      <c r="F200" s="107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6"/>
    </row>
    <row r="201" ht="15.75" customHeight="1">
      <c r="A201" s="109"/>
      <c r="B201" s="104"/>
      <c r="C201" s="104"/>
      <c r="D201" s="105"/>
      <c r="E201" s="106"/>
      <c r="F201" s="107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6"/>
    </row>
    <row r="202" ht="15.75" customHeight="1">
      <c r="A202" s="109"/>
      <c r="B202" s="104"/>
      <c r="C202" s="104"/>
      <c r="D202" s="105"/>
      <c r="E202" s="106"/>
      <c r="F202" s="107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6"/>
    </row>
    <row r="203" ht="15.75" customHeight="1">
      <c r="A203" s="109"/>
      <c r="B203" s="104"/>
      <c r="C203" s="104"/>
      <c r="D203" s="105"/>
      <c r="E203" s="106"/>
      <c r="F203" s="107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6"/>
    </row>
    <row r="204" ht="15.75" customHeight="1">
      <c r="A204" s="109"/>
      <c r="B204" s="104"/>
      <c r="C204" s="104"/>
      <c r="D204" s="105"/>
      <c r="E204" s="106"/>
      <c r="F204" s="107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6"/>
    </row>
    <row r="205" ht="15.75" customHeight="1">
      <c r="A205" s="109"/>
      <c r="B205" s="104"/>
      <c r="C205" s="104"/>
      <c r="D205" s="105"/>
      <c r="E205" s="106"/>
      <c r="F205" s="107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6"/>
    </row>
    <row r="206" ht="15.75" customHeight="1">
      <c r="A206" s="109"/>
      <c r="B206" s="104"/>
      <c r="C206" s="104"/>
      <c r="D206" s="105"/>
      <c r="E206" s="106"/>
      <c r="F206" s="107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6"/>
    </row>
    <row r="207" ht="15.75" customHeight="1">
      <c r="A207" s="109"/>
      <c r="B207" s="104"/>
      <c r="C207" s="104"/>
      <c r="D207" s="105"/>
      <c r="E207" s="106"/>
      <c r="F207" s="107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6"/>
    </row>
    <row r="208" ht="15.75" customHeight="1">
      <c r="A208" s="109"/>
      <c r="B208" s="104"/>
      <c r="C208" s="104"/>
      <c r="D208" s="105"/>
      <c r="E208" s="106"/>
      <c r="F208" s="107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6"/>
    </row>
    <row r="209" ht="15.75" customHeight="1">
      <c r="A209" s="109"/>
      <c r="B209" s="104"/>
      <c r="C209" s="104"/>
      <c r="D209" s="105"/>
      <c r="E209" s="106"/>
      <c r="F209" s="107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6"/>
    </row>
    <row r="210" ht="15.75" customHeight="1">
      <c r="A210" s="109"/>
      <c r="B210" s="104"/>
      <c r="C210" s="104"/>
      <c r="D210" s="105"/>
      <c r="E210" s="106"/>
      <c r="F210" s="107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6"/>
    </row>
    <row r="211" ht="15.75" customHeight="1">
      <c r="A211" s="109"/>
      <c r="B211" s="104"/>
      <c r="C211" s="104"/>
      <c r="D211" s="105"/>
      <c r="E211" s="106"/>
      <c r="F211" s="107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6"/>
    </row>
    <row r="212" ht="15.75" customHeight="1">
      <c r="A212" s="109"/>
      <c r="B212" s="104"/>
      <c r="C212" s="104"/>
      <c r="D212" s="105"/>
      <c r="E212" s="106"/>
      <c r="F212" s="107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6"/>
    </row>
    <row r="213" ht="15.75" customHeight="1">
      <c r="A213" s="109"/>
      <c r="B213" s="104"/>
      <c r="C213" s="104"/>
      <c r="D213" s="105"/>
      <c r="E213" s="106"/>
      <c r="F213" s="107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6"/>
    </row>
    <row r="214" ht="15.75" customHeight="1">
      <c r="A214" s="109"/>
      <c r="B214" s="104"/>
      <c r="C214" s="104"/>
      <c r="D214" s="105"/>
      <c r="E214" s="106"/>
      <c r="F214" s="107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6"/>
    </row>
    <row r="215" ht="15.75" customHeight="1">
      <c r="A215" s="109"/>
      <c r="B215" s="104"/>
      <c r="C215" s="104"/>
      <c r="D215" s="105"/>
      <c r="E215" s="106"/>
      <c r="F215" s="107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6"/>
    </row>
    <row r="216" ht="15.75" customHeight="1">
      <c r="A216" s="109"/>
      <c r="B216" s="104"/>
      <c r="C216" s="104"/>
      <c r="D216" s="105"/>
      <c r="E216" s="106"/>
      <c r="F216" s="107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6"/>
    </row>
    <row r="217" ht="15.75" customHeight="1">
      <c r="A217" s="109"/>
      <c r="B217" s="104"/>
      <c r="C217" s="104"/>
      <c r="D217" s="105"/>
      <c r="E217" s="106"/>
      <c r="F217" s="107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6"/>
    </row>
    <row r="218" ht="15.75" customHeight="1">
      <c r="A218" s="109"/>
      <c r="B218" s="104"/>
      <c r="C218" s="104"/>
      <c r="D218" s="105"/>
      <c r="E218" s="106"/>
      <c r="F218" s="107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6"/>
    </row>
    <row r="219" ht="15.75" customHeight="1">
      <c r="A219" s="109"/>
      <c r="B219" s="104"/>
      <c r="C219" s="104"/>
      <c r="D219" s="105"/>
      <c r="E219" s="106"/>
      <c r="F219" s="107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6"/>
    </row>
    <row r="220" ht="15.75" customHeight="1">
      <c r="A220" s="109"/>
      <c r="B220" s="104"/>
      <c r="C220" s="104"/>
      <c r="D220" s="105"/>
      <c r="E220" s="106"/>
      <c r="F220" s="107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6"/>
    </row>
    <row r="221" ht="15.75" customHeight="1">
      <c r="A221" s="109"/>
      <c r="B221" s="104"/>
      <c r="C221" s="104"/>
      <c r="D221" s="105"/>
      <c r="E221" s="106"/>
      <c r="F221" s="107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6"/>
    </row>
    <row r="222" ht="15.75" customHeight="1">
      <c r="A222" s="109"/>
      <c r="B222" s="104"/>
      <c r="C222" s="104"/>
      <c r="D222" s="105"/>
      <c r="E222" s="106"/>
      <c r="F222" s="107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6"/>
    </row>
    <row r="223" ht="15.75" customHeight="1">
      <c r="A223" s="109"/>
      <c r="B223" s="104"/>
      <c r="C223" s="104"/>
      <c r="D223" s="105"/>
      <c r="E223" s="106"/>
      <c r="F223" s="107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6"/>
    </row>
    <row r="224" ht="15.75" customHeight="1">
      <c r="A224" s="109"/>
      <c r="B224" s="104"/>
      <c r="C224" s="104"/>
      <c r="D224" s="105"/>
      <c r="E224" s="106"/>
      <c r="F224" s="107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6"/>
    </row>
    <row r="225" ht="15.75" customHeight="1">
      <c r="A225" s="109"/>
      <c r="B225" s="104"/>
      <c r="C225" s="104"/>
      <c r="D225" s="105"/>
      <c r="E225" s="106"/>
      <c r="F225" s="107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6"/>
    </row>
    <row r="226" ht="15.75" customHeight="1">
      <c r="A226" s="109"/>
      <c r="B226" s="104"/>
      <c r="C226" s="104"/>
      <c r="D226" s="105"/>
      <c r="E226" s="106"/>
      <c r="F226" s="107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6"/>
    </row>
    <row r="227" ht="15.75" customHeight="1">
      <c r="A227" s="109"/>
      <c r="B227" s="104"/>
      <c r="C227" s="104"/>
      <c r="D227" s="105"/>
      <c r="E227" s="106"/>
      <c r="F227" s="107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6"/>
    </row>
    <row r="228" ht="15.75" customHeight="1">
      <c r="A228" s="109"/>
      <c r="B228" s="104"/>
      <c r="C228" s="104"/>
      <c r="D228" s="105"/>
      <c r="E228" s="106"/>
      <c r="F228" s="107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6"/>
    </row>
    <row r="229" ht="15.75" customHeight="1">
      <c r="A229" s="109"/>
      <c r="B229" s="104"/>
      <c r="C229" s="104"/>
      <c r="D229" s="105"/>
      <c r="E229" s="106"/>
      <c r="F229" s="107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6"/>
    </row>
    <row r="230" ht="15.75" customHeight="1">
      <c r="A230" s="109"/>
      <c r="B230" s="104"/>
      <c r="C230" s="104"/>
      <c r="D230" s="105"/>
      <c r="E230" s="106"/>
      <c r="F230" s="107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6"/>
    </row>
    <row r="231" ht="15.75" customHeight="1">
      <c r="A231" s="109"/>
      <c r="B231" s="104"/>
      <c r="C231" s="104"/>
      <c r="D231" s="105"/>
      <c r="E231" s="106"/>
      <c r="F231" s="107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6"/>
    </row>
    <row r="232" ht="15.75" customHeight="1">
      <c r="A232" s="109"/>
      <c r="B232" s="104"/>
      <c r="C232" s="104"/>
      <c r="D232" s="105"/>
      <c r="E232" s="106"/>
      <c r="F232" s="107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6"/>
    </row>
    <row r="233" ht="15.75" customHeight="1">
      <c r="A233" s="109"/>
      <c r="B233" s="104"/>
      <c r="C233" s="104"/>
      <c r="D233" s="105"/>
      <c r="E233" s="106"/>
      <c r="F233" s="107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6"/>
    </row>
    <row r="234" ht="15.75" customHeight="1">
      <c r="A234" s="109"/>
      <c r="B234" s="104"/>
      <c r="C234" s="104"/>
      <c r="D234" s="105"/>
      <c r="E234" s="106"/>
      <c r="F234" s="107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6"/>
    </row>
    <row r="235" ht="15.75" customHeight="1">
      <c r="A235" s="109"/>
      <c r="B235" s="104"/>
      <c r="C235" s="104"/>
      <c r="D235" s="105"/>
      <c r="E235" s="106"/>
      <c r="F235" s="107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6"/>
    </row>
    <row r="236" ht="15.75" customHeight="1">
      <c r="A236" s="109"/>
      <c r="B236" s="104"/>
      <c r="C236" s="104"/>
      <c r="D236" s="105"/>
      <c r="E236" s="106"/>
      <c r="F236" s="107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6"/>
    </row>
    <row r="237" ht="15.75" customHeight="1">
      <c r="A237" s="109"/>
      <c r="B237" s="104"/>
      <c r="C237" s="104"/>
      <c r="D237" s="105"/>
      <c r="E237" s="106"/>
      <c r="F237" s="107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6"/>
    </row>
    <row r="238" ht="15.75" customHeight="1">
      <c r="A238" s="109"/>
      <c r="B238" s="104"/>
      <c r="C238" s="104"/>
      <c r="D238" s="105"/>
      <c r="E238" s="106"/>
      <c r="F238" s="107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6"/>
    </row>
    <row r="239" ht="15.75" customHeight="1">
      <c r="A239" s="109"/>
      <c r="B239" s="104"/>
      <c r="C239" s="104"/>
      <c r="D239" s="105"/>
      <c r="E239" s="106"/>
      <c r="F239" s="107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6"/>
    </row>
    <row r="240" ht="15.75" customHeight="1">
      <c r="A240" s="109"/>
      <c r="B240" s="104"/>
      <c r="C240" s="104"/>
      <c r="D240" s="105"/>
      <c r="E240" s="106"/>
      <c r="F240" s="107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6"/>
    </row>
    <row r="241" ht="15.75" customHeight="1">
      <c r="A241" s="109"/>
      <c r="B241" s="104"/>
      <c r="C241" s="104"/>
      <c r="D241" s="105"/>
      <c r="E241" s="106"/>
      <c r="F241" s="107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6"/>
    </row>
    <row r="242" ht="15.75" customHeight="1">
      <c r="A242" s="109"/>
      <c r="B242" s="104"/>
      <c r="C242" s="104"/>
      <c r="D242" s="105"/>
      <c r="E242" s="106"/>
      <c r="F242" s="107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6"/>
    </row>
    <row r="243" ht="15.75" customHeight="1">
      <c r="A243" s="109"/>
      <c r="B243" s="104"/>
      <c r="C243" s="104"/>
      <c r="D243" s="105"/>
      <c r="E243" s="106"/>
      <c r="F243" s="107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6"/>
    </row>
    <row r="244" ht="15.75" customHeight="1">
      <c r="A244" s="109"/>
      <c r="B244" s="104"/>
      <c r="C244" s="104"/>
      <c r="D244" s="105"/>
      <c r="E244" s="106"/>
      <c r="F244" s="107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6"/>
    </row>
    <row r="245" ht="15.75" customHeight="1">
      <c r="A245" s="109"/>
      <c r="B245" s="104"/>
      <c r="C245" s="104"/>
      <c r="D245" s="105"/>
      <c r="E245" s="106"/>
      <c r="F245" s="107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6"/>
    </row>
    <row r="246" ht="15.75" customHeight="1">
      <c r="A246" s="109"/>
      <c r="B246" s="104"/>
      <c r="C246" s="104"/>
      <c r="D246" s="105"/>
      <c r="E246" s="106"/>
      <c r="F246" s="107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6"/>
    </row>
    <row r="247" ht="15.75" customHeight="1">
      <c r="A247" s="109"/>
      <c r="B247" s="104"/>
      <c r="C247" s="104"/>
      <c r="D247" s="105"/>
      <c r="E247" s="106"/>
      <c r="F247" s="107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6"/>
    </row>
    <row r="248" ht="15.75" customHeight="1">
      <c r="A248" s="109"/>
      <c r="B248" s="104"/>
      <c r="C248" s="104"/>
      <c r="D248" s="105"/>
      <c r="E248" s="106"/>
      <c r="F248" s="107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6"/>
    </row>
    <row r="249" ht="15.75" customHeight="1">
      <c r="A249" s="109"/>
      <c r="B249" s="104"/>
      <c r="C249" s="104"/>
      <c r="D249" s="105"/>
      <c r="E249" s="106"/>
      <c r="F249" s="107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6"/>
    </row>
    <row r="250" ht="15.75" customHeight="1">
      <c r="A250" s="109"/>
      <c r="B250" s="104"/>
      <c r="C250" s="104"/>
      <c r="D250" s="105"/>
      <c r="E250" s="106"/>
      <c r="F250" s="107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6"/>
    </row>
    <row r="251" ht="15.75" customHeight="1">
      <c r="A251" s="109"/>
      <c r="B251" s="104"/>
      <c r="C251" s="104"/>
      <c r="D251" s="105"/>
      <c r="E251" s="106"/>
      <c r="F251" s="107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6"/>
    </row>
    <row r="252" ht="15.75" customHeight="1">
      <c r="A252" s="109"/>
      <c r="B252" s="104"/>
      <c r="C252" s="104"/>
      <c r="D252" s="105"/>
      <c r="E252" s="106"/>
      <c r="F252" s="107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6"/>
    </row>
    <row r="253" ht="15.75" customHeight="1">
      <c r="A253" s="109"/>
      <c r="B253" s="104"/>
      <c r="C253" s="104"/>
      <c r="D253" s="105"/>
      <c r="E253" s="106"/>
      <c r="F253" s="107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6"/>
    </row>
    <row r="254" ht="15.75" customHeight="1">
      <c r="A254" s="109"/>
      <c r="B254" s="104"/>
      <c r="C254" s="104"/>
      <c r="D254" s="105"/>
      <c r="E254" s="106"/>
      <c r="F254" s="107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6"/>
    </row>
    <row r="255" ht="15.75" customHeight="1">
      <c r="A255" s="109"/>
      <c r="B255" s="104"/>
      <c r="C255" s="104"/>
      <c r="D255" s="105"/>
      <c r="E255" s="106"/>
      <c r="F255" s="107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6"/>
    </row>
    <row r="256" ht="15.75" customHeight="1">
      <c r="A256" s="109"/>
      <c r="B256" s="104"/>
      <c r="C256" s="104"/>
      <c r="D256" s="105"/>
      <c r="E256" s="106"/>
      <c r="F256" s="107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6"/>
    </row>
    <row r="257" ht="15.75" customHeight="1">
      <c r="A257" s="109"/>
      <c r="B257" s="104"/>
      <c r="C257" s="104"/>
      <c r="D257" s="105"/>
      <c r="E257" s="106"/>
      <c r="F257" s="107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6"/>
    </row>
    <row r="258" ht="15.75" customHeight="1">
      <c r="A258" s="109"/>
      <c r="B258" s="104"/>
      <c r="C258" s="104"/>
      <c r="D258" s="105"/>
      <c r="E258" s="106"/>
      <c r="F258" s="107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6"/>
    </row>
    <row r="259" ht="15.75" customHeight="1">
      <c r="A259" s="109"/>
      <c r="B259" s="104"/>
      <c r="C259" s="104"/>
      <c r="D259" s="105"/>
      <c r="E259" s="106"/>
      <c r="F259" s="107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6"/>
    </row>
    <row r="260" ht="15.75" customHeight="1">
      <c r="A260" s="109"/>
      <c r="B260" s="104"/>
      <c r="C260" s="104"/>
      <c r="D260" s="105"/>
      <c r="E260" s="106"/>
      <c r="F260" s="107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6"/>
    </row>
    <row r="261" ht="15.75" customHeight="1">
      <c r="A261" s="109"/>
      <c r="B261" s="104"/>
      <c r="C261" s="104"/>
      <c r="D261" s="105"/>
      <c r="E261" s="106"/>
      <c r="F261" s="107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6"/>
    </row>
    <row r="262" ht="15.75" customHeight="1">
      <c r="A262" s="109"/>
      <c r="B262" s="104"/>
      <c r="C262" s="104"/>
      <c r="D262" s="105"/>
      <c r="E262" s="106"/>
      <c r="F262" s="107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6"/>
    </row>
    <row r="263" ht="15.75" customHeight="1">
      <c r="A263" s="109"/>
      <c r="B263" s="104"/>
      <c r="C263" s="104"/>
      <c r="D263" s="105"/>
      <c r="E263" s="106"/>
      <c r="F263" s="107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6"/>
    </row>
    <row r="264" ht="15.75" customHeight="1">
      <c r="A264" s="109"/>
      <c r="B264" s="104"/>
      <c r="C264" s="104"/>
      <c r="D264" s="105"/>
      <c r="E264" s="106"/>
      <c r="F264" s="107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6"/>
    </row>
    <row r="265" ht="15.75" customHeight="1">
      <c r="A265" s="109"/>
      <c r="B265" s="104"/>
      <c r="C265" s="104"/>
      <c r="D265" s="105"/>
      <c r="E265" s="106"/>
      <c r="F265" s="107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6"/>
    </row>
    <row r="266" ht="15.75" customHeight="1">
      <c r="A266" s="109"/>
      <c r="B266" s="104"/>
      <c r="C266" s="104"/>
      <c r="D266" s="105"/>
      <c r="E266" s="106"/>
      <c r="F266" s="107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6"/>
    </row>
    <row r="267" ht="15.75" customHeight="1">
      <c r="A267" s="109"/>
      <c r="B267" s="104"/>
      <c r="C267" s="104"/>
      <c r="D267" s="105"/>
      <c r="E267" s="106"/>
      <c r="F267" s="107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6"/>
    </row>
    <row r="268" ht="15.75" customHeight="1">
      <c r="A268" s="109"/>
      <c r="B268" s="104"/>
      <c r="C268" s="104"/>
      <c r="D268" s="105"/>
      <c r="E268" s="106"/>
      <c r="F268" s="107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6"/>
    </row>
    <row r="269" ht="15.75" customHeight="1">
      <c r="A269" s="109"/>
      <c r="B269" s="104"/>
      <c r="C269" s="104"/>
      <c r="D269" s="105"/>
      <c r="E269" s="106"/>
      <c r="F269" s="107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6"/>
    </row>
    <row r="270" ht="15.75" customHeight="1">
      <c r="A270" s="109"/>
      <c r="B270" s="104"/>
      <c r="C270" s="104"/>
      <c r="D270" s="105"/>
      <c r="E270" s="106"/>
      <c r="F270" s="107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6"/>
    </row>
    <row r="271" ht="15.75" customHeight="1">
      <c r="A271" s="109"/>
      <c r="B271" s="104"/>
      <c r="C271" s="104"/>
      <c r="D271" s="105"/>
      <c r="E271" s="106"/>
      <c r="F271" s="107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6"/>
    </row>
    <row r="272" ht="15.75" customHeight="1">
      <c r="A272" s="109"/>
      <c r="B272" s="104"/>
      <c r="C272" s="104"/>
      <c r="D272" s="105"/>
      <c r="E272" s="106"/>
      <c r="F272" s="107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6"/>
    </row>
    <row r="273" ht="15.75" customHeight="1">
      <c r="A273" s="109"/>
      <c r="B273" s="104"/>
      <c r="C273" s="104"/>
      <c r="D273" s="105"/>
      <c r="E273" s="106"/>
      <c r="F273" s="107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6"/>
    </row>
    <row r="274" ht="15.75" customHeight="1">
      <c r="A274" s="109"/>
      <c r="B274" s="104"/>
      <c r="C274" s="104"/>
      <c r="D274" s="105"/>
      <c r="E274" s="106"/>
      <c r="F274" s="107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6"/>
    </row>
    <row r="275" ht="15.75" customHeight="1">
      <c r="A275" s="109"/>
      <c r="B275" s="104"/>
      <c r="C275" s="104"/>
      <c r="D275" s="105"/>
      <c r="E275" s="106"/>
      <c r="F275" s="107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6"/>
    </row>
    <row r="276" ht="15.75" customHeight="1">
      <c r="A276" s="109"/>
      <c r="B276" s="104"/>
      <c r="C276" s="104"/>
      <c r="D276" s="105"/>
      <c r="E276" s="106"/>
      <c r="F276" s="107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6"/>
    </row>
    <row r="277" ht="15.75" customHeight="1">
      <c r="A277" s="109"/>
      <c r="B277" s="104"/>
      <c r="C277" s="104"/>
      <c r="D277" s="105"/>
      <c r="E277" s="106"/>
      <c r="F277" s="107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6"/>
    </row>
    <row r="278" ht="15.75" customHeight="1">
      <c r="A278" s="109"/>
      <c r="B278" s="104"/>
      <c r="C278" s="104"/>
      <c r="D278" s="105"/>
      <c r="E278" s="106"/>
      <c r="F278" s="107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6"/>
    </row>
    <row r="279" ht="15.75" customHeight="1">
      <c r="A279" s="109"/>
      <c r="B279" s="104"/>
      <c r="C279" s="104"/>
      <c r="D279" s="105"/>
      <c r="E279" s="106"/>
      <c r="F279" s="107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6"/>
    </row>
    <row r="280" ht="15.75" customHeight="1">
      <c r="A280" s="109"/>
      <c r="B280" s="104"/>
      <c r="C280" s="104"/>
      <c r="D280" s="105"/>
      <c r="E280" s="106"/>
      <c r="F280" s="107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6"/>
    </row>
    <row r="281" ht="15.75" customHeight="1">
      <c r="A281" s="109"/>
      <c r="B281" s="104"/>
      <c r="C281" s="104"/>
      <c r="D281" s="105"/>
      <c r="E281" s="106"/>
      <c r="F281" s="107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6"/>
    </row>
    <row r="282" ht="15.75" customHeight="1">
      <c r="A282" s="109"/>
      <c r="B282" s="104"/>
      <c r="C282" s="104"/>
      <c r="D282" s="105"/>
      <c r="E282" s="106"/>
      <c r="F282" s="107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6"/>
    </row>
    <row r="283" ht="15.75" customHeight="1">
      <c r="A283" s="109"/>
      <c r="B283" s="104"/>
      <c r="C283" s="104"/>
      <c r="D283" s="105"/>
      <c r="E283" s="106"/>
      <c r="F283" s="107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6"/>
    </row>
    <row r="284" ht="15.75" customHeight="1">
      <c r="A284" s="109"/>
      <c r="B284" s="104"/>
      <c r="C284" s="104"/>
      <c r="D284" s="105"/>
      <c r="E284" s="106"/>
      <c r="F284" s="107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6"/>
    </row>
    <row r="285" ht="15.75" customHeight="1">
      <c r="A285" s="109"/>
      <c r="B285" s="104"/>
      <c r="C285" s="104"/>
      <c r="D285" s="105"/>
      <c r="E285" s="106"/>
      <c r="F285" s="107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6"/>
    </row>
    <row r="286" ht="15.75" customHeight="1">
      <c r="A286" s="109"/>
      <c r="B286" s="104"/>
      <c r="C286" s="104"/>
      <c r="D286" s="105"/>
      <c r="E286" s="106"/>
      <c r="F286" s="107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6"/>
    </row>
    <row r="287" ht="15.75" customHeight="1">
      <c r="A287" s="109"/>
      <c r="B287" s="104"/>
      <c r="C287" s="104"/>
      <c r="D287" s="105"/>
      <c r="E287" s="106"/>
      <c r="F287" s="107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6"/>
    </row>
    <row r="288" ht="15.75" customHeight="1">
      <c r="A288" s="109"/>
      <c r="B288" s="104"/>
      <c r="C288" s="104"/>
      <c r="D288" s="105"/>
      <c r="E288" s="106"/>
      <c r="F288" s="107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6"/>
    </row>
    <row r="289" ht="15.75" customHeight="1">
      <c r="A289" s="109"/>
      <c r="B289" s="104"/>
      <c r="C289" s="104"/>
      <c r="D289" s="105"/>
      <c r="E289" s="106"/>
      <c r="F289" s="107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6"/>
    </row>
    <row r="290" ht="15.75" customHeight="1">
      <c r="A290" s="109"/>
      <c r="B290" s="104"/>
      <c r="C290" s="104"/>
      <c r="D290" s="105"/>
      <c r="E290" s="106"/>
      <c r="F290" s="107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6"/>
    </row>
    <row r="291" ht="15.75" customHeight="1">
      <c r="A291" s="109"/>
      <c r="B291" s="104"/>
      <c r="C291" s="104"/>
      <c r="D291" s="105"/>
      <c r="E291" s="106"/>
      <c r="F291" s="107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6"/>
    </row>
    <row r="292" ht="15.75" customHeight="1">
      <c r="A292" s="109"/>
      <c r="B292" s="104"/>
      <c r="C292" s="104"/>
      <c r="D292" s="105"/>
      <c r="E292" s="106"/>
      <c r="F292" s="107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6"/>
    </row>
    <row r="293" ht="15.75" customHeight="1">
      <c r="A293" s="109"/>
      <c r="B293" s="104"/>
      <c r="C293" s="104"/>
      <c r="D293" s="105"/>
      <c r="E293" s="106"/>
      <c r="F293" s="107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6"/>
    </row>
    <row r="294" ht="15.75" customHeight="1">
      <c r="A294" s="109"/>
      <c r="B294" s="104"/>
      <c r="C294" s="104"/>
      <c r="D294" s="105"/>
      <c r="E294" s="106"/>
      <c r="F294" s="107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6"/>
    </row>
    <row r="295" ht="15.75" customHeight="1">
      <c r="A295" s="109"/>
      <c r="B295" s="104"/>
      <c r="C295" s="104"/>
      <c r="D295" s="105"/>
      <c r="E295" s="106"/>
      <c r="F295" s="107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6"/>
    </row>
    <row r="296" ht="15.75" customHeight="1">
      <c r="A296" s="109"/>
      <c r="B296" s="104"/>
      <c r="C296" s="104"/>
      <c r="D296" s="105"/>
      <c r="E296" s="106"/>
      <c r="F296" s="107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6"/>
    </row>
    <row r="297" ht="15.75" customHeight="1">
      <c r="A297" s="109"/>
      <c r="B297" s="104"/>
      <c r="C297" s="104"/>
      <c r="D297" s="105"/>
      <c r="E297" s="106"/>
      <c r="F297" s="107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6"/>
    </row>
    <row r="298" ht="15.75" customHeight="1">
      <c r="A298" s="109"/>
      <c r="B298" s="104"/>
      <c r="C298" s="104"/>
      <c r="D298" s="105"/>
      <c r="E298" s="106"/>
      <c r="F298" s="107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6"/>
    </row>
    <row r="299" ht="15.75" customHeight="1">
      <c r="A299" s="109"/>
      <c r="B299" s="104"/>
      <c r="C299" s="104"/>
      <c r="D299" s="105"/>
      <c r="E299" s="106"/>
      <c r="F299" s="107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6"/>
    </row>
    <row r="300" ht="15.75" customHeight="1">
      <c r="A300" s="109"/>
      <c r="B300" s="104"/>
      <c r="C300" s="104"/>
      <c r="D300" s="105"/>
      <c r="E300" s="106"/>
      <c r="F300" s="107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6"/>
    </row>
    <row r="301" ht="15.75" customHeight="1">
      <c r="A301" s="109"/>
      <c r="B301" s="104"/>
      <c r="C301" s="104"/>
      <c r="D301" s="105"/>
      <c r="E301" s="106"/>
      <c r="F301" s="107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6"/>
    </row>
    <row r="302" ht="15.75" customHeight="1">
      <c r="A302" s="109"/>
      <c r="B302" s="104"/>
      <c r="C302" s="104"/>
      <c r="D302" s="105"/>
      <c r="E302" s="106"/>
      <c r="F302" s="107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6"/>
    </row>
    <row r="303" ht="15.75" customHeight="1">
      <c r="A303" s="109"/>
      <c r="B303" s="104"/>
      <c r="C303" s="104"/>
      <c r="D303" s="105"/>
      <c r="E303" s="106"/>
      <c r="F303" s="107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6"/>
    </row>
    <row r="304" ht="15.75" customHeight="1">
      <c r="A304" s="109"/>
      <c r="B304" s="104"/>
      <c r="C304" s="104"/>
      <c r="D304" s="105"/>
      <c r="E304" s="106"/>
      <c r="F304" s="107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6"/>
    </row>
    <row r="305" ht="15.75" customHeight="1">
      <c r="A305" s="109"/>
      <c r="B305" s="104"/>
      <c r="C305" s="104"/>
      <c r="D305" s="105"/>
      <c r="E305" s="106"/>
      <c r="F305" s="107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6"/>
    </row>
    <row r="306" ht="15.75" customHeight="1">
      <c r="A306" s="109"/>
      <c r="B306" s="104"/>
      <c r="C306" s="104"/>
      <c r="D306" s="105"/>
      <c r="E306" s="106"/>
      <c r="F306" s="107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6"/>
    </row>
    <row r="307" ht="15.75" customHeight="1">
      <c r="A307" s="109"/>
      <c r="B307" s="104"/>
      <c r="C307" s="104"/>
      <c r="D307" s="105"/>
      <c r="E307" s="106"/>
      <c r="F307" s="107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6"/>
    </row>
    <row r="308" ht="15.75" customHeight="1">
      <c r="A308" s="109"/>
      <c r="B308" s="104"/>
      <c r="C308" s="104"/>
      <c r="D308" s="105"/>
      <c r="E308" s="106"/>
      <c r="F308" s="107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6"/>
    </row>
    <row r="309" ht="15.75" customHeight="1">
      <c r="A309" s="109"/>
      <c r="B309" s="104"/>
      <c r="C309" s="104"/>
      <c r="D309" s="105"/>
      <c r="E309" s="106"/>
      <c r="F309" s="107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6"/>
    </row>
    <row r="310" ht="15.75" customHeight="1">
      <c r="A310" s="109"/>
      <c r="B310" s="104"/>
      <c r="C310" s="104"/>
      <c r="D310" s="105"/>
      <c r="E310" s="106"/>
      <c r="F310" s="107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6"/>
    </row>
    <row r="311" ht="15.75" customHeight="1">
      <c r="A311" s="109"/>
      <c r="B311" s="104"/>
      <c r="C311" s="104"/>
      <c r="D311" s="105"/>
      <c r="E311" s="106"/>
      <c r="F311" s="107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6"/>
    </row>
    <row r="312" ht="15.75" customHeight="1">
      <c r="A312" s="109"/>
      <c r="B312" s="104"/>
      <c r="C312" s="104"/>
      <c r="D312" s="105"/>
      <c r="E312" s="106"/>
      <c r="F312" s="107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6"/>
    </row>
    <row r="313" ht="15.75" customHeight="1">
      <c r="A313" s="109"/>
      <c r="B313" s="104"/>
      <c r="C313" s="104"/>
      <c r="D313" s="105"/>
      <c r="E313" s="106"/>
      <c r="F313" s="107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6"/>
    </row>
    <row r="314" ht="15.75" customHeight="1">
      <c r="A314" s="109"/>
      <c r="B314" s="104"/>
      <c r="C314" s="104"/>
      <c r="D314" s="105"/>
      <c r="E314" s="106"/>
      <c r="F314" s="107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6"/>
    </row>
    <row r="315" ht="15.75" customHeight="1">
      <c r="A315" s="109"/>
      <c r="B315" s="104"/>
      <c r="C315" s="104"/>
      <c r="D315" s="105"/>
      <c r="E315" s="106"/>
      <c r="F315" s="107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6"/>
    </row>
    <row r="316" ht="15.75" customHeight="1">
      <c r="A316" s="109"/>
      <c r="B316" s="104"/>
      <c r="C316" s="104"/>
      <c r="D316" s="105"/>
      <c r="E316" s="106"/>
      <c r="F316" s="107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6"/>
    </row>
    <row r="317" ht="15.75" customHeight="1">
      <c r="A317" s="109"/>
      <c r="B317" s="104"/>
      <c r="C317" s="104"/>
      <c r="D317" s="105"/>
      <c r="E317" s="106"/>
      <c r="F317" s="107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6"/>
    </row>
    <row r="318" ht="15.75" customHeight="1">
      <c r="A318" s="109"/>
      <c r="B318" s="104"/>
      <c r="C318" s="104"/>
      <c r="D318" s="105"/>
      <c r="E318" s="106"/>
      <c r="F318" s="107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6"/>
    </row>
    <row r="319" ht="15.75" customHeight="1">
      <c r="A319" s="109"/>
      <c r="B319" s="104"/>
      <c r="C319" s="104"/>
      <c r="D319" s="105"/>
      <c r="E319" s="106"/>
      <c r="F319" s="107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6"/>
    </row>
    <row r="320" ht="15.75" customHeight="1">
      <c r="A320" s="109"/>
      <c r="B320" s="104"/>
      <c r="C320" s="104"/>
      <c r="D320" s="105"/>
      <c r="E320" s="106"/>
      <c r="F320" s="107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6"/>
    </row>
    <row r="321" ht="15.75" customHeight="1">
      <c r="A321" s="109"/>
      <c r="B321" s="104"/>
      <c r="C321" s="104"/>
      <c r="D321" s="105"/>
      <c r="E321" s="106"/>
      <c r="F321" s="107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6"/>
    </row>
    <row r="322" ht="15.75" customHeight="1">
      <c r="A322" s="109"/>
      <c r="B322" s="104"/>
      <c r="C322" s="104"/>
      <c r="D322" s="105"/>
      <c r="E322" s="106"/>
      <c r="F322" s="107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6"/>
    </row>
    <row r="323" ht="15.75" customHeight="1">
      <c r="A323" s="109"/>
      <c r="B323" s="104"/>
      <c r="C323" s="104"/>
      <c r="D323" s="105"/>
      <c r="E323" s="106"/>
      <c r="F323" s="107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6"/>
    </row>
    <row r="324" ht="15.75" customHeight="1">
      <c r="A324" s="109"/>
      <c r="B324" s="104"/>
      <c r="C324" s="104"/>
      <c r="D324" s="105"/>
      <c r="E324" s="106"/>
      <c r="F324" s="107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6"/>
    </row>
    <row r="325" ht="15.75" customHeight="1">
      <c r="A325" s="109"/>
      <c r="B325" s="104"/>
      <c r="C325" s="104"/>
      <c r="D325" s="105"/>
      <c r="E325" s="106"/>
      <c r="F325" s="107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6"/>
    </row>
    <row r="326" ht="15.75" customHeight="1">
      <c r="A326" s="109"/>
      <c r="B326" s="104"/>
      <c r="C326" s="104"/>
      <c r="D326" s="105"/>
      <c r="E326" s="106"/>
      <c r="F326" s="107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6"/>
    </row>
    <row r="327" ht="15.75" customHeight="1">
      <c r="A327" s="109"/>
      <c r="B327" s="104"/>
      <c r="C327" s="104"/>
      <c r="D327" s="105"/>
      <c r="E327" s="106"/>
      <c r="F327" s="107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6"/>
    </row>
    <row r="328" ht="15.75" customHeight="1">
      <c r="A328" s="109"/>
      <c r="B328" s="104"/>
      <c r="C328" s="104"/>
      <c r="D328" s="105"/>
      <c r="E328" s="106"/>
      <c r="F328" s="107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6"/>
    </row>
    <row r="329" ht="15.75" customHeight="1">
      <c r="A329" s="109"/>
      <c r="B329" s="104"/>
      <c r="C329" s="104"/>
      <c r="D329" s="105"/>
      <c r="E329" s="106"/>
      <c r="F329" s="107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6"/>
    </row>
    <row r="330" ht="15.75" customHeight="1">
      <c r="A330" s="109"/>
      <c r="B330" s="104"/>
      <c r="C330" s="104"/>
      <c r="D330" s="105"/>
      <c r="E330" s="106"/>
      <c r="F330" s="107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6"/>
    </row>
    <row r="331" ht="15.75" customHeight="1">
      <c r="A331" s="109"/>
      <c r="B331" s="104"/>
      <c r="C331" s="104"/>
      <c r="D331" s="105"/>
      <c r="E331" s="106"/>
      <c r="F331" s="107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6"/>
    </row>
    <row r="332" ht="15.75" customHeight="1">
      <c r="A332" s="109"/>
      <c r="B332" s="104"/>
      <c r="C332" s="104"/>
      <c r="D332" s="105"/>
      <c r="E332" s="106"/>
      <c r="F332" s="107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6"/>
    </row>
    <row r="333" ht="15.75" customHeight="1">
      <c r="A333" s="109"/>
      <c r="B333" s="104"/>
      <c r="C333" s="104"/>
      <c r="D333" s="105"/>
      <c r="E333" s="106"/>
      <c r="F333" s="107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6"/>
    </row>
    <row r="334" ht="15.75" customHeight="1">
      <c r="A334" s="109"/>
      <c r="B334" s="104"/>
      <c r="C334" s="104"/>
      <c r="D334" s="105"/>
      <c r="E334" s="106"/>
      <c r="F334" s="107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6"/>
    </row>
    <row r="335" ht="15.75" customHeight="1">
      <c r="A335" s="109"/>
      <c r="B335" s="104"/>
      <c r="C335" s="104"/>
      <c r="D335" s="105"/>
      <c r="E335" s="106"/>
      <c r="F335" s="107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6"/>
    </row>
    <row r="336" ht="15.75" customHeight="1">
      <c r="A336" s="109"/>
      <c r="B336" s="104"/>
      <c r="C336" s="104"/>
      <c r="D336" s="105"/>
      <c r="E336" s="106"/>
      <c r="F336" s="107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6"/>
    </row>
    <row r="337" ht="15.75" customHeight="1">
      <c r="A337" s="109"/>
      <c r="B337" s="104"/>
      <c r="C337" s="104"/>
      <c r="D337" s="105"/>
      <c r="E337" s="106"/>
      <c r="F337" s="107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6"/>
    </row>
    <row r="338" ht="15.75" customHeight="1">
      <c r="A338" s="109"/>
      <c r="B338" s="104"/>
      <c r="C338" s="104"/>
      <c r="D338" s="105"/>
      <c r="E338" s="106"/>
      <c r="F338" s="107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6"/>
    </row>
    <row r="339" ht="15.75" customHeight="1">
      <c r="A339" s="109"/>
      <c r="B339" s="104"/>
      <c r="C339" s="104"/>
      <c r="D339" s="105"/>
      <c r="E339" s="106"/>
      <c r="F339" s="107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6"/>
    </row>
    <row r="340" ht="15.75" customHeight="1">
      <c r="A340" s="109"/>
      <c r="B340" s="104"/>
      <c r="C340" s="104"/>
      <c r="D340" s="105"/>
      <c r="E340" s="106"/>
      <c r="F340" s="107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6"/>
    </row>
    <row r="341" ht="15.75" customHeight="1">
      <c r="A341" s="109"/>
      <c r="B341" s="104"/>
      <c r="C341" s="104"/>
      <c r="D341" s="105"/>
      <c r="E341" s="106"/>
      <c r="F341" s="107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6"/>
    </row>
    <row r="342" ht="15.75" customHeight="1">
      <c r="A342" s="109"/>
      <c r="B342" s="104"/>
      <c r="C342" s="104"/>
      <c r="D342" s="105"/>
      <c r="E342" s="106"/>
      <c r="F342" s="107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6"/>
    </row>
    <row r="343" ht="15.75" customHeight="1">
      <c r="A343" s="109"/>
      <c r="B343" s="104"/>
      <c r="C343" s="104"/>
      <c r="D343" s="105"/>
      <c r="E343" s="106"/>
      <c r="F343" s="107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6"/>
    </row>
    <row r="344" ht="15.75" customHeight="1">
      <c r="A344" s="109"/>
      <c r="B344" s="104"/>
      <c r="C344" s="104"/>
      <c r="D344" s="105"/>
      <c r="E344" s="106"/>
      <c r="F344" s="107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6"/>
    </row>
    <row r="345" ht="15.75" customHeight="1">
      <c r="A345" s="109"/>
      <c r="B345" s="104"/>
      <c r="C345" s="104"/>
      <c r="D345" s="105"/>
      <c r="E345" s="106"/>
      <c r="F345" s="107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6"/>
    </row>
    <row r="346" ht="15.75" customHeight="1">
      <c r="A346" s="109"/>
      <c r="B346" s="104"/>
      <c r="C346" s="104"/>
      <c r="D346" s="105"/>
      <c r="E346" s="106"/>
      <c r="F346" s="107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6"/>
    </row>
    <row r="347" ht="15.75" customHeight="1">
      <c r="A347" s="109"/>
      <c r="B347" s="104"/>
      <c r="C347" s="104"/>
      <c r="D347" s="105"/>
      <c r="E347" s="106"/>
      <c r="F347" s="107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6"/>
    </row>
    <row r="348" ht="15.75" customHeight="1">
      <c r="A348" s="109"/>
      <c r="B348" s="104"/>
      <c r="C348" s="104"/>
      <c r="D348" s="105"/>
      <c r="E348" s="106"/>
      <c r="F348" s="107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6"/>
    </row>
    <row r="349" ht="15.75" customHeight="1">
      <c r="A349" s="109"/>
      <c r="B349" s="104"/>
      <c r="C349" s="104"/>
      <c r="D349" s="105"/>
      <c r="E349" s="106"/>
      <c r="F349" s="107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6"/>
    </row>
    <row r="350" ht="15.75" customHeight="1">
      <c r="A350" s="109"/>
      <c r="B350" s="104"/>
      <c r="C350" s="104"/>
      <c r="D350" s="105"/>
      <c r="E350" s="106"/>
      <c r="F350" s="107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6"/>
    </row>
    <row r="351" ht="15.75" customHeight="1">
      <c r="A351" s="109"/>
      <c r="B351" s="104"/>
      <c r="C351" s="104"/>
      <c r="D351" s="105"/>
      <c r="E351" s="106"/>
      <c r="F351" s="107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6"/>
    </row>
    <row r="352" ht="15.75" customHeight="1">
      <c r="A352" s="109"/>
      <c r="B352" s="104"/>
      <c r="C352" s="104"/>
      <c r="D352" s="105"/>
      <c r="E352" s="106"/>
      <c r="F352" s="107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6"/>
    </row>
    <row r="353" ht="15.75" customHeight="1">
      <c r="A353" s="109"/>
      <c r="B353" s="104"/>
      <c r="C353" s="104"/>
      <c r="D353" s="105"/>
      <c r="E353" s="106"/>
      <c r="F353" s="107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6"/>
    </row>
    <row r="354" ht="15.75" customHeight="1">
      <c r="A354" s="109"/>
      <c r="B354" s="104"/>
      <c r="C354" s="104"/>
      <c r="D354" s="105"/>
      <c r="E354" s="106"/>
      <c r="F354" s="107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6"/>
    </row>
    <row r="355" ht="15.75" customHeight="1">
      <c r="A355" s="109"/>
      <c r="B355" s="104"/>
      <c r="C355" s="104"/>
      <c r="D355" s="105"/>
      <c r="E355" s="106"/>
      <c r="F355" s="107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6"/>
    </row>
    <row r="356" ht="15.75" customHeight="1">
      <c r="A356" s="109"/>
      <c r="B356" s="104"/>
      <c r="C356" s="104"/>
      <c r="D356" s="105"/>
      <c r="E356" s="106"/>
      <c r="F356" s="107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6"/>
    </row>
    <row r="357" ht="15.75" customHeight="1">
      <c r="A357" s="109"/>
      <c r="B357" s="104"/>
      <c r="C357" s="104"/>
      <c r="D357" s="105"/>
      <c r="E357" s="106"/>
      <c r="F357" s="107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6"/>
    </row>
    <row r="358" ht="15.75" customHeight="1">
      <c r="A358" s="109"/>
      <c r="B358" s="104"/>
      <c r="C358" s="104"/>
      <c r="D358" s="105"/>
      <c r="E358" s="106"/>
      <c r="F358" s="107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6"/>
    </row>
    <row r="359" ht="15.75" customHeight="1">
      <c r="A359" s="109"/>
      <c r="B359" s="104"/>
      <c r="C359" s="104"/>
      <c r="D359" s="105"/>
      <c r="E359" s="106"/>
      <c r="F359" s="107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6"/>
    </row>
    <row r="360" ht="15.75" customHeight="1">
      <c r="A360" s="109"/>
      <c r="B360" s="104"/>
      <c r="C360" s="104"/>
      <c r="D360" s="105"/>
      <c r="E360" s="106"/>
      <c r="F360" s="107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6"/>
    </row>
    <row r="361" ht="15.75" customHeight="1">
      <c r="A361" s="109"/>
      <c r="B361" s="104"/>
      <c r="C361" s="104"/>
      <c r="D361" s="105"/>
      <c r="E361" s="106"/>
      <c r="F361" s="107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6"/>
    </row>
    <row r="362" ht="15.75" customHeight="1">
      <c r="A362" s="109"/>
      <c r="B362" s="104"/>
      <c r="C362" s="104"/>
      <c r="D362" s="105"/>
      <c r="E362" s="106"/>
      <c r="F362" s="107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6"/>
    </row>
    <row r="363" ht="15.75" customHeight="1">
      <c r="A363" s="109"/>
      <c r="B363" s="104"/>
      <c r="C363" s="104"/>
      <c r="D363" s="105"/>
      <c r="E363" s="106"/>
      <c r="F363" s="107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6"/>
    </row>
    <row r="364" ht="15.75" customHeight="1">
      <c r="A364" s="109"/>
      <c r="B364" s="104"/>
      <c r="C364" s="104"/>
      <c r="D364" s="105"/>
      <c r="E364" s="106"/>
      <c r="F364" s="107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6"/>
    </row>
    <row r="365" ht="15.75" customHeight="1">
      <c r="A365" s="109"/>
      <c r="B365" s="104"/>
      <c r="C365" s="104"/>
      <c r="D365" s="105"/>
      <c r="E365" s="106"/>
      <c r="F365" s="107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6"/>
    </row>
    <row r="366" ht="15.75" customHeight="1">
      <c r="A366" s="109"/>
      <c r="B366" s="104"/>
      <c r="C366" s="104"/>
      <c r="D366" s="105"/>
      <c r="E366" s="106"/>
      <c r="F366" s="107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6"/>
    </row>
    <row r="367" ht="15.75" customHeight="1">
      <c r="A367" s="109"/>
      <c r="B367" s="104"/>
      <c r="C367" s="104"/>
      <c r="D367" s="105"/>
      <c r="E367" s="106"/>
      <c r="F367" s="107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6"/>
    </row>
    <row r="368" ht="15.75" customHeight="1">
      <c r="A368" s="109"/>
      <c r="B368" s="104"/>
      <c r="C368" s="104"/>
      <c r="D368" s="105"/>
      <c r="E368" s="106"/>
      <c r="F368" s="107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6"/>
    </row>
    <row r="369" ht="15.75" customHeight="1">
      <c r="A369" s="109"/>
      <c r="B369" s="104"/>
      <c r="C369" s="104"/>
      <c r="D369" s="105"/>
      <c r="E369" s="106"/>
      <c r="F369" s="107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6"/>
    </row>
    <row r="370" ht="15.75" customHeight="1">
      <c r="A370" s="109"/>
      <c r="B370" s="104"/>
      <c r="C370" s="104"/>
      <c r="D370" s="105"/>
      <c r="E370" s="106"/>
      <c r="F370" s="107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6"/>
    </row>
    <row r="371" ht="15.75" customHeight="1">
      <c r="A371" s="109"/>
      <c r="B371" s="104"/>
      <c r="C371" s="104"/>
      <c r="D371" s="105"/>
      <c r="E371" s="106"/>
      <c r="F371" s="107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6"/>
    </row>
    <row r="372" ht="15.75" customHeight="1">
      <c r="A372" s="109"/>
      <c r="B372" s="104"/>
      <c r="C372" s="104"/>
      <c r="D372" s="105"/>
      <c r="E372" s="106"/>
      <c r="F372" s="107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6"/>
    </row>
    <row r="373" ht="15.75" customHeight="1">
      <c r="A373" s="109"/>
      <c r="B373" s="104"/>
      <c r="C373" s="104"/>
      <c r="D373" s="105"/>
      <c r="E373" s="106"/>
      <c r="F373" s="107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6"/>
    </row>
    <row r="374" ht="15.75" customHeight="1">
      <c r="A374" s="109"/>
      <c r="B374" s="104"/>
      <c r="C374" s="104"/>
      <c r="D374" s="105"/>
      <c r="E374" s="106"/>
      <c r="F374" s="107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6"/>
    </row>
    <row r="375" ht="15.75" customHeight="1">
      <c r="A375" s="109"/>
      <c r="B375" s="104"/>
      <c r="C375" s="104"/>
      <c r="D375" s="105"/>
      <c r="E375" s="106"/>
      <c r="F375" s="107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6"/>
    </row>
    <row r="376" ht="15.75" customHeight="1">
      <c r="A376" s="109"/>
      <c r="B376" s="104"/>
      <c r="C376" s="104"/>
      <c r="D376" s="105"/>
      <c r="E376" s="106"/>
      <c r="F376" s="107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6"/>
    </row>
    <row r="377" ht="15.75" customHeight="1">
      <c r="A377" s="109"/>
      <c r="B377" s="104"/>
      <c r="C377" s="104"/>
      <c r="D377" s="105"/>
      <c r="E377" s="106"/>
      <c r="F377" s="107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6"/>
    </row>
    <row r="378" ht="15.75" customHeight="1">
      <c r="A378" s="109"/>
      <c r="B378" s="104"/>
      <c r="C378" s="104"/>
      <c r="D378" s="105"/>
      <c r="E378" s="106"/>
      <c r="F378" s="107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6"/>
    </row>
    <row r="379" ht="15.75" customHeight="1">
      <c r="A379" s="109"/>
      <c r="B379" s="104"/>
      <c r="C379" s="104"/>
      <c r="D379" s="105"/>
      <c r="E379" s="106"/>
      <c r="F379" s="107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6"/>
    </row>
    <row r="380" ht="15.75" customHeight="1">
      <c r="A380" s="109"/>
      <c r="B380" s="104"/>
      <c r="C380" s="104"/>
      <c r="D380" s="105"/>
      <c r="E380" s="106"/>
      <c r="F380" s="107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6"/>
    </row>
    <row r="381" ht="15.75" customHeight="1">
      <c r="A381" s="109"/>
      <c r="B381" s="104"/>
      <c r="C381" s="104"/>
      <c r="D381" s="105"/>
      <c r="E381" s="106"/>
      <c r="F381" s="107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6"/>
    </row>
    <row r="382" ht="15.75" customHeight="1">
      <c r="A382" s="109"/>
      <c r="B382" s="104"/>
      <c r="C382" s="104"/>
      <c r="D382" s="105"/>
      <c r="E382" s="106"/>
      <c r="F382" s="107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6"/>
    </row>
    <row r="383" ht="15.75" customHeight="1">
      <c r="A383" s="109"/>
      <c r="B383" s="104"/>
      <c r="C383" s="104"/>
      <c r="D383" s="105"/>
      <c r="E383" s="106"/>
      <c r="F383" s="107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6"/>
    </row>
    <row r="384" ht="15.75" customHeight="1">
      <c r="A384" s="109"/>
      <c r="B384" s="104"/>
      <c r="C384" s="104"/>
      <c r="D384" s="105"/>
      <c r="E384" s="106"/>
      <c r="F384" s="107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6"/>
    </row>
    <row r="385" ht="15.75" customHeight="1">
      <c r="A385" s="109"/>
      <c r="B385" s="104"/>
      <c r="C385" s="104"/>
      <c r="D385" s="105"/>
      <c r="E385" s="106"/>
      <c r="F385" s="107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6"/>
    </row>
    <row r="386" ht="15.75" customHeight="1">
      <c r="A386" s="109"/>
      <c r="B386" s="104"/>
      <c r="C386" s="104"/>
      <c r="D386" s="105"/>
      <c r="E386" s="106"/>
      <c r="F386" s="107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6"/>
    </row>
    <row r="387" ht="15.75" customHeight="1">
      <c r="A387" s="109"/>
      <c r="B387" s="104"/>
      <c r="C387" s="104"/>
      <c r="D387" s="105"/>
      <c r="E387" s="106"/>
      <c r="F387" s="107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6"/>
    </row>
    <row r="388" ht="15.75" customHeight="1">
      <c r="A388" s="109"/>
      <c r="B388" s="104"/>
      <c r="C388" s="104"/>
      <c r="D388" s="105"/>
      <c r="E388" s="106"/>
      <c r="F388" s="107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6"/>
    </row>
    <row r="389" ht="15.75" customHeight="1">
      <c r="A389" s="109"/>
      <c r="B389" s="104"/>
      <c r="C389" s="104"/>
      <c r="D389" s="105"/>
      <c r="E389" s="106"/>
      <c r="F389" s="107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6"/>
    </row>
    <row r="390" ht="15.75" customHeight="1">
      <c r="A390" s="109"/>
      <c r="B390" s="104"/>
      <c r="C390" s="104"/>
      <c r="D390" s="105"/>
      <c r="E390" s="106"/>
      <c r="F390" s="107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6"/>
    </row>
    <row r="391" ht="15.75" customHeight="1">
      <c r="A391" s="109"/>
      <c r="B391" s="104"/>
      <c r="C391" s="104"/>
      <c r="D391" s="105"/>
      <c r="E391" s="106"/>
      <c r="F391" s="107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6"/>
    </row>
    <row r="392" ht="15.75" customHeight="1">
      <c r="A392" s="109"/>
      <c r="B392" s="104"/>
      <c r="C392" s="104"/>
      <c r="D392" s="105"/>
      <c r="E392" s="106"/>
      <c r="F392" s="107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6"/>
    </row>
    <row r="393" ht="15.75" customHeight="1">
      <c r="A393" s="109"/>
      <c r="B393" s="104"/>
      <c r="C393" s="104"/>
      <c r="D393" s="105"/>
      <c r="E393" s="106"/>
      <c r="F393" s="107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6"/>
    </row>
    <row r="394" ht="15.75" customHeight="1">
      <c r="A394" s="109"/>
      <c r="B394" s="104"/>
      <c r="C394" s="104"/>
      <c r="D394" s="105"/>
      <c r="E394" s="106"/>
      <c r="F394" s="107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6"/>
    </row>
    <row r="395" ht="15.75" customHeight="1">
      <c r="A395" s="109"/>
      <c r="B395" s="104"/>
      <c r="C395" s="104"/>
      <c r="D395" s="105"/>
      <c r="E395" s="106"/>
      <c r="F395" s="107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6"/>
    </row>
    <row r="396" ht="15.75" customHeight="1">
      <c r="A396" s="109"/>
      <c r="B396" s="104"/>
      <c r="C396" s="104"/>
      <c r="D396" s="105"/>
      <c r="E396" s="106"/>
      <c r="F396" s="107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6"/>
    </row>
    <row r="397" ht="15.75" customHeight="1">
      <c r="A397" s="109"/>
      <c r="B397" s="104"/>
      <c r="C397" s="104"/>
      <c r="D397" s="105"/>
      <c r="E397" s="106"/>
      <c r="F397" s="107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6"/>
    </row>
    <row r="398" ht="15.75" customHeight="1">
      <c r="A398" s="109"/>
      <c r="B398" s="104"/>
      <c r="C398" s="104"/>
      <c r="D398" s="105"/>
      <c r="E398" s="106"/>
      <c r="F398" s="107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6"/>
    </row>
    <row r="399" ht="15.75" customHeight="1">
      <c r="A399" s="109"/>
      <c r="B399" s="104"/>
      <c r="C399" s="104"/>
      <c r="D399" s="105"/>
      <c r="E399" s="106"/>
      <c r="F399" s="107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6"/>
    </row>
    <row r="400" ht="15.75" customHeight="1">
      <c r="A400" s="109"/>
      <c r="B400" s="104"/>
      <c r="C400" s="104"/>
      <c r="D400" s="105"/>
      <c r="E400" s="106"/>
      <c r="F400" s="107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6"/>
    </row>
    <row r="401" ht="15.75" customHeight="1">
      <c r="A401" s="109"/>
      <c r="B401" s="104"/>
      <c r="C401" s="104"/>
      <c r="D401" s="105"/>
      <c r="E401" s="106"/>
      <c r="F401" s="107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6"/>
    </row>
    <row r="402" ht="15.75" customHeight="1">
      <c r="A402" s="109"/>
      <c r="B402" s="104"/>
      <c r="C402" s="104"/>
      <c r="D402" s="105"/>
      <c r="E402" s="106"/>
      <c r="F402" s="107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6"/>
    </row>
    <row r="403" ht="15.75" customHeight="1">
      <c r="A403" s="109"/>
      <c r="B403" s="104"/>
      <c r="C403" s="104"/>
      <c r="D403" s="105"/>
      <c r="E403" s="106"/>
      <c r="F403" s="107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6"/>
    </row>
    <row r="404" ht="15.75" customHeight="1">
      <c r="A404" s="109"/>
      <c r="B404" s="104"/>
      <c r="C404" s="104"/>
      <c r="D404" s="105"/>
      <c r="E404" s="106"/>
      <c r="F404" s="107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6"/>
    </row>
    <row r="405" ht="15.75" customHeight="1">
      <c r="A405" s="109"/>
      <c r="B405" s="104"/>
      <c r="C405" s="104"/>
      <c r="D405" s="105"/>
      <c r="E405" s="106"/>
      <c r="F405" s="107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6"/>
    </row>
    <row r="406" ht="15.75" customHeight="1">
      <c r="A406" s="109"/>
      <c r="B406" s="104"/>
      <c r="C406" s="104"/>
      <c r="D406" s="105"/>
      <c r="E406" s="106"/>
      <c r="F406" s="107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6"/>
    </row>
    <row r="407" ht="15.75" customHeight="1">
      <c r="A407" s="109"/>
      <c r="B407" s="104"/>
      <c r="C407" s="104"/>
      <c r="D407" s="105"/>
      <c r="E407" s="106"/>
      <c r="F407" s="107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6"/>
    </row>
    <row r="408" ht="15.75" customHeight="1">
      <c r="A408" s="109"/>
      <c r="B408" s="104"/>
      <c r="C408" s="104"/>
      <c r="D408" s="105"/>
      <c r="E408" s="106"/>
      <c r="F408" s="107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6"/>
    </row>
    <row r="409" ht="15.75" customHeight="1">
      <c r="A409" s="109"/>
      <c r="B409" s="104"/>
      <c r="C409" s="104"/>
      <c r="D409" s="105"/>
      <c r="E409" s="106"/>
      <c r="F409" s="107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6"/>
    </row>
    <row r="410" ht="15.75" customHeight="1">
      <c r="A410" s="109"/>
      <c r="B410" s="104"/>
      <c r="C410" s="104"/>
      <c r="D410" s="105"/>
      <c r="E410" s="106"/>
      <c r="F410" s="107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6"/>
    </row>
    <row r="411" ht="15.75" customHeight="1">
      <c r="A411" s="109"/>
      <c r="B411" s="104"/>
      <c r="C411" s="104"/>
      <c r="D411" s="105"/>
      <c r="E411" s="106"/>
      <c r="F411" s="107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6"/>
    </row>
    <row r="412" ht="15.75" customHeight="1">
      <c r="A412" s="109"/>
      <c r="B412" s="104"/>
      <c r="C412" s="104"/>
      <c r="D412" s="105"/>
      <c r="E412" s="106"/>
      <c r="F412" s="107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6"/>
    </row>
    <row r="413" ht="15.75" customHeight="1">
      <c r="A413" s="109"/>
      <c r="B413" s="104"/>
      <c r="C413" s="104"/>
      <c r="D413" s="105"/>
      <c r="E413" s="106"/>
      <c r="F413" s="107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6"/>
    </row>
    <row r="414" ht="15.75" customHeight="1">
      <c r="A414" s="109"/>
      <c r="B414" s="104"/>
      <c r="C414" s="104"/>
      <c r="D414" s="105"/>
      <c r="E414" s="106"/>
      <c r="F414" s="107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6"/>
    </row>
    <row r="415" ht="15.75" customHeight="1">
      <c r="A415" s="109"/>
      <c r="B415" s="104"/>
      <c r="C415" s="104"/>
      <c r="D415" s="105"/>
      <c r="E415" s="106"/>
      <c r="F415" s="107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6"/>
    </row>
    <row r="416" ht="15.75" customHeight="1">
      <c r="A416" s="109"/>
      <c r="B416" s="104"/>
      <c r="C416" s="104"/>
      <c r="D416" s="105"/>
      <c r="E416" s="106"/>
      <c r="F416" s="107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6"/>
    </row>
    <row r="417" ht="15.75" customHeight="1">
      <c r="A417" s="109"/>
      <c r="B417" s="104"/>
      <c r="C417" s="104"/>
      <c r="D417" s="105"/>
      <c r="E417" s="106"/>
      <c r="F417" s="107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6"/>
    </row>
    <row r="418" ht="15.75" customHeight="1">
      <c r="A418" s="109"/>
      <c r="B418" s="104"/>
      <c r="C418" s="104"/>
      <c r="D418" s="105"/>
      <c r="E418" s="106"/>
      <c r="F418" s="107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6"/>
    </row>
    <row r="419" ht="15.75" customHeight="1">
      <c r="A419" s="109"/>
      <c r="B419" s="104"/>
      <c r="C419" s="104"/>
      <c r="D419" s="105"/>
      <c r="E419" s="106"/>
      <c r="F419" s="107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6"/>
    </row>
    <row r="420" ht="15.75" customHeight="1">
      <c r="A420" s="109"/>
      <c r="B420" s="104"/>
      <c r="C420" s="104"/>
      <c r="D420" s="105"/>
      <c r="E420" s="106"/>
      <c r="F420" s="107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6"/>
    </row>
    <row r="421" ht="15.75" customHeight="1">
      <c r="A421" s="109"/>
      <c r="B421" s="104"/>
      <c r="C421" s="104"/>
      <c r="D421" s="105"/>
      <c r="E421" s="106"/>
      <c r="F421" s="107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6"/>
    </row>
    <row r="422" ht="15.75" customHeight="1">
      <c r="A422" s="109"/>
      <c r="B422" s="104"/>
      <c r="C422" s="104"/>
      <c r="D422" s="105"/>
      <c r="E422" s="106"/>
      <c r="F422" s="107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6"/>
    </row>
    <row r="423" ht="15.75" customHeight="1">
      <c r="A423" s="109"/>
      <c r="B423" s="104"/>
      <c r="C423" s="104"/>
      <c r="D423" s="105"/>
      <c r="E423" s="106"/>
      <c r="F423" s="107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6"/>
    </row>
    <row r="424" ht="15.75" customHeight="1">
      <c r="A424" s="109"/>
      <c r="B424" s="104"/>
      <c r="C424" s="104"/>
      <c r="D424" s="105"/>
      <c r="E424" s="106"/>
      <c r="F424" s="107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6"/>
    </row>
    <row r="425" ht="15.75" customHeight="1">
      <c r="A425" s="109"/>
      <c r="B425" s="104"/>
      <c r="C425" s="104"/>
      <c r="D425" s="105"/>
      <c r="E425" s="106"/>
      <c r="F425" s="107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6"/>
    </row>
    <row r="426" ht="15.75" customHeight="1">
      <c r="A426" s="109"/>
      <c r="B426" s="104"/>
      <c r="C426" s="104"/>
      <c r="D426" s="105"/>
      <c r="E426" s="106"/>
      <c r="F426" s="107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6"/>
    </row>
    <row r="427" ht="15.75" customHeight="1">
      <c r="A427" s="109"/>
      <c r="B427" s="104"/>
      <c r="C427" s="104"/>
      <c r="D427" s="105"/>
      <c r="E427" s="106"/>
      <c r="F427" s="107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6"/>
    </row>
    <row r="428" ht="15.75" customHeight="1">
      <c r="A428" s="109"/>
      <c r="B428" s="104"/>
      <c r="C428" s="104"/>
      <c r="D428" s="105"/>
      <c r="E428" s="106"/>
      <c r="F428" s="107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6"/>
    </row>
    <row r="429" ht="15.75" customHeight="1">
      <c r="A429" s="109"/>
      <c r="B429" s="104"/>
      <c r="C429" s="104"/>
      <c r="D429" s="105"/>
      <c r="E429" s="106"/>
      <c r="F429" s="107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6"/>
    </row>
    <row r="430" ht="15.75" customHeight="1">
      <c r="A430" s="109"/>
      <c r="B430" s="104"/>
      <c r="C430" s="104"/>
      <c r="D430" s="105"/>
      <c r="E430" s="106"/>
      <c r="F430" s="107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6"/>
    </row>
    <row r="431" ht="15.75" customHeight="1">
      <c r="A431" s="109"/>
      <c r="B431" s="104"/>
      <c r="C431" s="104"/>
      <c r="D431" s="105"/>
      <c r="E431" s="106"/>
      <c r="F431" s="107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6"/>
    </row>
    <row r="432" ht="15.75" customHeight="1">
      <c r="A432" s="109"/>
      <c r="B432" s="104"/>
      <c r="C432" s="104"/>
      <c r="D432" s="105"/>
      <c r="E432" s="106"/>
      <c r="F432" s="107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6"/>
    </row>
    <row r="433" ht="15.75" customHeight="1">
      <c r="A433" s="109"/>
      <c r="B433" s="104"/>
      <c r="C433" s="104"/>
      <c r="D433" s="105"/>
      <c r="E433" s="106"/>
      <c r="F433" s="107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6"/>
    </row>
    <row r="434" ht="15.75" customHeight="1">
      <c r="A434" s="109"/>
      <c r="B434" s="104"/>
      <c r="C434" s="104"/>
      <c r="D434" s="105"/>
      <c r="E434" s="106"/>
      <c r="F434" s="107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6"/>
    </row>
    <row r="435" ht="15.75" customHeight="1">
      <c r="A435" s="109"/>
      <c r="B435" s="104"/>
      <c r="C435" s="104"/>
      <c r="D435" s="105"/>
      <c r="E435" s="106"/>
      <c r="F435" s="107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6"/>
    </row>
    <row r="436" ht="15.75" customHeight="1">
      <c r="A436" s="109"/>
      <c r="B436" s="104"/>
      <c r="C436" s="104"/>
      <c r="D436" s="105"/>
      <c r="E436" s="106"/>
      <c r="F436" s="107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6"/>
    </row>
    <row r="437" ht="15.75" customHeight="1">
      <c r="A437" s="109"/>
      <c r="B437" s="104"/>
      <c r="C437" s="104"/>
      <c r="D437" s="105"/>
      <c r="E437" s="106"/>
      <c r="F437" s="107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6"/>
    </row>
    <row r="438" ht="15.75" customHeight="1">
      <c r="A438" s="109"/>
      <c r="B438" s="104"/>
      <c r="C438" s="104"/>
      <c r="D438" s="105"/>
      <c r="E438" s="106"/>
      <c r="F438" s="107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6"/>
    </row>
    <row r="439" ht="15.75" customHeight="1">
      <c r="A439" s="109"/>
      <c r="B439" s="104"/>
      <c r="C439" s="104"/>
      <c r="D439" s="105"/>
      <c r="E439" s="106"/>
      <c r="F439" s="107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6"/>
    </row>
    <row r="440" ht="15.75" customHeight="1">
      <c r="A440" s="109"/>
      <c r="B440" s="104"/>
      <c r="C440" s="104"/>
      <c r="D440" s="105"/>
      <c r="E440" s="106"/>
      <c r="F440" s="107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6"/>
    </row>
    <row r="441" ht="15.75" customHeight="1">
      <c r="A441" s="109"/>
      <c r="B441" s="104"/>
      <c r="C441" s="104"/>
      <c r="D441" s="105"/>
      <c r="E441" s="106"/>
      <c r="F441" s="107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6"/>
    </row>
    <row r="442" ht="15.75" customHeight="1">
      <c r="A442" s="109"/>
      <c r="B442" s="104"/>
      <c r="C442" s="104"/>
      <c r="D442" s="105"/>
      <c r="E442" s="106"/>
      <c r="F442" s="107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6"/>
    </row>
    <row r="443" ht="15.75" customHeight="1">
      <c r="A443" s="109"/>
      <c r="B443" s="104"/>
      <c r="C443" s="104"/>
      <c r="D443" s="105"/>
      <c r="E443" s="106"/>
      <c r="F443" s="107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6"/>
    </row>
    <row r="444" ht="15.75" customHeight="1">
      <c r="A444" s="109"/>
      <c r="B444" s="104"/>
      <c r="C444" s="104"/>
      <c r="D444" s="105"/>
      <c r="E444" s="106"/>
      <c r="F444" s="107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6"/>
    </row>
    <row r="445" ht="15.75" customHeight="1">
      <c r="A445" s="109"/>
      <c r="B445" s="104"/>
      <c r="C445" s="104"/>
      <c r="D445" s="105"/>
      <c r="E445" s="106"/>
      <c r="F445" s="107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6"/>
    </row>
    <row r="446" ht="15.75" customHeight="1">
      <c r="A446" s="109"/>
      <c r="B446" s="104"/>
      <c r="C446" s="104"/>
      <c r="D446" s="105"/>
      <c r="E446" s="106"/>
      <c r="F446" s="107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6"/>
    </row>
    <row r="447" ht="15.75" customHeight="1">
      <c r="A447" s="109"/>
      <c r="B447" s="104"/>
      <c r="C447" s="104"/>
      <c r="D447" s="105"/>
      <c r="E447" s="106"/>
      <c r="F447" s="107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6"/>
    </row>
    <row r="448" ht="15.75" customHeight="1">
      <c r="A448" s="109"/>
      <c r="B448" s="104"/>
      <c r="C448" s="104"/>
      <c r="D448" s="105"/>
      <c r="E448" s="106"/>
      <c r="F448" s="107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6"/>
    </row>
    <row r="449" ht="15.75" customHeight="1">
      <c r="A449" s="109"/>
      <c r="B449" s="104"/>
      <c r="C449" s="104"/>
      <c r="D449" s="105"/>
      <c r="E449" s="106"/>
      <c r="F449" s="107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6"/>
    </row>
    <row r="450" ht="15.75" customHeight="1">
      <c r="A450" s="109"/>
      <c r="B450" s="104"/>
      <c r="C450" s="104"/>
      <c r="D450" s="105"/>
      <c r="E450" s="106"/>
      <c r="F450" s="107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6"/>
    </row>
    <row r="451" ht="15.75" customHeight="1">
      <c r="A451" s="109"/>
      <c r="B451" s="104"/>
      <c r="C451" s="104"/>
      <c r="D451" s="105"/>
      <c r="E451" s="106"/>
      <c r="F451" s="107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6"/>
    </row>
    <row r="452" ht="15.75" customHeight="1">
      <c r="A452" s="109"/>
      <c r="B452" s="104"/>
      <c r="C452" s="104"/>
      <c r="D452" s="105"/>
      <c r="E452" s="106"/>
      <c r="F452" s="107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6"/>
    </row>
    <row r="453" ht="15.75" customHeight="1">
      <c r="A453" s="109"/>
      <c r="B453" s="104"/>
      <c r="C453" s="104"/>
      <c r="D453" s="105"/>
      <c r="E453" s="106"/>
      <c r="F453" s="107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6"/>
    </row>
    <row r="454" ht="15.75" customHeight="1">
      <c r="A454" s="109"/>
      <c r="B454" s="104"/>
      <c r="C454" s="104"/>
      <c r="D454" s="105"/>
      <c r="E454" s="106"/>
      <c r="F454" s="107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6"/>
    </row>
    <row r="455" ht="15.75" customHeight="1">
      <c r="A455" s="109"/>
      <c r="B455" s="104"/>
      <c r="C455" s="104"/>
      <c r="D455" s="105"/>
      <c r="E455" s="106"/>
      <c r="F455" s="107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6"/>
    </row>
    <row r="456" ht="15.75" customHeight="1">
      <c r="A456" s="109"/>
      <c r="B456" s="104"/>
      <c r="C456" s="104"/>
      <c r="D456" s="105"/>
      <c r="E456" s="106"/>
      <c r="F456" s="107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6"/>
    </row>
    <row r="457" ht="15.75" customHeight="1">
      <c r="A457" s="109"/>
      <c r="B457" s="104"/>
      <c r="C457" s="104"/>
      <c r="D457" s="105"/>
      <c r="E457" s="106"/>
      <c r="F457" s="107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6"/>
    </row>
    <row r="458" ht="15.75" customHeight="1">
      <c r="A458" s="109"/>
      <c r="B458" s="104"/>
      <c r="C458" s="104"/>
      <c r="D458" s="105"/>
      <c r="E458" s="106"/>
      <c r="F458" s="107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6"/>
    </row>
    <row r="459" ht="15.75" customHeight="1">
      <c r="A459" s="109"/>
      <c r="B459" s="104"/>
      <c r="C459" s="104"/>
      <c r="D459" s="105"/>
      <c r="E459" s="106"/>
      <c r="F459" s="107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6"/>
    </row>
    <row r="460" ht="15.75" customHeight="1">
      <c r="A460" s="109"/>
      <c r="B460" s="104"/>
      <c r="C460" s="104"/>
      <c r="D460" s="105"/>
      <c r="E460" s="106"/>
      <c r="F460" s="107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6"/>
    </row>
    <row r="461" ht="15.75" customHeight="1">
      <c r="A461" s="109"/>
      <c r="B461" s="104"/>
      <c r="C461" s="104"/>
      <c r="D461" s="105"/>
      <c r="E461" s="106"/>
      <c r="F461" s="107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6"/>
    </row>
    <row r="462" ht="15.75" customHeight="1">
      <c r="A462" s="109"/>
      <c r="B462" s="104"/>
      <c r="C462" s="104"/>
      <c r="D462" s="105"/>
      <c r="E462" s="106"/>
      <c r="F462" s="107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6"/>
    </row>
    <row r="463" ht="15.75" customHeight="1">
      <c r="A463" s="109"/>
      <c r="B463" s="104"/>
      <c r="C463" s="104"/>
      <c r="D463" s="105"/>
      <c r="E463" s="106"/>
      <c r="F463" s="107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6"/>
    </row>
    <row r="464" ht="15.75" customHeight="1">
      <c r="A464" s="109"/>
      <c r="B464" s="104"/>
      <c r="C464" s="104"/>
      <c r="D464" s="105"/>
      <c r="E464" s="106"/>
      <c r="F464" s="107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6"/>
    </row>
    <row r="465" ht="15.75" customHeight="1">
      <c r="A465" s="109"/>
      <c r="B465" s="104"/>
      <c r="C465" s="104"/>
      <c r="D465" s="105"/>
      <c r="E465" s="106"/>
      <c r="F465" s="107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6"/>
    </row>
    <row r="466" ht="15.75" customHeight="1">
      <c r="A466" s="109"/>
      <c r="B466" s="104"/>
      <c r="C466" s="104"/>
      <c r="D466" s="105"/>
      <c r="E466" s="106"/>
      <c r="F466" s="107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6"/>
    </row>
    <row r="467" ht="15.75" customHeight="1">
      <c r="A467" s="109"/>
      <c r="B467" s="104"/>
      <c r="C467" s="104"/>
      <c r="D467" s="105"/>
      <c r="E467" s="106"/>
      <c r="F467" s="107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6"/>
    </row>
    <row r="468" ht="15.75" customHeight="1">
      <c r="A468" s="109"/>
      <c r="B468" s="104"/>
      <c r="C468" s="104"/>
      <c r="D468" s="105"/>
      <c r="E468" s="106"/>
      <c r="F468" s="107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6"/>
    </row>
    <row r="469" ht="15.75" customHeight="1">
      <c r="A469" s="109"/>
      <c r="B469" s="104"/>
      <c r="C469" s="104"/>
      <c r="D469" s="105"/>
      <c r="E469" s="106"/>
      <c r="F469" s="107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6"/>
    </row>
    <row r="470" ht="15.75" customHeight="1">
      <c r="A470" s="109"/>
      <c r="B470" s="104"/>
      <c r="C470" s="104"/>
      <c r="D470" s="105"/>
      <c r="E470" s="106"/>
      <c r="F470" s="107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6"/>
    </row>
    <row r="471" ht="15.75" customHeight="1">
      <c r="A471" s="109"/>
      <c r="B471" s="104"/>
      <c r="C471" s="104"/>
      <c r="D471" s="105"/>
      <c r="E471" s="106"/>
      <c r="F471" s="107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6"/>
    </row>
    <row r="472" ht="15.75" customHeight="1">
      <c r="A472" s="109"/>
      <c r="B472" s="104"/>
      <c r="C472" s="104"/>
      <c r="D472" s="105"/>
      <c r="E472" s="106"/>
      <c r="F472" s="107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6"/>
    </row>
    <row r="473" ht="15.75" customHeight="1">
      <c r="A473" s="109"/>
      <c r="B473" s="104"/>
      <c r="C473" s="104"/>
      <c r="D473" s="105"/>
      <c r="E473" s="106"/>
      <c r="F473" s="107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6"/>
    </row>
    <row r="474" ht="15.75" customHeight="1">
      <c r="A474" s="109"/>
      <c r="B474" s="104"/>
      <c r="C474" s="104"/>
      <c r="D474" s="105"/>
      <c r="E474" s="106"/>
      <c r="F474" s="107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6"/>
    </row>
    <row r="475" ht="15.75" customHeight="1">
      <c r="A475" s="109"/>
      <c r="B475" s="104"/>
      <c r="C475" s="104"/>
      <c r="D475" s="105"/>
      <c r="E475" s="106"/>
      <c r="F475" s="107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6"/>
    </row>
    <row r="476" ht="15.75" customHeight="1">
      <c r="A476" s="109"/>
      <c r="B476" s="104"/>
      <c r="C476" s="104"/>
      <c r="D476" s="105"/>
      <c r="E476" s="106"/>
      <c r="F476" s="107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6"/>
    </row>
    <row r="477" ht="15.75" customHeight="1">
      <c r="A477" s="109"/>
      <c r="B477" s="104"/>
      <c r="C477" s="104"/>
      <c r="D477" s="105"/>
      <c r="E477" s="106"/>
      <c r="F477" s="107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6"/>
    </row>
    <row r="478" ht="15.75" customHeight="1">
      <c r="A478" s="109"/>
      <c r="B478" s="104"/>
      <c r="C478" s="104"/>
      <c r="D478" s="105"/>
      <c r="E478" s="106"/>
      <c r="F478" s="107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6"/>
    </row>
    <row r="479" ht="15.75" customHeight="1">
      <c r="A479" s="109"/>
      <c r="B479" s="104"/>
      <c r="C479" s="104"/>
      <c r="D479" s="105"/>
      <c r="E479" s="106"/>
      <c r="F479" s="107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6"/>
    </row>
    <row r="480" ht="15.75" customHeight="1">
      <c r="A480" s="109"/>
      <c r="B480" s="104"/>
      <c r="C480" s="104"/>
      <c r="D480" s="105"/>
      <c r="E480" s="106"/>
      <c r="F480" s="107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6"/>
    </row>
    <row r="481" ht="15.75" customHeight="1">
      <c r="A481" s="109"/>
      <c r="B481" s="104"/>
      <c r="C481" s="104"/>
      <c r="D481" s="105"/>
      <c r="E481" s="106"/>
      <c r="F481" s="107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6"/>
    </row>
    <row r="482" ht="15.75" customHeight="1">
      <c r="A482" s="109"/>
      <c r="B482" s="104"/>
      <c r="C482" s="104"/>
      <c r="D482" s="105"/>
      <c r="E482" s="106"/>
      <c r="F482" s="107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6"/>
    </row>
    <row r="483" ht="15.75" customHeight="1">
      <c r="A483" s="109"/>
      <c r="B483" s="104"/>
      <c r="C483" s="104"/>
      <c r="D483" s="105"/>
      <c r="E483" s="106"/>
      <c r="F483" s="107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6"/>
    </row>
    <row r="484" ht="15.75" customHeight="1">
      <c r="A484" s="109"/>
      <c r="B484" s="104"/>
      <c r="C484" s="104"/>
      <c r="D484" s="105"/>
      <c r="E484" s="106"/>
      <c r="F484" s="107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6"/>
    </row>
    <row r="485" ht="15.75" customHeight="1">
      <c r="A485" s="109"/>
      <c r="B485" s="104"/>
      <c r="C485" s="104"/>
      <c r="D485" s="105"/>
      <c r="E485" s="106"/>
      <c r="F485" s="107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6"/>
    </row>
    <row r="486" ht="15.75" customHeight="1">
      <c r="A486" s="109"/>
      <c r="B486" s="104"/>
      <c r="C486" s="104"/>
      <c r="D486" s="105"/>
      <c r="E486" s="106"/>
      <c r="F486" s="107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6"/>
    </row>
    <row r="487" ht="15.75" customHeight="1">
      <c r="A487" s="109"/>
      <c r="B487" s="104"/>
      <c r="C487" s="104"/>
      <c r="D487" s="105"/>
      <c r="E487" s="106"/>
      <c r="F487" s="107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6"/>
    </row>
    <row r="488" ht="15.75" customHeight="1">
      <c r="A488" s="109"/>
      <c r="B488" s="104"/>
      <c r="C488" s="104"/>
      <c r="D488" s="105"/>
      <c r="E488" s="106"/>
      <c r="F488" s="107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6"/>
    </row>
    <row r="489" ht="15.75" customHeight="1">
      <c r="A489" s="109"/>
      <c r="B489" s="104"/>
      <c r="C489" s="104"/>
      <c r="D489" s="105"/>
      <c r="E489" s="106"/>
      <c r="F489" s="107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6"/>
    </row>
    <row r="490" ht="15.75" customHeight="1">
      <c r="A490" s="109"/>
      <c r="B490" s="104"/>
      <c r="C490" s="104"/>
      <c r="D490" s="105"/>
      <c r="E490" s="106"/>
      <c r="F490" s="107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6"/>
    </row>
    <row r="491" ht="15.75" customHeight="1">
      <c r="A491" s="109"/>
      <c r="B491" s="104"/>
      <c r="C491" s="104"/>
      <c r="D491" s="105"/>
      <c r="E491" s="106"/>
      <c r="F491" s="107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6"/>
    </row>
    <row r="492" ht="15.75" customHeight="1">
      <c r="A492" s="109"/>
      <c r="B492" s="104"/>
      <c r="C492" s="104"/>
      <c r="D492" s="105"/>
      <c r="E492" s="106"/>
      <c r="F492" s="107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6"/>
    </row>
    <row r="493" ht="15.75" customHeight="1">
      <c r="A493" s="109"/>
      <c r="B493" s="104"/>
      <c r="C493" s="104"/>
      <c r="D493" s="105"/>
      <c r="E493" s="106"/>
      <c r="F493" s="107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6"/>
    </row>
    <row r="494" ht="15.75" customHeight="1">
      <c r="A494" s="109"/>
      <c r="B494" s="104"/>
      <c r="C494" s="104"/>
      <c r="D494" s="105"/>
      <c r="E494" s="106"/>
      <c r="F494" s="107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6"/>
    </row>
    <row r="495" ht="15.75" customHeight="1">
      <c r="A495" s="109"/>
      <c r="B495" s="104"/>
      <c r="C495" s="104"/>
      <c r="D495" s="105"/>
      <c r="E495" s="106"/>
      <c r="F495" s="107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6"/>
    </row>
    <row r="496" ht="15.75" customHeight="1">
      <c r="A496" s="109"/>
      <c r="B496" s="104"/>
      <c r="C496" s="104"/>
      <c r="D496" s="105"/>
      <c r="E496" s="106"/>
      <c r="F496" s="107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6"/>
    </row>
    <row r="497" ht="15.75" customHeight="1">
      <c r="A497" s="109"/>
      <c r="B497" s="104"/>
      <c r="C497" s="104"/>
      <c r="D497" s="105"/>
      <c r="E497" s="106"/>
      <c r="F497" s="107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6"/>
    </row>
    <row r="498" ht="15.75" customHeight="1">
      <c r="A498" s="109"/>
      <c r="B498" s="104"/>
      <c r="C498" s="104"/>
      <c r="D498" s="105"/>
      <c r="E498" s="106"/>
      <c r="F498" s="107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6"/>
    </row>
    <row r="499" ht="15.75" customHeight="1">
      <c r="A499" s="109"/>
      <c r="B499" s="104"/>
      <c r="C499" s="104"/>
      <c r="D499" s="105"/>
      <c r="E499" s="106"/>
      <c r="F499" s="107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6"/>
    </row>
    <row r="500" ht="15.75" customHeight="1">
      <c r="A500" s="109"/>
      <c r="B500" s="104"/>
      <c r="C500" s="104"/>
      <c r="D500" s="105"/>
      <c r="E500" s="106"/>
      <c r="F500" s="107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6"/>
    </row>
    <row r="501" ht="15.75" customHeight="1">
      <c r="A501" s="109"/>
      <c r="B501" s="104"/>
      <c r="C501" s="104"/>
      <c r="D501" s="105"/>
      <c r="E501" s="106"/>
      <c r="F501" s="107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6"/>
    </row>
    <row r="502" ht="15.75" customHeight="1">
      <c r="A502" s="109"/>
      <c r="B502" s="104"/>
      <c r="C502" s="104"/>
      <c r="D502" s="105"/>
      <c r="E502" s="106"/>
      <c r="F502" s="107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6"/>
    </row>
    <row r="503" ht="15.75" customHeight="1">
      <c r="A503" s="109"/>
      <c r="B503" s="104"/>
      <c r="C503" s="104"/>
      <c r="D503" s="105"/>
      <c r="E503" s="106"/>
      <c r="F503" s="107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6"/>
    </row>
    <row r="504" ht="15.75" customHeight="1">
      <c r="A504" s="109"/>
      <c r="B504" s="104"/>
      <c r="C504" s="104"/>
      <c r="D504" s="105"/>
      <c r="E504" s="106"/>
      <c r="F504" s="107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6"/>
    </row>
    <row r="505" ht="15.75" customHeight="1">
      <c r="A505" s="109"/>
      <c r="B505" s="104"/>
      <c r="C505" s="104"/>
      <c r="D505" s="105"/>
      <c r="E505" s="106"/>
      <c r="F505" s="107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6"/>
    </row>
    <row r="506" ht="15.75" customHeight="1">
      <c r="A506" s="109"/>
      <c r="B506" s="104"/>
      <c r="C506" s="104"/>
      <c r="D506" s="105"/>
      <c r="E506" s="106"/>
      <c r="F506" s="107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6"/>
    </row>
    <row r="507" ht="15.75" customHeight="1">
      <c r="A507" s="109"/>
      <c r="B507" s="104"/>
      <c r="C507" s="104"/>
      <c r="D507" s="105"/>
      <c r="E507" s="106"/>
      <c r="F507" s="107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6"/>
    </row>
    <row r="508" ht="15.75" customHeight="1">
      <c r="A508" s="109"/>
      <c r="B508" s="104"/>
      <c r="C508" s="104"/>
      <c r="D508" s="105"/>
      <c r="E508" s="106"/>
      <c r="F508" s="107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6"/>
    </row>
    <row r="509" ht="15.75" customHeight="1">
      <c r="A509" s="109"/>
      <c r="B509" s="104"/>
      <c r="C509" s="104"/>
      <c r="D509" s="105"/>
      <c r="E509" s="106"/>
      <c r="F509" s="107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6"/>
    </row>
    <row r="510" ht="15.75" customHeight="1">
      <c r="A510" s="109"/>
      <c r="B510" s="104"/>
      <c r="C510" s="104"/>
      <c r="D510" s="105"/>
      <c r="E510" s="106"/>
      <c r="F510" s="107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6"/>
    </row>
    <row r="511" ht="15.75" customHeight="1">
      <c r="A511" s="109"/>
      <c r="B511" s="104"/>
      <c r="C511" s="104"/>
      <c r="D511" s="105"/>
      <c r="E511" s="106"/>
      <c r="F511" s="107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6"/>
    </row>
    <row r="512" ht="15.75" customHeight="1">
      <c r="A512" s="109"/>
      <c r="B512" s="104"/>
      <c r="C512" s="104"/>
      <c r="D512" s="105"/>
      <c r="E512" s="106"/>
      <c r="F512" s="107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6"/>
    </row>
    <row r="513" ht="15.75" customHeight="1">
      <c r="A513" s="109"/>
      <c r="B513" s="104"/>
      <c r="C513" s="104"/>
      <c r="D513" s="105"/>
      <c r="E513" s="106"/>
      <c r="F513" s="107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6"/>
    </row>
    <row r="514" ht="15.75" customHeight="1">
      <c r="A514" s="109"/>
      <c r="B514" s="104"/>
      <c r="C514" s="104"/>
      <c r="D514" s="105"/>
      <c r="E514" s="106"/>
      <c r="F514" s="107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6"/>
    </row>
    <row r="515" ht="15.75" customHeight="1">
      <c r="A515" s="109"/>
      <c r="B515" s="104"/>
      <c r="C515" s="104"/>
      <c r="D515" s="105"/>
      <c r="E515" s="106"/>
      <c r="F515" s="107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6"/>
    </row>
    <row r="516" ht="15.75" customHeight="1">
      <c r="A516" s="109"/>
      <c r="B516" s="104"/>
      <c r="C516" s="104"/>
      <c r="D516" s="105"/>
      <c r="E516" s="106"/>
      <c r="F516" s="107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6"/>
    </row>
    <row r="517" ht="15.75" customHeight="1">
      <c r="A517" s="109"/>
      <c r="B517" s="104"/>
      <c r="C517" s="104"/>
      <c r="D517" s="105"/>
      <c r="E517" s="106"/>
      <c r="F517" s="107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6"/>
    </row>
    <row r="518" ht="15.75" customHeight="1">
      <c r="A518" s="109"/>
      <c r="B518" s="104"/>
      <c r="C518" s="104"/>
      <c r="D518" s="105"/>
      <c r="E518" s="106"/>
      <c r="F518" s="107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6"/>
    </row>
    <row r="519" ht="15.75" customHeight="1">
      <c r="A519" s="109"/>
      <c r="B519" s="104"/>
      <c r="C519" s="104"/>
      <c r="D519" s="105"/>
      <c r="E519" s="106"/>
      <c r="F519" s="107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6"/>
    </row>
    <row r="520" ht="15.75" customHeight="1">
      <c r="A520" s="109"/>
      <c r="B520" s="104"/>
      <c r="C520" s="104"/>
      <c r="D520" s="105"/>
      <c r="E520" s="106"/>
      <c r="F520" s="107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6"/>
    </row>
    <row r="521" ht="15.75" customHeight="1">
      <c r="A521" s="109"/>
      <c r="B521" s="104"/>
      <c r="C521" s="104"/>
      <c r="D521" s="105"/>
      <c r="E521" s="106"/>
      <c r="F521" s="107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6"/>
    </row>
    <row r="522" ht="15.75" customHeight="1">
      <c r="A522" s="109"/>
      <c r="B522" s="104"/>
      <c r="C522" s="104"/>
      <c r="D522" s="105"/>
      <c r="E522" s="106"/>
      <c r="F522" s="107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6"/>
    </row>
    <row r="523" ht="15.75" customHeight="1">
      <c r="A523" s="109"/>
      <c r="B523" s="104"/>
      <c r="C523" s="104"/>
      <c r="D523" s="105"/>
      <c r="E523" s="106"/>
      <c r="F523" s="107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6"/>
    </row>
    <row r="524" ht="15.75" customHeight="1">
      <c r="A524" s="109"/>
      <c r="B524" s="104"/>
      <c r="C524" s="104"/>
      <c r="D524" s="105"/>
      <c r="E524" s="106"/>
      <c r="F524" s="107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6"/>
    </row>
    <row r="525" ht="15.75" customHeight="1">
      <c r="A525" s="109"/>
      <c r="B525" s="104"/>
      <c r="C525" s="104"/>
      <c r="D525" s="105"/>
      <c r="E525" s="106"/>
      <c r="F525" s="107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6"/>
    </row>
    <row r="526" ht="15.75" customHeight="1">
      <c r="A526" s="109"/>
      <c r="B526" s="104"/>
      <c r="C526" s="104"/>
      <c r="D526" s="105"/>
      <c r="E526" s="106"/>
      <c r="F526" s="107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6"/>
    </row>
    <row r="527" ht="15.75" customHeight="1">
      <c r="A527" s="109"/>
      <c r="B527" s="104"/>
      <c r="C527" s="104"/>
      <c r="D527" s="105"/>
      <c r="E527" s="106"/>
      <c r="F527" s="107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6"/>
    </row>
    <row r="528" ht="15.75" customHeight="1">
      <c r="A528" s="109"/>
      <c r="B528" s="104"/>
      <c r="C528" s="104"/>
      <c r="D528" s="105"/>
      <c r="E528" s="106"/>
      <c r="F528" s="107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6"/>
    </row>
    <row r="529" ht="15.75" customHeight="1">
      <c r="A529" s="109"/>
      <c r="B529" s="104"/>
      <c r="C529" s="104"/>
      <c r="D529" s="105"/>
      <c r="E529" s="106"/>
      <c r="F529" s="107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6"/>
    </row>
    <row r="530" ht="15.75" customHeight="1">
      <c r="A530" s="109"/>
      <c r="B530" s="104"/>
      <c r="C530" s="104"/>
      <c r="D530" s="105"/>
      <c r="E530" s="106"/>
      <c r="F530" s="107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6"/>
    </row>
    <row r="531" ht="15.75" customHeight="1">
      <c r="A531" s="109"/>
      <c r="B531" s="104"/>
      <c r="C531" s="104"/>
      <c r="D531" s="105"/>
      <c r="E531" s="106"/>
      <c r="F531" s="107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6"/>
    </row>
    <row r="532" ht="15.75" customHeight="1">
      <c r="A532" s="109"/>
      <c r="B532" s="104"/>
      <c r="C532" s="104"/>
      <c r="D532" s="105"/>
      <c r="E532" s="106"/>
      <c r="F532" s="107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6"/>
    </row>
    <row r="533" ht="15.75" customHeight="1">
      <c r="A533" s="109"/>
      <c r="B533" s="104"/>
      <c r="C533" s="104"/>
      <c r="D533" s="105"/>
      <c r="E533" s="106"/>
      <c r="F533" s="107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6"/>
    </row>
    <row r="534" ht="15.75" customHeight="1">
      <c r="A534" s="109"/>
      <c r="B534" s="104"/>
      <c r="C534" s="104"/>
      <c r="D534" s="105"/>
      <c r="E534" s="106"/>
      <c r="F534" s="107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6"/>
    </row>
    <row r="535" ht="15.75" customHeight="1">
      <c r="A535" s="109"/>
      <c r="B535" s="104"/>
      <c r="C535" s="104"/>
      <c r="D535" s="105"/>
      <c r="E535" s="106"/>
      <c r="F535" s="107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6"/>
    </row>
    <row r="536" ht="15.75" customHeight="1">
      <c r="A536" s="109"/>
      <c r="B536" s="104"/>
      <c r="C536" s="104"/>
      <c r="D536" s="105"/>
      <c r="E536" s="106"/>
      <c r="F536" s="107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6"/>
    </row>
    <row r="537" ht="15.75" customHeight="1">
      <c r="A537" s="109"/>
      <c r="B537" s="104"/>
      <c r="C537" s="104"/>
      <c r="D537" s="105"/>
      <c r="E537" s="106"/>
      <c r="F537" s="107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6"/>
    </row>
    <row r="538" ht="15.75" customHeight="1">
      <c r="A538" s="109"/>
      <c r="B538" s="104"/>
      <c r="C538" s="104"/>
      <c r="D538" s="105"/>
      <c r="E538" s="106"/>
      <c r="F538" s="107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6"/>
    </row>
    <row r="539" ht="15.75" customHeight="1">
      <c r="A539" s="109"/>
      <c r="B539" s="104"/>
      <c r="C539" s="104"/>
      <c r="D539" s="105"/>
      <c r="E539" s="106"/>
      <c r="F539" s="107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6"/>
    </row>
    <row r="540" ht="15.75" customHeight="1">
      <c r="A540" s="109"/>
      <c r="B540" s="104"/>
      <c r="C540" s="104"/>
      <c r="D540" s="105"/>
      <c r="E540" s="106"/>
      <c r="F540" s="107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6"/>
    </row>
    <row r="541" ht="15.75" customHeight="1">
      <c r="A541" s="109"/>
      <c r="B541" s="104"/>
      <c r="C541" s="104"/>
      <c r="D541" s="105"/>
      <c r="E541" s="106"/>
      <c r="F541" s="107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6"/>
    </row>
    <row r="542" ht="15.75" customHeight="1">
      <c r="A542" s="109"/>
      <c r="B542" s="104"/>
      <c r="C542" s="104"/>
      <c r="D542" s="105"/>
      <c r="E542" s="106"/>
      <c r="F542" s="107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6"/>
    </row>
    <row r="543" ht="15.75" customHeight="1">
      <c r="A543" s="109"/>
      <c r="B543" s="104"/>
      <c r="C543" s="104"/>
      <c r="D543" s="105"/>
      <c r="E543" s="106"/>
      <c r="F543" s="107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6"/>
    </row>
    <row r="544" ht="15.75" customHeight="1">
      <c r="A544" s="109"/>
      <c r="B544" s="104"/>
      <c r="C544" s="104"/>
      <c r="D544" s="105"/>
      <c r="E544" s="106"/>
      <c r="F544" s="107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6"/>
    </row>
    <row r="545" ht="15.75" customHeight="1">
      <c r="A545" s="109"/>
      <c r="B545" s="104"/>
      <c r="C545" s="104"/>
      <c r="D545" s="105"/>
      <c r="E545" s="106"/>
      <c r="F545" s="107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6"/>
    </row>
    <row r="546" ht="15.75" customHeight="1">
      <c r="A546" s="109"/>
      <c r="B546" s="104"/>
      <c r="C546" s="104"/>
      <c r="D546" s="105"/>
      <c r="E546" s="106"/>
      <c r="F546" s="107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6"/>
    </row>
    <row r="547" ht="15.75" customHeight="1">
      <c r="A547" s="109"/>
      <c r="B547" s="104"/>
      <c r="C547" s="104"/>
      <c r="D547" s="105"/>
      <c r="E547" s="106"/>
      <c r="F547" s="107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6"/>
    </row>
    <row r="548" ht="15.75" customHeight="1">
      <c r="A548" s="109"/>
      <c r="B548" s="104"/>
      <c r="C548" s="104"/>
      <c r="D548" s="105"/>
      <c r="E548" s="106"/>
      <c r="F548" s="107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6"/>
    </row>
    <row r="549" ht="15.75" customHeight="1">
      <c r="A549" s="109"/>
      <c r="B549" s="104"/>
      <c r="C549" s="104"/>
      <c r="D549" s="105"/>
      <c r="E549" s="106"/>
      <c r="F549" s="107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6"/>
    </row>
    <row r="550" ht="15.75" customHeight="1">
      <c r="A550" s="109"/>
      <c r="B550" s="104"/>
      <c r="C550" s="104"/>
      <c r="D550" s="105"/>
      <c r="E550" s="106"/>
      <c r="F550" s="107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6"/>
    </row>
    <row r="551" ht="15.75" customHeight="1">
      <c r="A551" s="109"/>
      <c r="B551" s="104"/>
      <c r="C551" s="104"/>
      <c r="D551" s="105"/>
      <c r="E551" s="106"/>
      <c r="F551" s="107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6"/>
    </row>
    <row r="552" ht="15.75" customHeight="1">
      <c r="A552" s="109"/>
      <c r="B552" s="104"/>
      <c r="C552" s="104"/>
      <c r="D552" s="105"/>
      <c r="E552" s="106"/>
      <c r="F552" s="107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6"/>
    </row>
    <row r="553" ht="15.75" customHeight="1">
      <c r="A553" s="109"/>
      <c r="B553" s="104"/>
      <c r="C553" s="104"/>
      <c r="D553" s="105"/>
      <c r="E553" s="106"/>
      <c r="F553" s="107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6"/>
    </row>
    <row r="554" ht="15.75" customHeight="1">
      <c r="A554" s="109"/>
      <c r="B554" s="104"/>
      <c r="C554" s="104"/>
      <c r="D554" s="105"/>
      <c r="E554" s="106"/>
      <c r="F554" s="107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6"/>
    </row>
    <row r="555" ht="15.75" customHeight="1">
      <c r="A555" s="109"/>
      <c r="B555" s="104"/>
      <c r="C555" s="104"/>
      <c r="D555" s="105"/>
      <c r="E555" s="106"/>
      <c r="F555" s="107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6"/>
    </row>
    <row r="556" ht="15.75" customHeight="1">
      <c r="A556" s="109"/>
      <c r="B556" s="104"/>
      <c r="C556" s="104"/>
      <c r="D556" s="105"/>
      <c r="E556" s="106"/>
      <c r="F556" s="107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6"/>
    </row>
    <row r="557" ht="15.75" customHeight="1">
      <c r="A557" s="109"/>
      <c r="B557" s="104"/>
      <c r="C557" s="104"/>
      <c r="D557" s="105"/>
      <c r="E557" s="106"/>
      <c r="F557" s="107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6"/>
    </row>
    <row r="558" ht="15.75" customHeight="1">
      <c r="A558" s="109"/>
      <c r="B558" s="104"/>
      <c r="C558" s="104"/>
      <c r="D558" s="105"/>
      <c r="E558" s="106"/>
      <c r="F558" s="107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6"/>
    </row>
    <row r="559" ht="15.75" customHeight="1">
      <c r="A559" s="109"/>
      <c r="B559" s="104"/>
      <c r="C559" s="104"/>
      <c r="D559" s="105"/>
      <c r="E559" s="106"/>
      <c r="F559" s="107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6"/>
    </row>
    <row r="560" ht="15.75" customHeight="1">
      <c r="A560" s="109"/>
      <c r="B560" s="104"/>
      <c r="C560" s="104"/>
      <c r="D560" s="105"/>
      <c r="E560" s="106"/>
      <c r="F560" s="107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6"/>
    </row>
    <row r="561" ht="15.75" customHeight="1">
      <c r="A561" s="109"/>
      <c r="B561" s="104"/>
      <c r="C561" s="104"/>
      <c r="D561" s="105"/>
      <c r="E561" s="106"/>
      <c r="F561" s="107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6"/>
    </row>
    <row r="562" ht="15.75" customHeight="1">
      <c r="A562" s="109"/>
      <c r="B562" s="104"/>
      <c r="C562" s="104"/>
      <c r="D562" s="105"/>
      <c r="E562" s="106"/>
      <c r="F562" s="107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6"/>
    </row>
    <row r="563" ht="15.75" customHeight="1">
      <c r="A563" s="109"/>
      <c r="B563" s="104"/>
      <c r="C563" s="104"/>
      <c r="D563" s="105"/>
      <c r="E563" s="106"/>
      <c r="F563" s="107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6"/>
    </row>
    <row r="564" ht="15.75" customHeight="1">
      <c r="A564" s="109"/>
      <c r="B564" s="104"/>
      <c r="C564" s="104"/>
      <c r="D564" s="105"/>
      <c r="E564" s="106"/>
      <c r="F564" s="107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6"/>
    </row>
    <row r="565" ht="15.75" customHeight="1">
      <c r="A565" s="109"/>
      <c r="B565" s="104"/>
      <c r="C565" s="104"/>
      <c r="D565" s="105"/>
      <c r="E565" s="106"/>
      <c r="F565" s="107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6"/>
    </row>
    <row r="566" ht="15.75" customHeight="1">
      <c r="A566" s="109"/>
      <c r="B566" s="104"/>
      <c r="C566" s="104"/>
      <c r="D566" s="105"/>
      <c r="E566" s="106"/>
      <c r="F566" s="107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6"/>
    </row>
    <row r="567" ht="15.75" customHeight="1">
      <c r="A567" s="109"/>
      <c r="B567" s="104"/>
      <c r="C567" s="104"/>
      <c r="D567" s="105"/>
      <c r="E567" s="106"/>
      <c r="F567" s="107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6"/>
    </row>
    <row r="568" ht="15.75" customHeight="1">
      <c r="A568" s="109"/>
      <c r="B568" s="104"/>
      <c r="C568" s="104"/>
      <c r="D568" s="105"/>
      <c r="E568" s="106"/>
      <c r="F568" s="107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6"/>
    </row>
    <row r="569" ht="15.75" customHeight="1">
      <c r="A569" s="109"/>
      <c r="B569" s="104"/>
      <c r="C569" s="104"/>
      <c r="D569" s="105"/>
      <c r="E569" s="106"/>
      <c r="F569" s="107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6"/>
    </row>
    <row r="570" ht="15.75" customHeight="1">
      <c r="A570" s="109"/>
      <c r="B570" s="104"/>
      <c r="C570" s="104"/>
      <c r="D570" s="105"/>
      <c r="E570" s="106"/>
      <c r="F570" s="107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6"/>
    </row>
    <row r="571" ht="15.75" customHeight="1">
      <c r="A571" s="109"/>
      <c r="B571" s="104"/>
      <c r="C571" s="104"/>
      <c r="D571" s="105"/>
      <c r="E571" s="106"/>
      <c r="F571" s="107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6"/>
    </row>
    <row r="572" ht="15.75" customHeight="1">
      <c r="A572" s="109"/>
      <c r="B572" s="104"/>
      <c r="C572" s="104"/>
      <c r="D572" s="105"/>
      <c r="E572" s="106"/>
      <c r="F572" s="107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6"/>
    </row>
    <row r="573" ht="15.75" customHeight="1">
      <c r="A573" s="109"/>
      <c r="B573" s="104"/>
      <c r="C573" s="104"/>
      <c r="D573" s="105"/>
      <c r="E573" s="106"/>
      <c r="F573" s="107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6"/>
    </row>
    <row r="574" ht="15.75" customHeight="1">
      <c r="A574" s="109"/>
      <c r="B574" s="104"/>
      <c r="C574" s="104"/>
      <c r="D574" s="105"/>
      <c r="E574" s="106"/>
      <c r="F574" s="107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6"/>
    </row>
    <row r="575" ht="15.75" customHeight="1">
      <c r="A575" s="109"/>
      <c r="B575" s="104"/>
      <c r="C575" s="104"/>
      <c r="D575" s="105"/>
      <c r="E575" s="106"/>
      <c r="F575" s="107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6"/>
    </row>
    <row r="576" ht="15.75" customHeight="1">
      <c r="A576" s="109"/>
      <c r="B576" s="104"/>
      <c r="C576" s="104"/>
      <c r="D576" s="105"/>
      <c r="E576" s="106"/>
      <c r="F576" s="107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6"/>
    </row>
    <row r="577" ht="15.75" customHeight="1">
      <c r="A577" s="109"/>
      <c r="B577" s="104"/>
      <c r="C577" s="104"/>
      <c r="D577" s="105"/>
      <c r="E577" s="106"/>
      <c r="F577" s="107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6"/>
    </row>
    <row r="578" ht="15.75" customHeight="1">
      <c r="A578" s="109"/>
      <c r="B578" s="104"/>
      <c r="C578" s="104"/>
      <c r="D578" s="105"/>
      <c r="E578" s="106"/>
      <c r="F578" s="107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6"/>
    </row>
    <row r="579" ht="15.75" customHeight="1">
      <c r="A579" s="109"/>
      <c r="B579" s="104"/>
      <c r="C579" s="104"/>
      <c r="D579" s="105"/>
      <c r="E579" s="106"/>
      <c r="F579" s="107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6"/>
    </row>
    <row r="580" ht="15.75" customHeight="1">
      <c r="A580" s="109"/>
      <c r="B580" s="104"/>
      <c r="C580" s="104"/>
      <c r="D580" s="105"/>
      <c r="E580" s="106"/>
      <c r="F580" s="107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6"/>
    </row>
    <row r="581" ht="15.75" customHeight="1">
      <c r="A581" s="109"/>
      <c r="B581" s="104"/>
      <c r="C581" s="104"/>
      <c r="D581" s="105"/>
      <c r="E581" s="106"/>
      <c r="F581" s="107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6"/>
    </row>
    <row r="582" ht="15.75" customHeight="1">
      <c r="A582" s="109"/>
      <c r="B582" s="104"/>
      <c r="C582" s="104"/>
      <c r="D582" s="105"/>
      <c r="E582" s="106"/>
      <c r="F582" s="107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6"/>
    </row>
    <row r="583" ht="15.75" customHeight="1">
      <c r="A583" s="109"/>
      <c r="B583" s="104"/>
      <c r="C583" s="104"/>
      <c r="D583" s="105"/>
      <c r="E583" s="106"/>
      <c r="F583" s="107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6"/>
    </row>
    <row r="584" ht="15.75" customHeight="1">
      <c r="A584" s="109"/>
      <c r="B584" s="104"/>
      <c r="C584" s="104"/>
      <c r="D584" s="105"/>
      <c r="E584" s="106"/>
      <c r="F584" s="107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6"/>
    </row>
    <row r="585" ht="15.75" customHeight="1">
      <c r="A585" s="109"/>
      <c r="B585" s="104"/>
      <c r="C585" s="104"/>
      <c r="D585" s="105"/>
      <c r="E585" s="106"/>
      <c r="F585" s="107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6"/>
    </row>
    <row r="586" ht="15.75" customHeight="1">
      <c r="A586" s="109"/>
      <c r="B586" s="104"/>
      <c r="C586" s="104"/>
      <c r="D586" s="105"/>
      <c r="E586" s="106"/>
      <c r="F586" s="107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6"/>
    </row>
    <row r="587" ht="15.75" customHeight="1">
      <c r="A587" s="109"/>
      <c r="B587" s="104"/>
      <c r="C587" s="104"/>
      <c r="D587" s="105"/>
      <c r="E587" s="106"/>
      <c r="F587" s="107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6"/>
    </row>
    <row r="588" ht="15.75" customHeight="1">
      <c r="A588" s="109"/>
      <c r="B588" s="104"/>
      <c r="C588" s="104"/>
      <c r="D588" s="105"/>
      <c r="E588" s="106"/>
      <c r="F588" s="107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6"/>
    </row>
    <row r="589" ht="15.75" customHeight="1">
      <c r="A589" s="109"/>
      <c r="B589" s="104"/>
      <c r="C589" s="104"/>
      <c r="D589" s="105"/>
      <c r="E589" s="106"/>
      <c r="F589" s="107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6"/>
    </row>
    <row r="590" ht="15.75" customHeight="1">
      <c r="A590" s="109"/>
      <c r="B590" s="104"/>
      <c r="C590" s="104"/>
      <c r="D590" s="105"/>
      <c r="E590" s="106"/>
      <c r="F590" s="107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6"/>
    </row>
    <row r="591" ht="15.75" customHeight="1">
      <c r="A591" s="109"/>
      <c r="B591" s="104"/>
      <c r="C591" s="104"/>
      <c r="D591" s="105"/>
      <c r="E591" s="106"/>
      <c r="F591" s="107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6"/>
    </row>
    <row r="592" ht="15.75" customHeight="1">
      <c r="A592" s="109"/>
      <c r="B592" s="104"/>
      <c r="C592" s="104"/>
      <c r="D592" s="105"/>
      <c r="E592" s="106"/>
      <c r="F592" s="107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6"/>
    </row>
    <row r="593" ht="15.75" customHeight="1">
      <c r="A593" s="109"/>
      <c r="B593" s="104"/>
      <c r="C593" s="104"/>
      <c r="D593" s="105"/>
      <c r="E593" s="106"/>
      <c r="F593" s="107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6"/>
    </row>
    <row r="594" ht="15.75" customHeight="1">
      <c r="A594" s="109"/>
      <c r="B594" s="104"/>
      <c r="C594" s="104"/>
      <c r="D594" s="105"/>
      <c r="E594" s="106"/>
      <c r="F594" s="107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6"/>
    </row>
    <row r="595" ht="15.75" customHeight="1">
      <c r="A595" s="109"/>
      <c r="B595" s="104"/>
      <c r="C595" s="104"/>
      <c r="D595" s="105"/>
      <c r="E595" s="106"/>
      <c r="F595" s="107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6"/>
    </row>
    <row r="596" ht="15.75" customHeight="1">
      <c r="A596" s="109"/>
      <c r="B596" s="104"/>
      <c r="C596" s="104"/>
      <c r="D596" s="105"/>
      <c r="E596" s="106"/>
      <c r="F596" s="107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6"/>
    </row>
    <row r="597" ht="15.75" customHeight="1">
      <c r="A597" s="109"/>
      <c r="B597" s="104"/>
      <c r="C597" s="104"/>
      <c r="D597" s="105"/>
      <c r="E597" s="106"/>
      <c r="F597" s="107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6"/>
    </row>
    <row r="598" ht="15.75" customHeight="1">
      <c r="A598" s="109"/>
      <c r="B598" s="104"/>
      <c r="C598" s="104"/>
      <c r="D598" s="105"/>
      <c r="E598" s="106"/>
      <c r="F598" s="107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6"/>
    </row>
    <row r="599" ht="15.75" customHeight="1">
      <c r="A599" s="109"/>
      <c r="B599" s="104"/>
      <c r="C599" s="104"/>
      <c r="D599" s="105"/>
      <c r="E599" s="106"/>
      <c r="F599" s="107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6"/>
    </row>
    <row r="600" ht="15.75" customHeight="1">
      <c r="A600" s="109"/>
      <c r="B600" s="104"/>
      <c r="C600" s="104"/>
      <c r="D600" s="105"/>
      <c r="E600" s="106"/>
      <c r="F600" s="107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6"/>
    </row>
    <row r="601" ht="15.75" customHeight="1">
      <c r="A601" s="109"/>
      <c r="B601" s="104"/>
      <c r="C601" s="104"/>
      <c r="D601" s="105"/>
      <c r="E601" s="106"/>
      <c r="F601" s="107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6"/>
    </row>
    <row r="602" ht="15.75" customHeight="1">
      <c r="A602" s="109"/>
      <c r="B602" s="104"/>
      <c r="C602" s="104"/>
      <c r="D602" s="105"/>
      <c r="E602" s="106"/>
      <c r="F602" s="107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6"/>
    </row>
    <row r="603" ht="15.75" customHeight="1">
      <c r="A603" s="109"/>
      <c r="B603" s="104"/>
      <c r="C603" s="104"/>
      <c r="D603" s="105"/>
      <c r="E603" s="106"/>
      <c r="F603" s="107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6"/>
    </row>
    <row r="604" ht="15.75" customHeight="1">
      <c r="A604" s="109"/>
      <c r="B604" s="104"/>
      <c r="C604" s="104"/>
      <c r="D604" s="105"/>
      <c r="E604" s="106"/>
      <c r="F604" s="107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6"/>
    </row>
    <row r="605" ht="15.75" customHeight="1">
      <c r="A605" s="109"/>
      <c r="B605" s="104"/>
      <c r="C605" s="104"/>
      <c r="D605" s="105"/>
      <c r="E605" s="106"/>
      <c r="F605" s="107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6"/>
    </row>
    <row r="606" ht="15.75" customHeight="1">
      <c r="A606" s="109"/>
      <c r="B606" s="104"/>
      <c r="C606" s="104"/>
      <c r="D606" s="105"/>
      <c r="E606" s="106"/>
      <c r="F606" s="107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6"/>
    </row>
    <row r="607" ht="15.75" customHeight="1">
      <c r="A607" s="109"/>
      <c r="B607" s="104"/>
      <c r="C607" s="104"/>
      <c r="D607" s="105"/>
      <c r="E607" s="106"/>
      <c r="F607" s="107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6"/>
    </row>
    <row r="608" ht="15.75" customHeight="1">
      <c r="A608" s="109"/>
      <c r="B608" s="104"/>
      <c r="C608" s="104"/>
      <c r="D608" s="105"/>
      <c r="E608" s="106"/>
      <c r="F608" s="107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6"/>
    </row>
    <row r="609" ht="15.75" customHeight="1">
      <c r="A609" s="109"/>
      <c r="B609" s="104"/>
      <c r="C609" s="104"/>
      <c r="D609" s="105"/>
      <c r="E609" s="106"/>
      <c r="F609" s="107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6"/>
    </row>
    <row r="610" ht="15.75" customHeight="1">
      <c r="A610" s="109"/>
      <c r="B610" s="104"/>
      <c r="C610" s="104"/>
      <c r="D610" s="105"/>
      <c r="E610" s="106"/>
      <c r="F610" s="107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6"/>
    </row>
    <row r="611" ht="15.75" customHeight="1">
      <c r="A611" s="109"/>
      <c r="B611" s="104"/>
      <c r="C611" s="104"/>
      <c r="D611" s="105"/>
      <c r="E611" s="106"/>
      <c r="F611" s="107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6"/>
    </row>
    <row r="612" ht="15.75" customHeight="1">
      <c r="A612" s="109"/>
      <c r="B612" s="104"/>
      <c r="C612" s="104"/>
      <c r="D612" s="105"/>
      <c r="E612" s="106"/>
      <c r="F612" s="107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6"/>
    </row>
    <row r="613" ht="15.75" customHeight="1">
      <c r="A613" s="109"/>
      <c r="B613" s="104"/>
      <c r="C613" s="104"/>
      <c r="D613" s="105"/>
      <c r="E613" s="106"/>
      <c r="F613" s="107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6"/>
    </row>
    <row r="614" ht="15.75" customHeight="1">
      <c r="A614" s="109"/>
      <c r="B614" s="104"/>
      <c r="C614" s="104"/>
      <c r="D614" s="105"/>
      <c r="E614" s="106"/>
      <c r="F614" s="107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6"/>
    </row>
    <row r="615" ht="15.75" customHeight="1">
      <c r="A615" s="109"/>
      <c r="B615" s="104"/>
      <c r="C615" s="104"/>
      <c r="D615" s="105"/>
      <c r="E615" s="106"/>
      <c r="F615" s="107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6"/>
    </row>
    <row r="616" ht="15.75" customHeight="1">
      <c r="A616" s="109"/>
      <c r="B616" s="104"/>
      <c r="C616" s="104"/>
      <c r="D616" s="105"/>
      <c r="E616" s="106"/>
      <c r="F616" s="107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6"/>
    </row>
    <row r="617" ht="15.75" customHeight="1">
      <c r="A617" s="109"/>
      <c r="B617" s="104"/>
      <c r="C617" s="104"/>
      <c r="D617" s="105"/>
      <c r="E617" s="106"/>
      <c r="F617" s="107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6"/>
    </row>
    <row r="618" ht="15.75" customHeight="1">
      <c r="A618" s="109"/>
      <c r="B618" s="104"/>
      <c r="C618" s="104"/>
      <c r="D618" s="105"/>
      <c r="E618" s="106"/>
      <c r="F618" s="107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6"/>
    </row>
    <row r="619" ht="15.75" customHeight="1">
      <c r="A619" s="109"/>
      <c r="B619" s="104"/>
      <c r="C619" s="104"/>
      <c r="D619" s="105"/>
      <c r="E619" s="106"/>
      <c r="F619" s="107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6"/>
    </row>
    <row r="620" ht="15.75" customHeight="1">
      <c r="A620" s="109"/>
      <c r="B620" s="104"/>
      <c r="C620" s="104"/>
      <c r="D620" s="105"/>
      <c r="E620" s="106"/>
      <c r="F620" s="107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6"/>
    </row>
    <row r="621" ht="15.75" customHeight="1">
      <c r="A621" s="109"/>
      <c r="B621" s="104"/>
      <c r="C621" s="104"/>
      <c r="D621" s="105"/>
      <c r="E621" s="106"/>
      <c r="F621" s="107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6"/>
    </row>
    <row r="622" ht="15.75" customHeight="1">
      <c r="A622" s="109"/>
      <c r="B622" s="104"/>
      <c r="C622" s="104"/>
      <c r="D622" s="105"/>
      <c r="E622" s="106"/>
      <c r="F622" s="107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6"/>
    </row>
    <row r="623" ht="15.75" customHeight="1">
      <c r="A623" s="109"/>
      <c r="B623" s="104"/>
      <c r="C623" s="104"/>
      <c r="D623" s="105"/>
      <c r="E623" s="106"/>
      <c r="F623" s="107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6"/>
    </row>
    <row r="624" ht="15.75" customHeight="1">
      <c r="A624" s="109"/>
      <c r="B624" s="104"/>
      <c r="C624" s="104"/>
      <c r="D624" s="105"/>
      <c r="E624" s="106"/>
      <c r="F624" s="107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6"/>
    </row>
    <row r="625" ht="15.75" customHeight="1">
      <c r="A625" s="109"/>
      <c r="B625" s="104"/>
      <c r="C625" s="104"/>
      <c r="D625" s="105"/>
      <c r="E625" s="106"/>
      <c r="F625" s="107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6"/>
    </row>
    <row r="626" ht="15.75" customHeight="1">
      <c r="A626" s="109"/>
      <c r="B626" s="104"/>
      <c r="C626" s="104"/>
      <c r="D626" s="105"/>
      <c r="E626" s="106"/>
      <c r="F626" s="107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6"/>
    </row>
    <row r="627" ht="15.75" customHeight="1">
      <c r="A627" s="109"/>
      <c r="B627" s="104"/>
      <c r="C627" s="104"/>
      <c r="D627" s="105"/>
      <c r="E627" s="106"/>
      <c r="F627" s="107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6"/>
    </row>
    <row r="628" ht="15.75" customHeight="1">
      <c r="A628" s="109"/>
      <c r="B628" s="104"/>
      <c r="C628" s="104"/>
      <c r="D628" s="105"/>
      <c r="E628" s="106"/>
      <c r="F628" s="107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6"/>
    </row>
    <row r="629" ht="15.75" customHeight="1">
      <c r="A629" s="109"/>
      <c r="B629" s="104"/>
      <c r="C629" s="104"/>
      <c r="D629" s="105"/>
      <c r="E629" s="106"/>
      <c r="F629" s="107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6"/>
    </row>
    <row r="630" ht="15.75" customHeight="1">
      <c r="A630" s="109"/>
      <c r="B630" s="104"/>
      <c r="C630" s="104"/>
      <c r="D630" s="105"/>
      <c r="E630" s="106"/>
      <c r="F630" s="107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6"/>
    </row>
    <row r="631" ht="15.75" customHeight="1">
      <c r="A631" s="109"/>
      <c r="B631" s="104"/>
      <c r="C631" s="104"/>
      <c r="D631" s="105"/>
      <c r="E631" s="106"/>
      <c r="F631" s="107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6"/>
    </row>
    <row r="632" ht="15.75" customHeight="1">
      <c r="A632" s="109"/>
      <c r="B632" s="104"/>
      <c r="C632" s="104"/>
      <c r="D632" s="105"/>
      <c r="E632" s="106"/>
      <c r="F632" s="107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6"/>
    </row>
    <row r="633" ht="15.75" customHeight="1">
      <c r="A633" s="109"/>
      <c r="B633" s="104"/>
      <c r="C633" s="104"/>
      <c r="D633" s="105"/>
      <c r="E633" s="106"/>
      <c r="F633" s="107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6"/>
    </row>
    <row r="634" ht="15.75" customHeight="1">
      <c r="A634" s="109"/>
      <c r="B634" s="104"/>
      <c r="C634" s="104"/>
      <c r="D634" s="105"/>
      <c r="E634" s="106"/>
      <c r="F634" s="107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6"/>
    </row>
    <row r="635" ht="15.75" customHeight="1">
      <c r="A635" s="109"/>
      <c r="B635" s="104"/>
      <c r="C635" s="104"/>
      <c r="D635" s="105"/>
      <c r="E635" s="106"/>
      <c r="F635" s="107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6"/>
    </row>
    <row r="636" ht="15.75" customHeight="1">
      <c r="A636" s="109"/>
      <c r="B636" s="104"/>
      <c r="C636" s="104"/>
      <c r="D636" s="105"/>
      <c r="E636" s="106"/>
      <c r="F636" s="107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6"/>
    </row>
    <row r="637" ht="15.75" customHeight="1">
      <c r="A637" s="109"/>
      <c r="B637" s="104"/>
      <c r="C637" s="104"/>
      <c r="D637" s="105"/>
      <c r="E637" s="106"/>
      <c r="F637" s="107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6"/>
    </row>
    <row r="638" ht="15.75" customHeight="1">
      <c r="A638" s="109"/>
      <c r="B638" s="104"/>
      <c r="C638" s="104"/>
      <c r="D638" s="105"/>
      <c r="E638" s="106"/>
      <c r="F638" s="107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6"/>
    </row>
    <row r="639" ht="15.75" customHeight="1">
      <c r="A639" s="109"/>
      <c r="B639" s="104"/>
      <c r="C639" s="104"/>
      <c r="D639" s="105"/>
      <c r="E639" s="106"/>
      <c r="F639" s="107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6"/>
    </row>
    <row r="640" ht="15.75" customHeight="1">
      <c r="A640" s="109"/>
      <c r="B640" s="104"/>
      <c r="C640" s="104"/>
      <c r="D640" s="105"/>
      <c r="E640" s="106"/>
      <c r="F640" s="107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6"/>
    </row>
    <row r="641" ht="15.75" customHeight="1">
      <c r="A641" s="109"/>
      <c r="B641" s="104"/>
      <c r="C641" s="104"/>
      <c r="D641" s="105"/>
      <c r="E641" s="106"/>
      <c r="F641" s="107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6"/>
    </row>
    <row r="642" ht="15.75" customHeight="1">
      <c r="A642" s="109"/>
      <c r="B642" s="104"/>
      <c r="C642" s="104"/>
      <c r="D642" s="105"/>
      <c r="E642" s="106"/>
      <c r="F642" s="107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6"/>
    </row>
    <row r="643" ht="15.75" customHeight="1">
      <c r="A643" s="109"/>
      <c r="B643" s="104"/>
      <c r="C643" s="104"/>
      <c r="D643" s="105"/>
      <c r="E643" s="106"/>
      <c r="F643" s="107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6"/>
    </row>
    <row r="644" ht="15.75" customHeight="1">
      <c r="A644" s="109"/>
      <c r="B644" s="104"/>
      <c r="C644" s="104"/>
      <c r="D644" s="105"/>
      <c r="E644" s="106"/>
      <c r="F644" s="107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6"/>
    </row>
    <row r="645" ht="15.75" customHeight="1">
      <c r="A645" s="109"/>
      <c r="B645" s="104"/>
      <c r="C645" s="104"/>
      <c r="D645" s="105"/>
      <c r="E645" s="106"/>
      <c r="F645" s="107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6"/>
    </row>
    <row r="646" ht="15.75" customHeight="1">
      <c r="A646" s="109"/>
      <c r="B646" s="104"/>
      <c r="C646" s="104"/>
      <c r="D646" s="105"/>
      <c r="E646" s="106"/>
      <c r="F646" s="107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6"/>
    </row>
    <row r="647" ht="15.75" customHeight="1">
      <c r="A647" s="109"/>
      <c r="B647" s="104"/>
      <c r="C647" s="104"/>
      <c r="D647" s="105"/>
      <c r="E647" s="106"/>
      <c r="F647" s="107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6"/>
    </row>
    <row r="648" ht="15.75" customHeight="1">
      <c r="A648" s="109"/>
      <c r="B648" s="104"/>
      <c r="C648" s="104"/>
      <c r="D648" s="105"/>
      <c r="E648" s="106"/>
      <c r="F648" s="107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6"/>
    </row>
    <row r="649" ht="15.75" customHeight="1">
      <c r="A649" s="109"/>
      <c r="B649" s="104"/>
      <c r="C649" s="104"/>
      <c r="D649" s="105"/>
      <c r="E649" s="106"/>
      <c r="F649" s="107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6"/>
    </row>
    <row r="650" ht="15.75" customHeight="1">
      <c r="A650" s="109"/>
      <c r="B650" s="104"/>
      <c r="C650" s="104"/>
      <c r="D650" s="105"/>
      <c r="E650" s="106"/>
      <c r="F650" s="107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6"/>
    </row>
    <row r="651" ht="15.75" customHeight="1">
      <c r="A651" s="109"/>
      <c r="B651" s="104"/>
      <c r="C651" s="104"/>
      <c r="D651" s="105"/>
      <c r="E651" s="106"/>
      <c r="F651" s="107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6"/>
    </row>
    <row r="652" ht="15.75" customHeight="1">
      <c r="A652" s="109"/>
      <c r="B652" s="104"/>
      <c r="C652" s="104"/>
      <c r="D652" s="105"/>
      <c r="E652" s="106"/>
      <c r="F652" s="107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6"/>
    </row>
    <row r="653" ht="15.75" customHeight="1">
      <c r="A653" s="109"/>
      <c r="B653" s="104"/>
      <c r="C653" s="104"/>
      <c r="D653" s="105"/>
      <c r="E653" s="106"/>
      <c r="F653" s="107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6"/>
    </row>
    <row r="654" ht="15.75" customHeight="1">
      <c r="A654" s="109"/>
      <c r="B654" s="104"/>
      <c r="C654" s="104"/>
      <c r="D654" s="105"/>
      <c r="E654" s="106"/>
      <c r="F654" s="107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6"/>
    </row>
    <row r="655" ht="15.75" customHeight="1">
      <c r="A655" s="109"/>
      <c r="B655" s="104"/>
      <c r="C655" s="104"/>
      <c r="D655" s="105"/>
      <c r="E655" s="106"/>
      <c r="F655" s="107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6"/>
    </row>
    <row r="656" ht="15.75" customHeight="1">
      <c r="A656" s="109"/>
      <c r="B656" s="104"/>
      <c r="C656" s="104"/>
      <c r="D656" s="105"/>
      <c r="E656" s="106"/>
      <c r="F656" s="107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6"/>
    </row>
    <row r="657" ht="15.75" customHeight="1">
      <c r="A657" s="109"/>
      <c r="B657" s="104"/>
      <c r="C657" s="104"/>
      <c r="D657" s="105"/>
      <c r="E657" s="106"/>
      <c r="F657" s="107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6"/>
    </row>
    <row r="658" ht="15.75" customHeight="1">
      <c r="A658" s="109"/>
      <c r="B658" s="104"/>
      <c r="C658" s="104"/>
      <c r="D658" s="105"/>
      <c r="E658" s="106"/>
      <c r="F658" s="107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6"/>
    </row>
    <row r="659" ht="15.75" customHeight="1">
      <c r="A659" s="109"/>
      <c r="B659" s="104"/>
      <c r="C659" s="104"/>
      <c r="D659" s="105"/>
      <c r="E659" s="106"/>
      <c r="F659" s="107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6"/>
    </row>
    <row r="660" ht="15.75" customHeight="1">
      <c r="A660" s="109"/>
      <c r="B660" s="104"/>
      <c r="C660" s="104"/>
      <c r="D660" s="105"/>
      <c r="E660" s="106"/>
      <c r="F660" s="107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6"/>
    </row>
    <row r="661" ht="15.75" customHeight="1">
      <c r="A661" s="109"/>
      <c r="B661" s="104"/>
      <c r="C661" s="104"/>
      <c r="D661" s="105"/>
      <c r="E661" s="106"/>
      <c r="F661" s="107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6"/>
    </row>
    <row r="662" ht="15.75" customHeight="1">
      <c r="A662" s="109"/>
      <c r="B662" s="104"/>
      <c r="C662" s="104"/>
      <c r="D662" s="105"/>
      <c r="E662" s="106"/>
      <c r="F662" s="107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6"/>
    </row>
    <row r="663" ht="15.75" customHeight="1">
      <c r="A663" s="109"/>
      <c r="B663" s="104"/>
      <c r="C663" s="104"/>
      <c r="D663" s="105"/>
      <c r="E663" s="106"/>
      <c r="F663" s="107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6"/>
    </row>
    <row r="664" ht="15.75" customHeight="1">
      <c r="A664" s="109"/>
      <c r="B664" s="104"/>
      <c r="C664" s="104"/>
      <c r="D664" s="105"/>
      <c r="E664" s="106"/>
      <c r="F664" s="107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6"/>
    </row>
    <row r="665" ht="15.75" customHeight="1">
      <c r="A665" s="109"/>
      <c r="B665" s="104"/>
      <c r="C665" s="104"/>
      <c r="D665" s="105"/>
      <c r="E665" s="106"/>
      <c r="F665" s="107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6"/>
    </row>
    <row r="666" ht="15.75" customHeight="1">
      <c r="A666" s="109"/>
      <c r="B666" s="104"/>
      <c r="C666" s="104"/>
      <c r="D666" s="105"/>
      <c r="E666" s="106"/>
      <c r="F666" s="107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6"/>
    </row>
    <row r="667" ht="15.75" customHeight="1">
      <c r="A667" s="109"/>
      <c r="B667" s="104"/>
      <c r="C667" s="104"/>
      <c r="D667" s="105"/>
      <c r="E667" s="106"/>
      <c r="F667" s="107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6"/>
    </row>
    <row r="668" ht="15.75" customHeight="1">
      <c r="A668" s="109"/>
      <c r="B668" s="104"/>
      <c r="C668" s="104"/>
      <c r="D668" s="105"/>
      <c r="E668" s="106"/>
      <c r="F668" s="107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6"/>
    </row>
    <row r="669" ht="15.75" customHeight="1">
      <c r="A669" s="109"/>
      <c r="B669" s="104"/>
      <c r="C669" s="104"/>
      <c r="D669" s="105"/>
      <c r="E669" s="106"/>
      <c r="F669" s="107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6"/>
    </row>
    <row r="670" ht="15.75" customHeight="1">
      <c r="A670" s="109"/>
      <c r="B670" s="104"/>
      <c r="C670" s="104"/>
      <c r="D670" s="105"/>
      <c r="E670" s="106"/>
      <c r="F670" s="107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6"/>
    </row>
    <row r="671" ht="15.75" customHeight="1">
      <c r="A671" s="109"/>
      <c r="B671" s="104"/>
      <c r="C671" s="104"/>
      <c r="D671" s="105"/>
      <c r="E671" s="106"/>
      <c r="F671" s="107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6"/>
    </row>
    <row r="672" ht="15.75" customHeight="1">
      <c r="A672" s="109"/>
      <c r="B672" s="104"/>
      <c r="C672" s="104"/>
      <c r="D672" s="105"/>
      <c r="E672" s="106"/>
      <c r="F672" s="107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6"/>
    </row>
    <row r="673" ht="15.75" customHeight="1">
      <c r="A673" s="109"/>
      <c r="B673" s="104"/>
      <c r="C673" s="104"/>
      <c r="D673" s="105"/>
      <c r="E673" s="106"/>
      <c r="F673" s="107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6"/>
    </row>
    <row r="674" ht="15.75" customHeight="1">
      <c r="A674" s="109"/>
      <c r="B674" s="104"/>
      <c r="C674" s="104"/>
      <c r="D674" s="105"/>
      <c r="E674" s="106"/>
      <c r="F674" s="107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6"/>
    </row>
    <row r="675" ht="15.75" customHeight="1">
      <c r="A675" s="109"/>
      <c r="B675" s="104"/>
      <c r="C675" s="104"/>
      <c r="D675" s="105"/>
      <c r="E675" s="106"/>
      <c r="F675" s="107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6"/>
    </row>
    <row r="676" ht="15.75" customHeight="1">
      <c r="A676" s="109"/>
      <c r="B676" s="104"/>
      <c r="C676" s="104"/>
      <c r="D676" s="105"/>
      <c r="E676" s="106"/>
      <c r="F676" s="107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6"/>
    </row>
    <row r="677" ht="15.75" customHeight="1">
      <c r="A677" s="109"/>
      <c r="B677" s="104"/>
      <c r="C677" s="104"/>
      <c r="D677" s="105"/>
      <c r="E677" s="106"/>
      <c r="F677" s="107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6"/>
    </row>
    <row r="678" ht="15.75" customHeight="1">
      <c r="A678" s="109"/>
      <c r="B678" s="104"/>
      <c r="C678" s="104"/>
      <c r="D678" s="105"/>
      <c r="E678" s="106"/>
      <c r="F678" s="107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6"/>
    </row>
    <row r="679" ht="15.75" customHeight="1">
      <c r="A679" s="109"/>
      <c r="B679" s="104"/>
      <c r="C679" s="104"/>
      <c r="D679" s="105"/>
      <c r="E679" s="106"/>
      <c r="F679" s="107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6"/>
    </row>
    <row r="680" ht="15.75" customHeight="1">
      <c r="A680" s="109"/>
      <c r="B680" s="104"/>
      <c r="C680" s="104"/>
      <c r="D680" s="105"/>
      <c r="E680" s="106"/>
      <c r="F680" s="107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6"/>
    </row>
    <row r="681" ht="15.75" customHeight="1">
      <c r="A681" s="109"/>
      <c r="B681" s="104"/>
      <c r="C681" s="104"/>
      <c r="D681" s="105"/>
      <c r="E681" s="106"/>
      <c r="F681" s="107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6"/>
    </row>
    <row r="682" ht="15.75" customHeight="1">
      <c r="A682" s="109"/>
      <c r="B682" s="104"/>
      <c r="C682" s="104"/>
      <c r="D682" s="105"/>
      <c r="E682" s="106"/>
      <c r="F682" s="107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6"/>
    </row>
    <row r="683" ht="15.75" customHeight="1">
      <c r="A683" s="109"/>
      <c r="B683" s="104"/>
      <c r="C683" s="104"/>
      <c r="D683" s="105"/>
      <c r="E683" s="106"/>
      <c r="F683" s="107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6"/>
    </row>
    <row r="684" ht="15.75" customHeight="1">
      <c r="A684" s="109"/>
      <c r="B684" s="104"/>
      <c r="C684" s="104"/>
      <c r="D684" s="105"/>
      <c r="E684" s="106"/>
      <c r="F684" s="107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6"/>
    </row>
    <row r="685" ht="15.75" customHeight="1">
      <c r="A685" s="109"/>
      <c r="B685" s="104"/>
      <c r="C685" s="104"/>
      <c r="D685" s="105"/>
      <c r="E685" s="106"/>
      <c r="F685" s="107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6"/>
    </row>
    <row r="686" ht="15.75" customHeight="1">
      <c r="A686" s="109"/>
      <c r="B686" s="104"/>
      <c r="C686" s="104"/>
      <c r="D686" s="105"/>
      <c r="E686" s="106"/>
      <c r="F686" s="107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6"/>
    </row>
    <row r="687" ht="15.75" customHeight="1">
      <c r="A687" s="109"/>
      <c r="B687" s="104"/>
      <c r="C687" s="104"/>
      <c r="D687" s="105"/>
      <c r="E687" s="106"/>
      <c r="F687" s="107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6"/>
    </row>
    <row r="688" ht="15.75" customHeight="1">
      <c r="A688" s="109"/>
      <c r="B688" s="104"/>
      <c r="C688" s="104"/>
      <c r="D688" s="105"/>
      <c r="E688" s="106"/>
      <c r="F688" s="107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6"/>
    </row>
    <row r="689" ht="15.75" customHeight="1">
      <c r="A689" s="109"/>
      <c r="B689" s="104"/>
      <c r="C689" s="104"/>
      <c r="D689" s="105"/>
      <c r="E689" s="106"/>
      <c r="F689" s="107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6"/>
    </row>
    <row r="690" ht="15.75" customHeight="1">
      <c r="A690" s="109"/>
      <c r="B690" s="104"/>
      <c r="C690" s="104"/>
      <c r="D690" s="105"/>
      <c r="E690" s="106"/>
      <c r="F690" s="107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6"/>
    </row>
    <row r="691" ht="15.75" customHeight="1">
      <c r="A691" s="109"/>
      <c r="B691" s="104"/>
      <c r="C691" s="104"/>
      <c r="D691" s="105"/>
      <c r="E691" s="106"/>
      <c r="F691" s="107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6"/>
    </row>
    <row r="692" ht="15.75" customHeight="1">
      <c r="A692" s="109"/>
      <c r="B692" s="104"/>
      <c r="C692" s="104"/>
      <c r="D692" s="105"/>
      <c r="E692" s="106"/>
      <c r="F692" s="107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6"/>
    </row>
    <row r="693" ht="15.75" customHeight="1">
      <c r="A693" s="109"/>
      <c r="B693" s="104"/>
      <c r="C693" s="104"/>
      <c r="D693" s="105"/>
      <c r="E693" s="106"/>
      <c r="F693" s="107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6"/>
    </row>
    <row r="694" ht="15.75" customHeight="1">
      <c r="A694" s="109"/>
      <c r="B694" s="104"/>
      <c r="C694" s="104"/>
      <c r="D694" s="105"/>
      <c r="E694" s="106"/>
      <c r="F694" s="107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6"/>
    </row>
    <row r="695" ht="15.75" customHeight="1">
      <c r="A695" s="109"/>
      <c r="B695" s="104"/>
      <c r="C695" s="104"/>
      <c r="D695" s="105"/>
      <c r="E695" s="106"/>
      <c r="F695" s="107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6"/>
    </row>
    <row r="696" ht="15.75" customHeight="1">
      <c r="A696" s="109"/>
      <c r="B696" s="104"/>
      <c r="C696" s="104"/>
      <c r="D696" s="105"/>
      <c r="E696" s="106"/>
      <c r="F696" s="107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6"/>
    </row>
    <row r="697" ht="15.75" customHeight="1">
      <c r="A697" s="109"/>
      <c r="B697" s="104"/>
      <c r="C697" s="104"/>
      <c r="D697" s="105"/>
      <c r="E697" s="106"/>
      <c r="F697" s="107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6"/>
    </row>
    <row r="698" ht="15.75" customHeight="1">
      <c r="A698" s="109"/>
      <c r="B698" s="104"/>
      <c r="C698" s="104"/>
      <c r="D698" s="105"/>
      <c r="E698" s="106"/>
      <c r="F698" s="107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6"/>
    </row>
    <row r="699" ht="15.75" customHeight="1">
      <c r="A699" s="109"/>
      <c r="B699" s="104"/>
      <c r="C699" s="104"/>
      <c r="D699" s="105"/>
      <c r="E699" s="106"/>
      <c r="F699" s="107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6"/>
    </row>
    <row r="700" ht="15.75" customHeight="1">
      <c r="A700" s="109"/>
      <c r="B700" s="104"/>
      <c r="C700" s="104"/>
      <c r="D700" s="105"/>
      <c r="E700" s="106"/>
      <c r="F700" s="107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6"/>
    </row>
    <row r="701" ht="15.75" customHeight="1">
      <c r="A701" s="109"/>
      <c r="B701" s="104"/>
      <c r="C701" s="104"/>
      <c r="D701" s="105"/>
      <c r="E701" s="106"/>
      <c r="F701" s="107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6"/>
    </row>
    <row r="702" ht="15.75" customHeight="1">
      <c r="A702" s="109"/>
      <c r="B702" s="104"/>
      <c r="C702" s="104"/>
      <c r="D702" s="105"/>
      <c r="E702" s="106"/>
      <c r="F702" s="107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6"/>
    </row>
    <row r="703" ht="15.75" customHeight="1">
      <c r="A703" s="109"/>
      <c r="B703" s="104"/>
      <c r="C703" s="104"/>
      <c r="D703" s="105"/>
      <c r="E703" s="106"/>
      <c r="F703" s="107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6"/>
    </row>
    <row r="704" ht="15.75" customHeight="1">
      <c r="A704" s="109"/>
      <c r="B704" s="104"/>
      <c r="C704" s="104"/>
      <c r="D704" s="105"/>
      <c r="E704" s="106"/>
      <c r="F704" s="107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6"/>
    </row>
    <row r="705" ht="15.75" customHeight="1">
      <c r="A705" s="109"/>
      <c r="B705" s="104"/>
      <c r="C705" s="104"/>
      <c r="D705" s="105"/>
      <c r="E705" s="106"/>
      <c r="F705" s="107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6"/>
    </row>
    <row r="706" ht="15.75" customHeight="1">
      <c r="A706" s="109"/>
      <c r="B706" s="104"/>
      <c r="C706" s="104"/>
      <c r="D706" s="105"/>
      <c r="E706" s="106"/>
      <c r="F706" s="107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6"/>
    </row>
    <row r="707" ht="15.75" customHeight="1">
      <c r="A707" s="109"/>
      <c r="B707" s="104"/>
      <c r="C707" s="104"/>
      <c r="D707" s="105"/>
      <c r="E707" s="106"/>
      <c r="F707" s="107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6"/>
    </row>
    <row r="708" ht="15.75" customHeight="1">
      <c r="A708" s="109"/>
      <c r="B708" s="104"/>
      <c r="C708" s="104"/>
      <c r="D708" s="105"/>
      <c r="E708" s="106"/>
      <c r="F708" s="107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6"/>
    </row>
    <row r="709" ht="15.75" customHeight="1">
      <c r="A709" s="109"/>
      <c r="B709" s="104"/>
      <c r="C709" s="104"/>
      <c r="D709" s="105"/>
      <c r="E709" s="106"/>
      <c r="F709" s="107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6"/>
    </row>
    <row r="710" ht="15.75" customHeight="1">
      <c r="A710" s="109"/>
      <c r="B710" s="104"/>
      <c r="C710" s="104"/>
      <c r="D710" s="105"/>
      <c r="E710" s="106"/>
      <c r="F710" s="107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6"/>
    </row>
    <row r="711" ht="15.75" customHeight="1">
      <c r="A711" s="109"/>
      <c r="B711" s="104"/>
      <c r="C711" s="104"/>
      <c r="D711" s="105"/>
      <c r="E711" s="106"/>
      <c r="F711" s="107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6"/>
    </row>
    <row r="712" ht="15.75" customHeight="1">
      <c r="A712" s="109"/>
      <c r="B712" s="104"/>
      <c r="C712" s="104"/>
      <c r="D712" s="105"/>
      <c r="E712" s="106"/>
      <c r="F712" s="107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6"/>
    </row>
    <row r="713" ht="15.75" customHeight="1">
      <c r="A713" s="109"/>
      <c r="B713" s="104"/>
      <c r="C713" s="104"/>
      <c r="D713" s="105"/>
      <c r="E713" s="106"/>
      <c r="F713" s="107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6"/>
    </row>
    <row r="714" ht="15.75" customHeight="1">
      <c r="A714" s="109"/>
      <c r="B714" s="104"/>
      <c r="C714" s="104"/>
      <c r="D714" s="105"/>
      <c r="E714" s="106"/>
      <c r="F714" s="107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6"/>
    </row>
    <row r="715" ht="15.75" customHeight="1">
      <c r="A715" s="109"/>
      <c r="B715" s="104"/>
      <c r="C715" s="104"/>
      <c r="D715" s="105"/>
      <c r="E715" s="106"/>
      <c r="F715" s="107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6"/>
    </row>
    <row r="716" ht="15.75" customHeight="1">
      <c r="A716" s="109"/>
      <c r="B716" s="104"/>
      <c r="C716" s="104"/>
      <c r="D716" s="105"/>
      <c r="E716" s="106"/>
      <c r="F716" s="107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6"/>
    </row>
    <row r="717" ht="15.75" customHeight="1">
      <c r="A717" s="109"/>
      <c r="B717" s="104"/>
      <c r="C717" s="104"/>
      <c r="D717" s="105"/>
      <c r="E717" s="106"/>
      <c r="F717" s="107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6"/>
    </row>
    <row r="718" ht="15.75" customHeight="1">
      <c r="A718" s="109"/>
      <c r="B718" s="104"/>
      <c r="C718" s="104"/>
      <c r="D718" s="105"/>
      <c r="E718" s="106"/>
      <c r="F718" s="107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6"/>
    </row>
    <row r="719" ht="15.75" customHeight="1">
      <c r="A719" s="109"/>
      <c r="B719" s="104"/>
      <c r="C719" s="104"/>
      <c r="D719" s="105"/>
      <c r="E719" s="106"/>
      <c r="F719" s="107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6"/>
    </row>
    <row r="720" ht="15.75" customHeight="1">
      <c r="A720" s="109"/>
      <c r="B720" s="104"/>
      <c r="C720" s="104"/>
      <c r="D720" s="105"/>
      <c r="E720" s="106"/>
      <c r="F720" s="107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6"/>
    </row>
    <row r="721" ht="15.75" customHeight="1">
      <c r="A721" s="109"/>
      <c r="B721" s="104"/>
      <c r="C721" s="104"/>
      <c r="D721" s="105"/>
      <c r="E721" s="106"/>
      <c r="F721" s="107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6"/>
    </row>
    <row r="722" ht="15.75" customHeight="1">
      <c r="A722" s="109"/>
      <c r="B722" s="104"/>
      <c r="C722" s="104"/>
      <c r="D722" s="105"/>
      <c r="E722" s="106"/>
      <c r="F722" s="107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6"/>
    </row>
    <row r="723" ht="15.75" customHeight="1">
      <c r="A723" s="109"/>
      <c r="B723" s="104"/>
      <c r="C723" s="104"/>
      <c r="D723" s="105"/>
      <c r="E723" s="106"/>
      <c r="F723" s="107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6"/>
    </row>
    <row r="724" ht="15.75" customHeight="1">
      <c r="A724" s="109"/>
      <c r="B724" s="104"/>
      <c r="C724" s="104"/>
      <c r="D724" s="105"/>
      <c r="E724" s="106"/>
      <c r="F724" s="107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6"/>
    </row>
    <row r="725" ht="15.75" customHeight="1">
      <c r="A725" s="109"/>
      <c r="B725" s="104"/>
      <c r="C725" s="104"/>
      <c r="D725" s="105"/>
      <c r="E725" s="106"/>
      <c r="F725" s="107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6"/>
    </row>
    <row r="726" ht="15.75" customHeight="1">
      <c r="A726" s="109"/>
      <c r="B726" s="104"/>
      <c r="C726" s="104"/>
      <c r="D726" s="105"/>
      <c r="E726" s="106"/>
      <c r="F726" s="107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6"/>
    </row>
    <row r="727" ht="15.75" customHeight="1">
      <c r="A727" s="109"/>
      <c r="B727" s="104"/>
      <c r="C727" s="104"/>
      <c r="D727" s="105"/>
      <c r="E727" s="106"/>
      <c r="F727" s="107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6"/>
    </row>
    <row r="728" ht="15.75" customHeight="1">
      <c r="A728" s="109"/>
      <c r="B728" s="104"/>
      <c r="C728" s="104"/>
      <c r="D728" s="105"/>
      <c r="E728" s="106"/>
      <c r="F728" s="107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6"/>
    </row>
    <row r="729" ht="15.75" customHeight="1">
      <c r="A729" s="109"/>
      <c r="B729" s="104"/>
      <c r="C729" s="104"/>
      <c r="D729" s="105"/>
      <c r="E729" s="106"/>
      <c r="F729" s="107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6"/>
    </row>
    <row r="730" ht="15.75" customHeight="1">
      <c r="A730" s="109"/>
      <c r="B730" s="104"/>
      <c r="C730" s="104"/>
      <c r="D730" s="105"/>
      <c r="E730" s="106"/>
      <c r="F730" s="107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6"/>
    </row>
    <row r="731" ht="15.75" customHeight="1">
      <c r="A731" s="109"/>
      <c r="B731" s="104"/>
      <c r="C731" s="104"/>
      <c r="D731" s="105"/>
      <c r="E731" s="106"/>
      <c r="F731" s="107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6"/>
    </row>
    <row r="732" ht="15.75" customHeight="1">
      <c r="A732" s="109"/>
      <c r="B732" s="104"/>
      <c r="C732" s="104"/>
      <c r="D732" s="105"/>
      <c r="E732" s="106"/>
      <c r="F732" s="107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6"/>
    </row>
    <row r="733" ht="15.75" customHeight="1">
      <c r="A733" s="109"/>
      <c r="B733" s="104"/>
      <c r="C733" s="104"/>
      <c r="D733" s="105"/>
      <c r="E733" s="106"/>
      <c r="F733" s="107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6"/>
    </row>
    <row r="734" ht="15.75" customHeight="1">
      <c r="A734" s="109"/>
      <c r="B734" s="104"/>
      <c r="C734" s="104"/>
      <c r="D734" s="105"/>
      <c r="E734" s="106"/>
      <c r="F734" s="107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6"/>
    </row>
    <row r="735" ht="15.75" customHeight="1">
      <c r="A735" s="109"/>
      <c r="B735" s="104"/>
      <c r="C735" s="104"/>
      <c r="D735" s="105"/>
      <c r="E735" s="106"/>
      <c r="F735" s="107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6"/>
    </row>
    <row r="736" ht="15.75" customHeight="1">
      <c r="A736" s="109"/>
      <c r="B736" s="104"/>
      <c r="C736" s="104"/>
      <c r="D736" s="105"/>
      <c r="E736" s="106"/>
      <c r="F736" s="107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6"/>
    </row>
    <row r="737" ht="15.75" customHeight="1">
      <c r="A737" s="109"/>
      <c r="B737" s="104"/>
      <c r="C737" s="104"/>
      <c r="D737" s="105"/>
      <c r="E737" s="106"/>
      <c r="F737" s="107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6"/>
    </row>
    <row r="738" ht="15.75" customHeight="1">
      <c r="A738" s="109"/>
      <c r="B738" s="104"/>
      <c r="C738" s="104"/>
      <c r="D738" s="105"/>
      <c r="E738" s="106"/>
      <c r="F738" s="107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6"/>
    </row>
    <row r="739" ht="15.75" customHeight="1">
      <c r="A739" s="109"/>
      <c r="B739" s="104"/>
      <c r="C739" s="104"/>
      <c r="D739" s="105"/>
      <c r="E739" s="106"/>
      <c r="F739" s="107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6"/>
    </row>
    <row r="740" ht="15.75" customHeight="1">
      <c r="A740" s="109"/>
      <c r="B740" s="104"/>
      <c r="C740" s="104"/>
      <c r="D740" s="105"/>
      <c r="E740" s="106"/>
      <c r="F740" s="107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6"/>
    </row>
    <row r="741" ht="15.75" customHeight="1">
      <c r="A741" s="109"/>
      <c r="B741" s="104"/>
      <c r="C741" s="104"/>
      <c r="D741" s="105"/>
      <c r="E741" s="106"/>
      <c r="F741" s="107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6"/>
    </row>
    <row r="742" ht="15.75" customHeight="1">
      <c r="A742" s="109"/>
      <c r="B742" s="104"/>
      <c r="C742" s="104"/>
      <c r="D742" s="105"/>
      <c r="E742" s="106"/>
      <c r="F742" s="107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6"/>
    </row>
    <row r="743" ht="15.75" customHeight="1">
      <c r="A743" s="109"/>
      <c r="B743" s="104"/>
      <c r="C743" s="104"/>
      <c r="D743" s="105"/>
      <c r="E743" s="106"/>
      <c r="F743" s="107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6"/>
    </row>
    <row r="744" ht="15.75" customHeight="1">
      <c r="A744" s="109"/>
      <c r="B744" s="104"/>
      <c r="C744" s="104"/>
      <c r="D744" s="105"/>
      <c r="E744" s="106"/>
      <c r="F744" s="107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6"/>
    </row>
    <row r="745" ht="15.75" customHeight="1">
      <c r="A745" s="109"/>
      <c r="B745" s="104"/>
      <c r="C745" s="104"/>
      <c r="D745" s="105"/>
      <c r="E745" s="106"/>
      <c r="F745" s="107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6"/>
    </row>
    <row r="746" ht="15.75" customHeight="1">
      <c r="A746" s="109"/>
      <c r="B746" s="104"/>
      <c r="C746" s="104"/>
      <c r="D746" s="105"/>
      <c r="E746" s="106"/>
      <c r="F746" s="107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6"/>
    </row>
    <row r="747" ht="15.75" customHeight="1">
      <c r="A747" s="109"/>
      <c r="B747" s="104"/>
      <c r="C747" s="104"/>
      <c r="D747" s="105"/>
      <c r="E747" s="106"/>
      <c r="F747" s="107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6"/>
    </row>
    <row r="748" ht="15.75" customHeight="1">
      <c r="A748" s="109"/>
      <c r="B748" s="104"/>
      <c r="C748" s="104"/>
      <c r="D748" s="105"/>
      <c r="E748" s="106"/>
      <c r="F748" s="107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6"/>
    </row>
    <row r="749" ht="15.75" customHeight="1">
      <c r="A749" s="109"/>
      <c r="B749" s="104"/>
      <c r="C749" s="104"/>
      <c r="D749" s="105"/>
      <c r="E749" s="106"/>
      <c r="F749" s="107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6"/>
    </row>
    <row r="750" ht="15.75" customHeight="1">
      <c r="A750" s="109"/>
      <c r="B750" s="104"/>
      <c r="C750" s="104"/>
      <c r="D750" s="105"/>
      <c r="E750" s="106"/>
      <c r="F750" s="107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6"/>
    </row>
    <row r="751" ht="15.75" customHeight="1">
      <c r="A751" s="109"/>
      <c r="B751" s="104"/>
      <c r="C751" s="104"/>
      <c r="D751" s="105"/>
      <c r="E751" s="106"/>
      <c r="F751" s="107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6"/>
    </row>
    <row r="752" ht="15.75" customHeight="1">
      <c r="A752" s="109"/>
      <c r="B752" s="104"/>
      <c r="C752" s="104"/>
      <c r="D752" s="105"/>
      <c r="E752" s="106"/>
      <c r="F752" s="107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6"/>
    </row>
    <row r="753" ht="15.75" customHeight="1">
      <c r="A753" s="109"/>
      <c r="B753" s="104"/>
      <c r="C753" s="104"/>
      <c r="D753" s="105"/>
      <c r="E753" s="106"/>
      <c r="F753" s="107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6"/>
    </row>
    <row r="754" ht="15.75" customHeight="1">
      <c r="A754" s="109"/>
      <c r="B754" s="104"/>
      <c r="C754" s="104"/>
      <c r="D754" s="105"/>
      <c r="E754" s="106"/>
      <c r="F754" s="107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6"/>
    </row>
    <row r="755" ht="15.75" customHeight="1">
      <c r="A755" s="109"/>
      <c r="B755" s="104"/>
      <c r="C755" s="104"/>
      <c r="D755" s="105"/>
      <c r="E755" s="106"/>
      <c r="F755" s="107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6"/>
    </row>
    <row r="756" ht="15.75" customHeight="1">
      <c r="A756" s="109"/>
      <c r="B756" s="104"/>
      <c r="C756" s="104"/>
      <c r="D756" s="105"/>
      <c r="E756" s="106"/>
      <c r="F756" s="107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6"/>
    </row>
    <row r="757" ht="15.75" customHeight="1">
      <c r="A757" s="109"/>
      <c r="B757" s="104"/>
      <c r="C757" s="104"/>
      <c r="D757" s="105"/>
      <c r="E757" s="106"/>
      <c r="F757" s="107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6"/>
    </row>
    <row r="758" ht="15.75" customHeight="1">
      <c r="A758" s="109"/>
      <c r="B758" s="104"/>
      <c r="C758" s="104"/>
      <c r="D758" s="105"/>
      <c r="E758" s="106"/>
      <c r="F758" s="107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6"/>
    </row>
    <row r="759" ht="15.75" customHeight="1">
      <c r="A759" s="109"/>
      <c r="B759" s="104"/>
      <c r="C759" s="104"/>
      <c r="D759" s="105"/>
      <c r="E759" s="106"/>
      <c r="F759" s="107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6"/>
    </row>
    <row r="760" ht="15.75" customHeight="1">
      <c r="A760" s="109"/>
      <c r="B760" s="104"/>
      <c r="C760" s="104"/>
      <c r="D760" s="105"/>
      <c r="E760" s="106"/>
      <c r="F760" s="107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6"/>
    </row>
    <row r="761" ht="15.75" customHeight="1">
      <c r="A761" s="109"/>
      <c r="B761" s="104"/>
      <c r="C761" s="104"/>
      <c r="D761" s="105"/>
      <c r="E761" s="106"/>
      <c r="F761" s="107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6"/>
    </row>
    <row r="762" ht="15.75" customHeight="1">
      <c r="A762" s="109"/>
      <c r="B762" s="104"/>
      <c r="C762" s="104"/>
      <c r="D762" s="105"/>
      <c r="E762" s="106"/>
      <c r="F762" s="107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6"/>
    </row>
    <row r="763" ht="15.75" customHeight="1">
      <c r="A763" s="109"/>
      <c r="B763" s="104"/>
      <c r="C763" s="104"/>
      <c r="D763" s="105"/>
      <c r="E763" s="106"/>
      <c r="F763" s="107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6"/>
    </row>
    <row r="764" ht="15.75" customHeight="1">
      <c r="A764" s="109"/>
      <c r="B764" s="104"/>
      <c r="C764" s="104"/>
      <c r="D764" s="105"/>
      <c r="E764" s="106"/>
      <c r="F764" s="107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6"/>
    </row>
    <row r="765" ht="15.75" customHeight="1">
      <c r="A765" s="109"/>
      <c r="B765" s="104"/>
      <c r="C765" s="104"/>
      <c r="D765" s="105"/>
      <c r="E765" s="106"/>
      <c r="F765" s="107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6"/>
    </row>
    <row r="766" ht="15.75" customHeight="1">
      <c r="A766" s="109"/>
      <c r="B766" s="104"/>
      <c r="C766" s="104"/>
      <c r="D766" s="105"/>
      <c r="E766" s="106"/>
      <c r="F766" s="107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6"/>
    </row>
    <row r="767" ht="15.75" customHeight="1">
      <c r="A767" s="109"/>
      <c r="B767" s="104"/>
      <c r="C767" s="104"/>
      <c r="D767" s="105"/>
      <c r="E767" s="106"/>
      <c r="F767" s="107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6"/>
    </row>
    <row r="768" ht="15.75" customHeight="1">
      <c r="A768" s="109"/>
      <c r="B768" s="104"/>
      <c r="C768" s="104"/>
      <c r="D768" s="105"/>
      <c r="E768" s="106"/>
      <c r="F768" s="107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6"/>
    </row>
    <row r="769" ht="15.75" customHeight="1">
      <c r="A769" s="109"/>
      <c r="B769" s="104"/>
      <c r="C769" s="104"/>
      <c r="D769" s="105"/>
      <c r="E769" s="106"/>
      <c r="F769" s="107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6"/>
    </row>
    <row r="770" ht="15.75" customHeight="1">
      <c r="A770" s="109"/>
      <c r="B770" s="104"/>
      <c r="C770" s="104"/>
      <c r="D770" s="105"/>
      <c r="E770" s="106"/>
      <c r="F770" s="107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6"/>
    </row>
    <row r="771" ht="15.75" customHeight="1">
      <c r="A771" s="109"/>
      <c r="B771" s="104"/>
      <c r="C771" s="104"/>
      <c r="D771" s="105"/>
      <c r="E771" s="106"/>
      <c r="F771" s="107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6"/>
    </row>
    <row r="772" ht="15.75" customHeight="1">
      <c r="A772" s="109"/>
      <c r="B772" s="104"/>
      <c r="C772" s="104"/>
      <c r="D772" s="105"/>
      <c r="E772" s="106"/>
      <c r="F772" s="107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6"/>
    </row>
    <row r="773" ht="15.75" customHeight="1">
      <c r="A773" s="109"/>
      <c r="B773" s="104"/>
      <c r="C773" s="104"/>
      <c r="D773" s="105"/>
      <c r="E773" s="106"/>
      <c r="F773" s="107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6"/>
    </row>
    <row r="774" ht="15.75" customHeight="1">
      <c r="A774" s="109"/>
      <c r="B774" s="104"/>
      <c r="C774" s="104"/>
      <c r="D774" s="105"/>
      <c r="E774" s="106"/>
      <c r="F774" s="107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6"/>
    </row>
    <row r="775" ht="15.75" customHeight="1">
      <c r="A775" s="109"/>
      <c r="B775" s="104"/>
      <c r="C775" s="104"/>
      <c r="D775" s="105"/>
      <c r="E775" s="106"/>
      <c r="F775" s="107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6"/>
    </row>
    <row r="776" ht="15.75" customHeight="1">
      <c r="A776" s="109"/>
      <c r="B776" s="104"/>
      <c r="C776" s="104"/>
      <c r="D776" s="105"/>
      <c r="E776" s="106"/>
      <c r="F776" s="107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6"/>
    </row>
    <row r="777" ht="15.75" customHeight="1">
      <c r="A777" s="109"/>
      <c r="B777" s="104"/>
      <c r="C777" s="104"/>
      <c r="D777" s="105"/>
      <c r="E777" s="106"/>
      <c r="F777" s="107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6"/>
    </row>
    <row r="778" ht="15.75" customHeight="1">
      <c r="A778" s="109"/>
      <c r="B778" s="104"/>
      <c r="C778" s="104"/>
      <c r="D778" s="105"/>
      <c r="E778" s="106"/>
      <c r="F778" s="107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6"/>
    </row>
    <row r="779" ht="15.75" customHeight="1">
      <c r="A779" s="109"/>
      <c r="B779" s="104"/>
      <c r="C779" s="104"/>
      <c r="D779" s="105"/>
      <c r="E779" s="106"/>
      <c r="F779" s="107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6"/>
    </row>
    <row r="780" ht="15.75" customHeight="1">
      <c r="A780" s="109"/>
      <c r="B780" s="104"/>
      <c r="C780" s="104"/>
      <c r="D780" s="105"/>
      <c r="E780" s="106"/>
      <c r="F780" s="107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6"/>
    </row>
    <row r="781" ht="15.75" customHeight="1">
      <c r="A781" s="109"/>
      <c r="B781" s="104"/>
      <c r="C781" s="104"/>
      <c r="D781" s="105"/>
      <c r="E781" s="106"/>
      <c r="F781" s="107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6"/>
    </row>
    <row r="782" ht="15.75" customHeight="1">
      <c r="A782" s="109"/>
      <c r="B782" s="104"/>
      <c r="C782" s="104"/>
      <c r="D782" s="105"/>
      <c r="E782" s="106"/>
      <c r="F782" s="107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6"/>
    </row>
    <row r="783" ht="15.75" customHeight="1">
      <c r="A783" s="109"/>
      <c r="B783" s="104"/>
      <c r="C783" s="104"/>
      <c r="D783" s="105"/>
      <c r="E783" s="106"/>
      <c r="F783" s="107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6"/>
    </row>
    <row r="784" ht="15.75" customHeight="1">
      <c r="A784" s="109"/>
      <c r="B784" s="104"/>
      <c r="C784" s="104"/>
      <c r="D784" s="105"/>
      <c r="E784" s="106"/>
      <c r="F784" s="107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6"/>
    </row>
    <row r="785" ht="15.75" customHeight="1">
      <c r="A785" s="109"/>
      <c r="B785" s="104"/>
      <c r="C785" s="104"/>
      <c r="D785" s="105"/>
      <c r="E785" s="106"/>
      <c r="F785" s="107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6"/>
    </row>
    <row r="786" ht="15.75" customHeight="1">
      <c r="A786" s="109"/>
      <c r="B786" s="104"/>
      <c r="C786" s="104"/>
      <c r="D786" s="105"/>
      <c r="E786" s="106"/>
      <c r="F786" s="107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6"/>
    </row>
    <row r="787" ht="15.75" customHeight="1">
      <c r="A787" s="109"/>
      <c r="B787" s="104"/>
      <c r="C787" s="104"/>
      <c r="D787" s="105"/>
      <c r="E787" s="106"/>
      <c r="F787" s="107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6"/>
    </row>
    <row r="788" ht="15.75" customHeight="1">
      <c r="A788" s="109"/>
      <c r="B788" s="104"/>
      <c r="C788" s="104"/>
      <c r="D788" s="105"/>
      <c r="E788" s="106"/>
      <c r="F788" s="107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6"/>
    </row>
    <row r="789" ht="15.75" customHeight="1">
      <c r="A789" s="109"/>
      <c r="B789" s="104"/>
      <c r="C789" s="104"/>
      <c r="D789" s="105"/>
      <c r="E789" s="106"/>
      <c r="F789" s="107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6"/>
    </row>
    <row r="790" ht="15.75" customHeight="1">
      <c r="A790" s="109"/>
      <c r="B790" s="104"/>
      <c r="C790" s="104"/>
      <c r="D790" s="105"/>
      <c r="E790" s="106"/>
      <c r="F790" s="107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6"/>
    </row>
    <row r="791" ht="15.75" customHeight="1">
      <c r="A791" s="109"/>
      <c r="B791" s="104"/>
      <c r="C791" s="104"/>
      <c r="D791" s="105"/>
      <c r="E791" s="106"/>
      <c r="F791" s="107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6"/>
    </row>
    <row r="792" ht="15.75" customHeight="1">
      <c r="A792" s="109"/>
      <c r="B792" s="104"/>
      <c r="C792" s="104"/>
      <c r="D792" s="105"/>
      <c r="E792" s="106"/>
      <c r="F792" s="107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6"/>
    </row>
    <row r="793" ht="15.75" customHeight="1">
      <c r="A793" s="109"/>
      <c r="B793" s="104"/>
      <c r="C793" s="104"/>
      <c r="D793" s="105"/>
      <c r="E793" s="106"/>
      <c r="F793" s="107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6"/>
    </row>
    <row r="794" ht="15.75" customHeight="1">
      <c r="A794" s="109"/>
      <c r="B794" s="104"/>
      <c r="C794" s="104"/>
      <c r="D794" s="105"/>
      <c r="E794" s="106"/>
      <c r="F794" s="107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6"/>
    </row>
    <row r="795" ht="15.75" customHeight="1">
      <c r="A795" s="109"/>
      <c r="B795" s="104"/>
      <c r="C795" s="104"/>
      <c r="D795" s="105"/>
      <c r="E795" s="106"/>
      <c r="F795" s="107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6"/>
    </row>
    <row r="796" ht="15.75" customHeight="1">
      <c r="A796" s="109"/>
      <c r="B796" s="104"/>
      <c r="C796" s="104"/>
      <c r="D796" s="105"/>
      <c r="E796" s="106"/>
      <c r="F796" s="107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6"/>
    </row>
    <row r="797" ht="15.75" customHeight="1">
      <c r="A797" s="109"/>
      <c r="B797" s="104"/>
      <c r="C797" s="104"/>
      <c r="D797" s="105"/>
      <c r="E797" s="106"/>
      <c r="F797" s="107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6"/>
    </row>
    <row r="798" ht="15.75" customHeight="1">
      <c r="A798" s="109"/>
      <c r="B798" s="104"/>
      <c r="C798" s="104"/>
      <c r="D798" s="105"/>
      <c r="E798" s="106"/>
      <c r="F798" s="107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6"/>
    </row>
    <row r="799" ht="15.75" customHeight="1">
      <c r="A799" s="109"/>
      <c r="B799" s="104"/>
      <c r="C799" s="104"/>
      <c r="D799" s="105"/>
      <c r="E799" s="106"/>
      <c r="F799" s="107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6"/>
    </row>
    <row r="800" ht="15.75" customHeight="1">
      <c r="A800" s="109"/>
      <c r="B800" s="104"/>
      <c r="C800" s="104"/>
      <c r="D800" s="105"/>
      <c r="E800" s="106"/>
      <c r="F800" s="107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6"/>
    </row>
    <row r="801" ht="15.75" customHeight="1">
      <c r="A801" s="109"/>
      <c r="B801" s="104"/>
      <c r="C801" s="104"/>
      <c r="D801" s="105"/>
      <c r="E801" s="106"/>
      <c r="F801" s="107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6"/>
    </row>
    <row r="802" ht="15.75" customHeight="1">
      <c r="A802" s="109"/>
      <c r="B802" s="104"/>
      <c r="C802" s="104"/>
      <c r="D802" s="105"/>
      <c r="E802" s="106"/>
      <c r="F802" s="107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6"/>
    </row>
    <row r="803" ht="15.75" customHeight="1">
      <c r="A803" s="109"/>
      <c r="B803" s="104"/>
      <c r="C803" s="104"/>
      <c r="D803" s="105"/>
      <c r="E803" s="106"/>
      <c r="F803" s="107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6"/>
    </row>
    <row r="804" ht="15.75" customHeight="1">
      <c r="A804" s="109"/>
      <c r="B804" s="104"/>
      <c r="C804" s="104"/>
      <c r="D804" s="105"/>
      <c r="E804" s="106"/>
      <c r="F804" s="107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6"/>
    </row>
    <row r="805" ht="15.75" customHeight="1">
      <c r="A805" s="109"/>
      <c r="B805" s="104"/>
      <c r="C805" s="104"/>
      <c r="D805" s="105"/>
      <c r="E805" s="106"/>
      <c r="F805" s="107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6"/>
    </row>
    <row r="806" ht="15.75" customHeight="1">
      <c r="A806" s="109"/>
      <c r="B806" s="104"/>
      <c r="C806" s="104"/>
      <c r="D806" s="105"/>
      <c r="E806" s="106"/>
      <c r="F806" s="107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6"/>
    </row>
    <row r="807" ht="15.75" customHeight="1">
      <c r="A807" s="109"/>
      <c r="B807" s="104"/>
      <c r="C807" s="104"/>
      <c r="D807" s="105"/>
      <c r="E807" s="106"/>
      <c r="F807" s="107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6"/>
    </row>
    <row r="808" ht="15.75" customHeight="1">
      <c r="A808" s="109"/>
      <c r="B808" s="104"/>
      <c r="C808" s="104"/>
      <c r="D808" s="105"/>
      <c r="E808" s="106"/>
      <c r="F808" s="107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6"/>
    </row>
    <row r="809" ht="15.75" customHeight="1">
      <c r="A809" s="109"/>
      <c r="B809" s="104"/>
      <c r="C809" s="104"/>
      <c r="D809" s="105"/>
      <c r="E809" s="106"/>
      <c r="F809" s="107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6"/>
    </row>
    <row r="810" ht="15.75" customHeight="1">
      <c r="A810" s="109"/>
      <c r="B810" s="104"/>
      <c r="C810" s="104"/>
      <c r="D810" s="105"/>
      <c r="E810" s="106"/>
      <c r="F810" s="107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6"/>
    </row>
    <row r="811" ht="15.75" customHeight="1">
      <c r="A811" s="109"/>
      <c r="B811" s="104"/>
      <c r="C811" s="104"/>
      <c r="D811" s="105"/>
      <c r="E811" s="106"/>
      <c r="F811" s="107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6"/>
    </row>
    <row r="812" ht="15.75" customHeight="1">
      <c r="A812" s="109"/>
      <c r="B812" s="104"/>
      <c r="C812" s="104"/>
      <c r="D812" s="105"/>
      <c r="E812" s="106"/>
      <c r="F812" s="107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6"/>
    </row>
    <row r="813" ht="15.75" customHeight="1">
      <c r="A813" s="109"/>
      <c r="B813" s="104"/>
      <c r="C813" s="104"/>
      <c r="D813" s="105"/>
      <c r="E813" s="106"/>
      <c r="F813" s="107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6"/>
    </row>
    <row r="814" ht="15.75" customHeight="1">
      <c r="A814" s="109"/>
      <c r="B814" s="104"/>
      <c r="C814" s="104"/>
      <c r="D814" s="105"/>
      <c r="E814" s="106"/>
      <c r="F814" s="107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6"/>
    </row>
    <row r="815" ht="15.75" customHeight="1">
      <c r="A815" s="109"/>
      <c r="B815" s="104"/>
      <c r="C815" s="104"/>
      <c r="D815" s="105"/>
      <c r="E815" s="106"/>
      <c r="F815" s="107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6"/>
    </row>
    <row r="816" ht="15.75" customHeight="1">
      <c r="A816" s="109"/>
      <c r="B816" s="104"/>
      <c r="C816" s="104"/>
      <c r="D816" s="105"/>
      <c r="E816" s="106"/>
      <c r="F816" s="107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6"/>
    </row>
    <row r="817" ht="15.75" customHeight="1">
      <c r="A817" s="109"/>
      <c r="B817" s="104"/>
      <c r="C817" s="104"/>
      <c r="D817" s="105"/>
      <c r="E817" s="106"/>
      <c r="F817" s="107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6"/>
    </row>
    <row r="818" ht="15.75" customHeight="1">
      <c r="A818" s="109"/>
      <c r="B818" s="104"/>
      <c r="C818" s="104"/>
      <c r="D818" s="105"/>
      <c r="E818" s="106"/>
      <c r="F818" s="107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6"/>
    </row>
    <row r="819" ht="15.75" customHeight="1">
      <c r="A819" s="109"/>
      <c r="B819" s="104"/>
      <c r="C819" s="104"/>
      <c r="D819" s="105"/>
      <c r="E819" s="106"/>
      <c r="F819" s="107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6"/>
    </row>
    <row r="820" ht="15.75" customHeight="1">
      <c r="A820" s="109"/>
      <c r="B820" s="104"/>
      <c r="C820" s="104"/>
      <c r="D820" s="105"/>
      <c r="E820" s="106"/>
      <c r="F820" s="107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6"/>
    </row>
    <row r="821" ht="15.75" customHeight="1">
      <c r="A821" s="109"/>
      <c r="B821" s="104"/>
      <c r="C821" s="104"/>
      <c r="D821" s="105"/>
      <c r="E821" s="106"/>
      <c r="F821" s="107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6"/>
    </row>
    <row r="822" ht="15.75" customHeight="1">
      <c r="A822" s="109"/>
      <c r="B822" s="104"/>
      <c r="C822" s="104"/>
      <c r="D822" s="105"/>
      <c r="E822" s="106"/>
      <c r="F822" s="107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6"/>
    </row>
    <row r="823" ht="15.75" customHeight="1">
      <c r="A823" s="109"/>
      <c r="B823" s="104"/>
      <c r="C823" s="104"/>
      <c r="D823" s="105"/>
      <c r="E823" s="106"/>
      <c r="F823" s="107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6"/>
    </row>
    <row r="824" ht="15.75" customHeight="1">
      <c r="A824" s="109"/>
      <c r="B824" s="104"/>
      <c r="C824" s="104"/>
      <c r="D824" s="105"/>
      <c r="E824" s="106"/>
      <c r="F824" s="107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6"/>
    </row>
    <row r="825" ht="15.75" customHeight="1">
      <c r="A825" s="109"/>
      <c r="B825" s="104"/>
      <c r="C825" s="104"/>
      <c r="D825" s="105"/>
      <c r="E825" s="106"/>
      <c r="F825" s="107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6"/>
    </row>
    <row r="826" ht="15.75" customHeight="1">
      <c r="A826" s="109"/>
      <c r="B826" s="104"/>
      <c r="C826" s="104"/>
      <c r="D826" s="105"/>
      <c r="E826" s="106"/>
      <c r="F826" s="107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6"/>
    </row>
    <row r="827" ht="15.75" customHeight="1">
      <c r="A827" s="109"/>
      <c r="B827" s="104"/>
      <c r="C827" s="104"/>
      <c r="D827" s="105"/>
      <c r="E827" s="106"/>
      <c r="F827" s="107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6"/>
    </row>
    <row r="828" ht="15.75" customHeight="1">
      <c r="A828" s="109"/>
      <c r="B828" s="104"/>
      <c r="C828" s="104"/>
      <c r="D828" s="105"/>
      <c r="E828" s="106"/>
      <c r="F828" s="107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6"/>
    </row>
    <row r="829" ht="15.75" customHeight="1">
      <c r="A829" s="109"/>
      <c r="B829" s="104"/>
      <c r="C829" s="104"/>
      <c r="D829" s="105"/>
      <c r="E829" s="106"/>
      <c r="F829" s="107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6"/>
    </row>
    <row r="830" ht="15.75" customHeight="1">
      <c r="A830" s="109"/>
      <c r="B830" s="104"/>
      <c r="C830" s="104"/>
      <c r="D830" s="105"/>
      <c r="E830" s="106"/>
      <c r="F830" s="107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6"/>
    </row>
    <row r="831" ht="15.75" customHeight="1">
      <c r="A831" s="109"/>
      <c r="B831" s="104"/>
      <c r="C831" s="104"/>
      <c r="D831" s="105"/>
      <c r="E831" s="106"/>
      <c r="F831" s="107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6"/>
    </row>
    <row r="832" ht="15.75" customHeight="1">
      <c r="A832" s="109"/>
      <c r="B832" s="104"/>
      <c r="C832" s="104"/>
      <c r="D832" s="105"/>
      <c r="E832" s="106"/>
      <c r="F832" s="107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6"/>
    </row>
    <row r="833" ht="15.75" customHeight="1">
      <c r="A833" s="109"/>
      <c r="B833" s="104"/>
      <c r="C833" s="104"/>
      <c r="D833" s="105"/>
      <c r="E833" s="106"/>
      <c r="F833" s="107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6"/>
    </row>
    <row r="834" ht="15.75" customHeight="1">
      <c r="A834" s="109"/>
      <c r="B834" s="104"/>
      <c r="C834" s="104"/>
      <c r="D834" s="105"/>
      <c r="E834" s="106"/>
      <c r="F834" s="107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6"/>
    </row>
    <row r="835" ht="15.75" customHeight="1">
      <c r="A835" s="109"/>
      <c r="B835" s="104"/>
      <c r="C835" s="104"/>
      <c r="D835" s="105"/>
      <c r="E835" s="106"/>
      <c r="F835" s="107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6"/>
    </row>
    <row r="836" ht="15.75" customHeight="1">
      <c r="A836" s="109"/>
      <c r="B836" s="104"/>
      <c r="C836" s="104"/>
      <c r="D836" s="105"/>
      <c r="E836" s="106"/>
      <c r="F836" s="107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6"/>
    </row>
    <row r="837" ht="15.75" customHeight="1">
      <c r="A837" s="109"/>
      <c r="B837" s="104"/>
      <c r="C837" s="104"/>
      <c r="D837" s="105"/>
      <c r="E837" s="106"/>
      <c r="F837" s="107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6"/>
    </row>
    <row r="838" ht="15.75" customHeight="1">
      <c r="A838" s="109"/>
      <c r="B838" s="104"/>
      <c r="C838" s="104"/>
      <c r="D838" s="105"/>
      <c r="E838" s="106"/>
      <c r="F838" s="107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6"/>
    </row>
    <row r="839" ht="15.75" customHeight="1">
      <c r="A839" s="109"/>
      <c r="B839" s="104"/>
      <c r="C839" s="104"/>
      <c r="D839" s="105"/>
      <c r="E839" s="106"/>
      <c r="F839" s="107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6"/>
    </row>
    <row r="840" ht="15.75" customHeight="1">
      <c r="A840" s="109"/>
      <c r="B840" s="104"/>
      <c r="C840" s="104"/>
      <c r="D840" s="105"/>
      <c r="E840" s="106"/>
      <c r="F840" s="107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6"/>
    </row>
    <row r="841" ht="15.75" customHeight="1">
      <c r="A841" s="109"/>
      <c r="B841" s="104"/>
      <c r="C841" s="104"/>
      <c r="D841" s="105"/>
      <c r="E841" s="106"/>
      <c r="F841" s="107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6"/>
    </row>
    <row r="842" ht="15.75" customHeight="1">
      <c r="A842" s="109"/>
      <c r="B842" s="104"/>
      <c r="C842" s="104"/>
      <c r="D842" s="105"/>
      <c r="E842" s="106"/>
      <c r="F842" s="107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6"/>
    </row>
    <row r="843" ht="15.75" customHeight="1">
      <c r="A843" s="109"/>
      <c r="B843" s="104"/>
      <c r="C843" s="104"/>
      <c r="D843" s="105"/>
      <c r="E843" s="106"/>
      <c r="F843" s="107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6"/>
    </row>
    <row r="844" ht="15.75" customHeight="1">
      <c r="A844" s="109"/>
      <c r="B844" s="104"/>
      <c r="C844" s="104"/>
      <c r="D844" s="105"/>
      <c r="E844" s="106"/>
      <c r="F844" s="107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6"/>
    </row>
    <row r="845" ht="15.75" customHeight="1">
      <c r="A845" s="109"/>
      <c r="B845" s="104"/>
      <c r="C845" s="104"/>
      <c r="D845" s="105"/>
      <c r="E845" s="106"/>
      <c r="F845" s="107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6"/>
    </row>
    <row r="846" ht="15.75" customHeight="1">
      <c r="A846" s="109"/>
      <c r="B846" s="104"/>
      <c r="C846" s="104"/>
      <c r="D846" s="105"/>
      <c r="E846" s="106"/>
      <c r="F846" s="107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6"/>
    </row>
    <row r="847" ht="15.75" customHeight="1">
      <c r="A847" s="109"/>
      <c r="B847" s="104"/>
      <c r="C847" s="104"/>
      <c r="D847" s="105"/>
      <c r="E847" s="106"/>
      <c r="F847" s="107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6"/>
    </row>
    <row r="848" ht="15.75" customHeight="1">
      <c r="A848" s="109"/>
      <c r="B848" s="104"/>
      <c r="C848" s="104"/>
      <c r="D848" s="105"/>
      <c r="E848" s="106"/>
      <c r="F848" s="107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6"/>
    </row>
    <row r="849" ht="15.75" customHeight="1">
      <c r="A849" s="109"/>
      <c r="B849" s="104"/>
      <c r="C849" s="104"/>
      <c r="D849" s="105"/>
      <c r="E849" s="106"/>
      <c r="F849" s="107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6"/>
    </row>
    <row r="850" ht="15.75" customHeight="1">
      <c r="A850" s="109"/>
      <c r="B850" s="104"/>
      <c r="C850" s="104"/>
      <c r="D850" s="105"/>
      <c r="E850" s="106"/>
      <c r="F850" s="107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6"/>
    </row>
    <row r="851" ht="15.75" customHeight="1">
      <c r="A851" s="109"/>
      <c r="B851" s="104"/>
      <c r="C851" s="104"/>
      <c r="D851" s="105"/>
      <c r="E851" s="106"/>
      <c r="F851" s="107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6"/>
    </row>
    <row r="852" ht="15.75" customHeight="1">
      <c r="A852" s="109"/>
      <c r="B852" s="104"/>
      <c r="C852" s="104"/>
      <c r="D852" s="105"/>
      <c r="E852" s="106"/>
      <c r="F852" s="107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6"/>
    </row>
    <row r="853" ht="15.75" customHeight="1">
      <c r="A853" s="109"/>
      <c r="B853" s="104"/>
      <c r="C853" s="104"/>
      <c r="D853" s="105"/>
      <c r="E853" s="106"/>
      <c r="F853" s="107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6"/>
    </row>
    <row r="854" ht="15.75" customHeight="1">
      <c r="A854" s="109"/>
      <c r="B854" s="104"/>
      <c r="C854" s="104"/>
      <c r="D854" s="105"/>
      <c r="E854" s="106"/>
      <c r="F854" s="107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6"/>
    </row>
    <row r="855" ht="15.75" customHeight="1">
      <c r="A855" s="109"/>
      <c r="B855" s="104"/>
      <c r="C855" s="104"/>
      <c r="D855" s="105"/>
      <c r="E855" s="106"/>
      <c r="F855" s="107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6"/>
    </row>
    <row r="856" ht="15.75" customHeight="1">
      <c r="A856" s="109"/>
      <c r="B856" s="104"/>
      <c r="C856" s="104"/>
      <c r="D856" s="105"/>
      <c r="E856" s="106"/>
      <c r="F856" s="107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6"/>
    </row>
    <row r="857" ht="15.75" customHeight="1">
      <c r="A857" s="109"/>
      <c r="B857" s="104"/>
      <c r="C857" s="104"/>
      <c r="D857" s="105"/>
      <c r="E857" s="106"/>
      <c r="F857" s="107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6"/>
    </row>
    <row r="858" ht="15.75" customHeight="1">
      <c r="A858" s="109"/>
      <c r="B858" s="104"/>
      <c r="C858" s="104"/>
      <c r="D858" s="105"/>
      <c r="E858" s="106"/>
      <c r="F858" s="107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6"/>
    </row>
    <row r="859" ht="15.75" customHeight="1">
      <c r="A859" s="109"/>
      <c r="B859" s="104"/>
      <c r="C859" s="104"/>
      <c r="D859" s="105"/>
      <c r="E859" s="106"/>
      <c r="F859" s="107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6"/>
    </row>
    <row r="860" ht="15.75" customHeight="1">
      <c r="A860" s="109"/>
      <c r="B860" s="104"/>
      <c r="C860" s="104"/>
      <c r="D860" s="105"/>
      <c r="E860" s="106"/>
      <c r="F860" s="107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6"/>
    </row>
    <row r="861" ht="15.75" customHeight="1">
      <c r="A861" s="109"/>
      <c r="B861" s="104"/>
      <c r="C861" s="104"/>
      <c r="D861" s="105"/>
      <c r="E861" s="106"/>
      <c r="F861" s="107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6"/>
    </row>
    <row r="862" ht="15.75" customHeight="1">
      <c r="A862" s="109"/>
      <c r="B862" s="104"/>
      <c r="C862" s="104"/>
      <c r="D862" s="105"/>
      <c r="E862" s="106"/>
      <c r="F862" s="107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6"/>
    </row>
    <row r="863" ht="15.75" customHeight="1">
      <c r="A863" s="109"/>
      <c r="B863" s="104"/>
      <c r="C863" s="104"/>
      <c r="D863" s="105"/>
      <c r="E863" s="106"/>
      <c r="F863" s="107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6"/>
    </row>
    <row r="864" ht="15.75" customHeight="1">
      <c r="A864" s="109"/>
      <c r="B864" s="104"/>
      <c r="C864" s="104"/>
      <c r="D864" s="105"/>
      <c r="E864" s="106"/>
      <c r="F864" s="107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6"/>
    </row>
    <row r="865" ht="15.75" customHeight="1">
      <c r="A865" s="109"/>
      <c r="B865" s="104"/>
      <c r="C865" s="104"/>
      <c r="D865" s="105"/>
      <c r="E865" s="106"/>
      <c r="F865" s="107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6"/>
    </row>
    <row r="866" ht="15.75" customHeight="1">
      <c r="A866" s="109"/>
      <c r="B866" s="104"/>
      <c r="C866" s="104"/>
      <c r="D866" s="105"/>
      <c r="E866" s="106"/>
      <c r="F866" s="107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6"/>
    </row>
    <row r="867" ht="15.75" customHeight="1">
      <c r="A867" s="109"/>
      <c r="B867" s="104"/>
      <c r="C867" s="104"/>
      <c r="D867" s="105"/>
      <c r="E867" s="106"/>
      <c r="F867" s="107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6"/>
    </row>
    <row r="868" ht="15.75" customHeight="1">
      <c r="A868" s="109"/>
      <c r="B868" s="104"/>
      <c r="C868" s="104"/>
      <c r="D868" s="105"/>
      <c r="E868" s="106"/>
      <c r="F868" s="107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6"/>
    </row>
    <row r="869" ht="15.75" customHeight="1">
      <c r="A869" s="109"/>
      <c r="B869" s="104"/>
      <c r="C869" s="104"/>
      <c r="D869" s="105"/>
      <c r="E869" s="106"/>
      <c r="F869" s="107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6"/>
    </row>
    <row r="870" ht="15.75" customHeight="1">
      <c r="A870" s="109"/>
      <c r="B870" s="104"/>
      <c r="C870" s="104"/>
      <c r="D870" s="105"/>
      <c r="E870" s="106"/>
      <c r="F870" s="107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6"/>
    </row>
    <row r="871" ht="15.75" customHeight="1">
      <c r="A871" s="109"/>
      <c r="B871" s="104"/>
      <c r="C871" s="104"/>
      <c r="D871" s="105"/>
      <c r="E871" s="106"/>
      <c r="F871" s="107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6"/>
    </row>
    <row r="872" ht="15.75" customHeight="1">
      <c r="A872" s="109"/>
      <c r="B872" s="104"/>
      <c r="C872" s="104"/>
      <c r="D872" s="105"/>
      <c r="E872" s="106"/>
      <c r="F872" s="107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6"/>
    </row>
    <row r="873" ht="15.75" customHeight="1">
      <c r="A873" s="109"/>
      <c r="B873" s="104"/>
      <c r="C873" s="104"/>
      <c r="D873" s="105"/>
      <c r="E873" s="106"/>
      <c r="F873" s="107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6"/>
    </row>
    <row r="874" ht="15.75" customHeight="1">
      <c r="A874" s="109"/>
      <c r="B874" s="104"/>
      <c r="C874" s="104"/>
      <c r="D874" s="105"/>
      <c r="E874" s="106"/>
      <c r="F874" s="107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6"/>
    </row>
    <row r="875" ht="15.75" customHeight="1">
      <c r="A875" s="109"/>
      <c r="B875" s="104"/>
      <c r="C875" s="104"/>
      <c r="D875" s="105"/>
      <c r="E875" s="106"/>
      <c r="F875" s="107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6"/>
    </row>
    <row r="876" ht="15.75" customHeight="1">
      <c r="A876" s="109"/>
      <c r="B876" s="104"/>
      <c r="C876" s="104"/>
      <c r="D876" s="105"/>
      <c r="E876" s="106"/>
      <c r="F876" s="107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6"/>
    </row>
    <row r="877" ht="15.75" customHeight="1">
      <c r="A877" s="109"/>
      <c r="B877" s="104"/>
      <c r="C877" s="104"/>
      <c r="D877" s="105"/>
      <c r="E877" s="106"/>
      <c r="F877" s="107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6"/>
    </row>
    <row r="878" ht="15.75" customHeight="1">
      <c r="A878" s="109"/>
      <c r="B878" s="104"/>
      <c r="C878" s="104"/>
      <c r="D878" s="105"/>
      <c r="E878" s="106"/>
      <c r="F878" s="107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6"/>
    </row>
    <row r="879" ht="15.75" customHeight="1">
      <c r="A879" s="109"/>
      <c r="B879" s="104"/>
      <c r="C879" s="104"/>
      <c r="D879" s="105"/>
      <c r="E879" s="106"/>
      <c r="F879" s="107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6"/>
    </row>
    <row r="880" ht="15.75" customHeight="1">
      <c r="A880" s="109"/>
      <c r="B880" s="104"/>
      <c r="C880" s="104"/>
      <c r="D880" s="105"/>
      <c r="E880" s="106"/>
      <c r="F880" s="107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6"/>
    </row>
    <row r="881" ht="15.75" customHeight="1">
      <c r="A881" s="109"/>
      <c r="B881" s="104"/>
      <c r="C881" s="104"/>
      <c r="D881" s="105"/>
      <c r="E881" s="106"/>
      <c r="F881" s="107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6"/>
    </row>
    <row r="882" ht="15.75" customHeight="1">
      <c r="A882" s="109"/>
      <c r="B882" s="104"/>
      <c r="C882" s="104"/>
      <c r="D882" s="105"/>
      <c r="E882" s="106"/>
      <c r="F882" s="107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6"/>
    </row>
    <row r="883" ht="15.75" customHeight="1">
      <c r="A883" s="109"/>
      <c r="B883" s="104"/>
      <c r="C883" s="104"/>
      <c r="D883" s="105"/>
      <c r="E883" s="106"/>
      <c r="F883" s="107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6"/>
    </row>
    <row r="884" ht="15.75" customHeight="1">
      <c r="A884" s="109"/>
      <c r="B884" s="104"/>
      <c r="C884" s="104"/>
      <c r="D884" s="105"/>
      <c r="E884" s="106"/>
      <c r="F884" s="107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6"/>
    </row>
    <row r="885" ht="15.75" customHeight="1">
      <c r="A885" s="109"/>
      <c r="B885" s="104"/>
      <c r="C885" s="104"/>
      <c r="D885" s="105"/>
      <c r="E885" s="106"/>
      <c r="F885" s="107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6"/>
    </row>
    <row r="886" ht="15.75" customHeight="1">
      <c r="A886" s="109"/>
      <c r="B886" s="104"/>
      <c r="C886" s="104"/>
      <c r="D886" s="105"/>
      <c r="E886" s="106"/>
      <c r="F886" s="107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6"/>
    </row>
    <row r="887" ht="15.75" customHeight="1">
      <c r="A887" s="109"/>
      <c r="B887" s="104"/>
      <c r="C887" s="104"/>
      <c r="D887" s="105"/>
      <c r="E887" s="106"/>
      <c r="F887" s="107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6"/>
    </row>
    <row r="888" ht="15.75" customHeight="1">
      <c r="A888" s="109"/>
      <c r="B888" s="104"/>
      <c r="C888" s="104"/>
      <c r="D888" s="105"/>
      <c r="E888" s="106"/>
      <c r="F888" s="107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6"/>
    </row>
    <row r="889" ht="15.75" customHeight="1">
      <c r="A889" s="109"/>
      <c r="B889" s="104"/>
      <c r="C889" s="104"/>
      <c r="D889" s="105"/>
      <c r="E889" s="106"/>
      <c r="F889" s="107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6"/>
    </row>
    <row r="890" ht="15.75" customHeight="1">
      <c r="A890" s="109"/>
      <c r="B890" s="104"/>
      <c r="C890" s="104"/>
      <c r="D890" s="105"/>
      <c r="E890" s="106"/>
      <c r="F890" s="107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6"/>
    </row>
    <row r="891" ht="15.75" customHeight="1">
      <c r="A891" s="109"/>
      <c r="B891" s="104"/>
      <c r="C891" s="104"/>
      <c r="D891" s="105"/>
      <c r="E891" s="106"/>
      <c r="F891" s="107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6"/>
    </row>
    <row r="892" ht="15.75" customHeight="1">
      <c r="A892" s="109"/>
      <c r="B892" s="104"/>
      <c r="C892" s="104"/>
      <c r="D892" s="105"/>
      <c r="E892" s="106"/>
      <c r="F892" s="107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6"/>
    </row>
    <row r="893" ht="15.75" customHeight="1">
      <c r="A893" s="109"/>
      <c r="B893" s="104"/>
      <c r="C893" s="104"/>
      <c r="D893" s="105"/>
      <c r="E893" s="106"/>
      <c r="F893" s="107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6"/>
    </row>
    <row r="894" ht="15.75" customHeight="1">
      <c r="A894" s="109"/>
      <c r="B894" s="104"/>
      <c r="C894" s="104"/>
      <c r="D894" s="105"/>
      <c r="E894" s="106"/>
      <c r="F894" s="107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6"/>
    </row>
    <row r="895" ht="15.75" customHeight="1">
      <c r="A895" s="109"/>
      <c r="B895" s="104"/>
      <c r="C895" s="104"/>
      <c r="D895" s="105"/>
      <c r="E895" s="106"/>
      <c r="F895" s="107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6"/>
    </row>
    <row r="896" ht="15.75" customHeight="1">
      <c r="A896" s="109"/>
      <c r="B896" s="104"/>
      <c r="C896" s="104"/>
      <c r="D896" s="105"/>
      <c r="E896" s="106"/>
      <c r="F896" s="107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6"/>
    </row>
    <row r="897" ht="15.75" customHeight="1">
      <c r="A897" s="109"/>
      <c r="B897" s="104"/>
      <c r="C897" s="104"/>
      <c r="D897" s="105"/>
      <c r="E897" s="106"/>
      <c r="F897" s="107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6"/>
    </row>
    <row r="898" ht="15.75" customHeight="1">
      <c r="A898" s="109"/>
      <c r="B898" s="104"/>
      <c r="C898" s="104"/>
      <c r="D898" s="105"/>
      <c r="E898" s="106"/>
      <c r="F898" s="107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6"/>
    </row>
    <row r="899" ht="15.75" customHeight="1">
      <c r="A899" s="109"/>
      <c r="B899" s="104"/>
      <c r="C899" s="104"/>
      <c r="D899" s="105"/>
      <c r="E899" s="106"/>
      <c r="F899" s="107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6"/>
    </row>
    <row r="900" ht="15.75" customHeight="1">
      <c r="A900" s="109"/>
      <c r="B900" s="104"/>
      <c r="C900" s="104"/>
      <c r="D900" s="105"/>
      <c r="E900" s="106"/>
      <c r="F900" s="107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6"/>
    </row>
    <row r="901" ht="15.75" customHeight="1">
      <c r="A901" s="109"/>
      <c r="B901" s="104"/>
      <c r="C901" s="104"/>
      <c r="D901" s="105"/>
      <c r="E901" s="106"/>
      <c r="F901" s="107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6"/>
    </row>
    <row r="902" ht="15.75" customHeight="1">
      <c r="A902" s="109"/>
      <c r="B902" s="104"/>
      <c r="C902" s="104"/>
      <c r="D902" s="105"/>
      <c r="E902" s="106"/>
      <c r="F902" s="107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6"/>
    </row>
    <row r="903" ht="15.75" customHeight="1">
      <c r="A903" s="109"/>
      <c r="B903" s="104"/>
      <c r="C903" s="104"/>
      <c r="D903" s="105"/>
      <c r="E903" s="106"/>
      <c r="F903" s="107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6"/>
    </row>
    <row r="904" ht="15.75" customHeight="1">
      <c r="A904" s="109"/>
      <c r="B904" s="104"/>
      <c r="C904" s="104"/>
      <c r="D904" s="105"/>
      <c r="E904" s="106"/>
      <c r="F904" s="107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6"/>
    </row>
    <row r="905" ht="15.75" customHeight="1">
      <c r="A905" s="109"/>
      <c r="B905" s="104"/>
      <c r="C905" s="104"/>
      <c r="D905" s="105"/>
      <c r="E905" s="106"/>
      <c r="F905" s="107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6"/>
    </row>
    <row r="906" ht="15.75" customHeight="1">
      <c r="A906" s="109"/>
      <c r="B906" s="104"/>
      <c r="C906" s="104"/>
      <c r="D906" s="105"/>
      <c r="E906" s="106"/>
      <c r="F906" s="107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6"/>
    </row>
    <row r="907" ht="15.75" customHeight="1">
      <c r="A907" s="109"/>
      <c r="B907" s="104"/>
      <c r="C907" s="104"/>
      <c r="D907" s="105"/>
      <c r="E907" s="106"/>
      <c r="F907" s="107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6"/>
    </row>
    <row r="908" ht="15.75" customHeight="1">
      <c r="A908" s="109"/>
      <c r="B908" s="104"/>
      <c r="C908" s="104"/>
      <c r="D908" s="105"/>
      <c r="E908" s="106"/>
      <c r="F908" s="107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6"/>
    </row>
    <row r="909" ht="15.75" customHeight="1">
      <c r="A909" s="109"/>
      <c r="B909" s="104"/>
      <c r="C909" s="104"/>
      <c r="D909" s="105"/>
      <c r="E909" s="106"/>
      <c r="F909" s="107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6"/>
    </row>
    <row r="910" ht="15.75" customHeight="1">
      <c r="A910" s="109"/>
      <c r="B910" s="104"/>
      <c r="C910" s="104"/>
      <c r="D910" s="105"/>
      <c r="E910" s="106"/>
      <c r="F910" s="107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6"/>
    </row>
    <row r="911" ht="15.75" customHeight="1">
      <c r="A911" s="109"/>
      <c r="B911" s="104"/>
      <c r="C911" s="104"/>
      <c r="D911" s="105"/>
      <c r="E911" s="106"/>
      <c r="F911" s="107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6"/>
    </row>
    <row r="912" ht="15.75" customHeight="1">
      <c r="A912" s="109"/>
      <c r="B912" s="104"/>
      <c r="C912" s="104"/>
      <c r="D912" s="105"/>
      <c r="E912" s="106"/>
      <c r="F912" s="107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6"/>
    </row>
    <row r="913" ht="15.75" customHeight="1">
      <c r="A913" s="109"/>
      <c r="B913" s="104"/>
      <c r="C913" s="104"/>
      <c r="D913" s="105"/>
      <c r="E913" s="106"/>
      <c r="F913" s="107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6"/>
    </row>
    <row r="914" ht="15.75" customHeight="1">
      <c r="A914" s="109"/>
      <c r="B914" s="104"/>
      <c r="C914" s="104"/>
      <c r="D914" s="105"/>
      <c r="E914" s="106"/>
      <c r="F914" s="107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6"/>
    </row>
    <row r="915" ht="15.75" customHeight="1">
      <c r="A915" s="109"/>
      <c r="B915" s="104"/>
      <c r="C915" s="104"/>
      <c r="D915" s="105"/>
      <c r="E915" s="106"/>
      <c r="F915" s="107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6"/>
    </row>
    <row r="916" ht="15.75" customHeight="1">
      <c r="A916" s="109"/>
      <c r="B916" s="104"/>
      <c r="C916" s="104"/>
      <c r="D916" s="105"/>
      <c r="E916" s="106"/>
      <c r="F916" s="107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6"/>
    </row>
    <row r="917" ht="15.75" customHeight="1">
      <c r="A917" s="109"/>
      <c r="B917" s="104"/>
      <c r="C917" s="104"/>
      <c r="D917" s="105"/>
      <c r="E917" s="106"/>
      <c r="F917" s="107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6"/>
    </row>
    <row r="918" ht="15.75" customHeight="1">
      <c r="A918" s="109"/>
      <c r="B918" s="104"/>
      <c r="C918" s="104"/>
      <c r="D918" s="105"/>
      <c r="E918" s="106"/>
      <c r="F918" s="107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6"/>
    </row>
    <row r="919" ht="15.75" customHeight="1">
      <c r="A919" s="109"/>
      <c r="B919" s="104"/>
      <c r="C919" s="104"/>
      <c r="D919" s="105"/>
      <c r="E919" s="106"/>
      <c r="F919" s="107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6"/>
    </row>
    <row r="920" ht="15.75" customHeight="1">
      <c r="A920" s="109"/>
      <c r="B920" s="104"/>
      <c r="C920" s="104"/>
      <c r="D920" s="105"/>
      <c r="E920" s="106"/>
      <c r="F920" s="107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6"/>
    </row>
    <row r="921" ht="15.75" customHeight="1">
      <c r="A921" s="109"/>
      <c r="B921" s="104"/>
      <c r="C921" s="104"/>
      <c r="D921" s="105"/>
      <c r="E921" s="106"/>
      <c r="F921" s="107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6"/>
    </row>
    <row r="922" ht="15.75" customHeight="1">
      <c r="A922" s="109"/>
      <c r="B922" s="104"/>
      <c r="C922" s="104"/>
      <c r="D922" s="105"/>
      <c r="E922" s="106"/>
      <c r="F922" s="107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6"/>
    </row>
    <row r="923" ht="15.75" customHeight="1">
      <c r="A923" s="109"/>
      <c r="B923" s="104"/>
      <c r="C923" s="104"/>
      <c r="D923" s="105"/>
      <c r="E923" s="106"/>
      <c r="F923" s="107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6"/>
    </row>
    <row r="924" ht="15.75" customHeight="1">
      <c r="A924" s="109"/>
      <c r="B924" s="104"/>
      <c r="C924" s="104"/>
      <c r="D924" s="105"/>
      <c r="E924" s="106"/>
      <c r="F924" s="107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6"/>
    </row>
    <row r="925" ht="15.75" customHeight="1">
      <c r="A925" s="109"/>
      <c r="B925" s="104"/>
      <c r="C925" s="104"/>
      <c r="D925" s="105"/>
      <c r="E925" s="106"/>
      <c r="F925" s="107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6"/>
    </row>
    <row r="926" ht="15.75" customHeight="1">
      <c r="A926" s="109"/>
      <c r="B926" s="104"/>
      <c r="C926" s="104"/>
      <c r="D926" s="105"/>
      <c r="E926" s="106"/>
      <c r="F926" s="107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6"/>
    </row>
    <row r="927" ht="15.75" customHeight="1">
      <c r="A927" s="109"/>
      <c r="B927" s="104"/>
      <c r="C927" s="104"/>
      <c r="D927" s="105"/>
      <c r="E927" s="106"/>
      <c r="F927" s="107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6"/>
    </row>
    <row r="928" ht="15.75" customHeight="1">
      <c r="A928" s="109"/>
      <c r="B928" s="104"/>
      <c r="C928" s="104"/>
      <c r="D928" s="105"/>
      <c r="E928" s="106"/>
      <c r="F928" s="107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6"/>
    </row>
    <row r="929" ht="15.75" customHeight="1">
      <c r="A929" s="109"/>
      <c r="B929" s="104"/>
      <c r="C929" s="104"/>
      <c r="D929" s="105"/>
      <c r="E929" s="106"/>
      <c r="F929" s="107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6"/>
    </row>
    <row r="930" ht="15.75" customHeight="1">
      <c r="A930" s="109"/>
      <c r="B930" s="104"/>
      <c r="C930" s="104"/>
      <c r="D930" s="105"/>
      <c r="E930" s="106"/>
      <c r="F930" s="107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6"/>
    </row>
    <row r="931" ht="15.75" customHeight="1">
      <c r="A931" s="109"/>
      <c r="B931" s="104"/>
      <c r="C931" s="104"/>
      <c r="D931" s="105"/>
      <c r="E931" s="106"/>
      <c r="F931" s="107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6"/>
    </row>
    <row r="932" ht="15.75" customHeight="1">
      <c r="A932" s="109"/>
      <c r="B932" s="104"/>
      <c r="C932" s="104"/>
      <c r="D932" s="105"/>
      <c r="E932" s="106"/>
      <c r="F932" s="107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6"/>
    </row>
    <row r="933" ht="15.75" customHeight="1">
      <c r="A933" s="109"/>
      <c r="B933" s="104"/>
      <c r="C933" s="104"/>
      <c r="D933" s="105"/>
      <c r="E933" s="106"/>
      <c r="F933" s="107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6"/>
    </row>
    <row r="934" ht="15.75" customHeight="1">
      <c r="A934" s="109"/>
      <c r="B934" s="104"/>
      <c r="C934" s="104"/>
      <c r="D934" s="105"/>
      <c r="E934" s="106"/>
      <c r="F934" s="107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6"/>
    </row>
    <row r="935" ht="15.75" customHeight="1">
      <c r="A935" s="109"/>
      <c r="B935" s="104"/>
      <c r="C935" s="104"/>
      <c r="D935" s="105"/>
      <c r="E935" s="106"/>
      <c r="F935" s="107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6"/>
    </row>
    <row r="936" ht="15.75" customHeight="1">
      <c r="A936" s="109"/>
      <c r="B936" s="104"/>
      <c r="C936" s="104"/>
      <c r="D936" s="105"/>
      <c r="E936" s="106"/>
      <c r="F936" s="107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6"/>
    </row>
    <row r="937" ht="15.75" customHeight="1">
      <c r="A937" s="109"/>
      <c r="B937" s="104"/>
      <c r="C937" s="104"/>
      <c r="D937" s="105"/>
      <c r="E937" s="106"/>
      <c r="F937" s="107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6"/>
    </row>
    <row r="938" ht="15.75" customHeight="1">
      <c r="A938" s="109"/>
      <c r="B938" s="104"/>
      <c r="C938" s="104"/>
      <c r="D938" s="105"/>
      <c r="E938" s="106"/>
      <c r="F938" s="107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6"/>
    </row>
    <row r="939" ht="15.75" customHeight="1">
      <c r="A939" s="109"/>
      <c r="B939" s="104"/>
      <c r="C939" s="104"/>
      <c r="D939" s="105"/>
      <c r="E939" s="106"/>
      <c r="F939" s="107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6"/>
    </row>
    <row r="940" ht="15.75" customHeight="1">
      <c r="A940" s="109"/>
      <c r="B940" s="104"/>
      <c r="C940" s="104"/>
      <c r="D940" s="105"/>
      <c r="E940" s="106"/>
      <c r="F940" s="107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6"/>
    </row>
    <row r="941" ht="15.75" customHeight="1">
      <c r="A941" s="109"/>
      <c r="B941" s="104"/>
      <c r="C941" s="104"/>
      <c r="D941" s="105"/>
      <c r="E941" s="106"/>
      <c r="F941" s="107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6"/>
    </row>
    <row r="942" ht="15.75" customHeight="1">
      <c r="A942" s="109"/>
      <c r="B942" s="104"/>
      <c r="C942" s="104"/>
      <c r="D942" s="105"/>
      <c r="E942" s="106"/>
      <c r="F942" s="107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6"/>
    </row>
    <row r="943" ht="15.75" customHeight="1">
      <c r="A943" s="109"/>
      <c r="B943" s="104"/>
      <c r="C943" s="104"/>
      <c r="D943" s="105"/>
      <c r="E943" s="106"/>
      <c r="F943" s="107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6"/>
    </row>
    <row r="944" ht="15.75" customHeight="1">
      <c r="A944" s="109"/>
      <c r="B944" s="104"/>
      <c r="C944" s="104"/>
      <c r="D944" s="105"/>
      <c r="E944" s="106"/>
      <c r="F944" s="107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6"/>
    </row>
    <row r="945" ht="15.75" customHeight="1">
      <c r="A945" s="109"/>
      <c r="B945" s="104"/>
      <c r="C945" s="104"/>
      <c r="D945" s="105"/>
      <c r="E945" s="106"/>
      <c r="F945" s="107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6"/>
    </row>
    <row r="946" ht="15.75" customHeight="1">
      <c r="A946" s="109"/>
      <c r="B946" s="104"/>
      <c r="C946" s="104"/>
      <c r="D946" s="105"/>
      <c r="E946" s="106"/>
      <c r="F946" s="107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6"/>
    </row>
    <row r="947" ht="15.75" customHeight="1">
      <c r="A947" s="109"/>
      <c r="B947" s="104"/>
      <c r="C947" s="104"/>
      <c r="D947" s="105"/>
      <c r="E947" s="106"/>
      <c r="F947" s="107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6"/>
    </row>
    <row r="948" ht="15.75" customHeight="1">
      <c r="A948" s="109"/>
      <c r="B948" s="104"/>
      <c r="C948" s="104"/>
      <c r="D948" s="105"/>
      <c r="E948" s="106"/>
      <c r="F948" s="107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6"/>
    </row>
    <row r="949" ht="15.75" customHeight="1">
      <c r="A949" s="109"/>
      <c r="B949" s="104"/>
      <c r="C949" s="104"/>
      <c r="D949" s="105"/>
      <c r="E949" s="106"/>
      <c r="F949" s="107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6"/>
    </row>
    <row r="950" ht="15.75" customHeight="1">
      <c r="A950" s="109"/>
      <c r="B950" s="104"/>
      <c r="C950" s="104"/>
      <c r="D950" s="105"/>
      <c r="E950" s="106"/>
      <c r="F950" s="107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6"/>
    </row>
    <row r="951" ht="15.75" customHeight="1">
      <c r="A951" s="109"/>
      <c r="B951" s="104"/>
      <c r="C951" s="104"/>
      <c r="D951" s="105"/>
      <c r="E951" s="106"/>
      <c r="F951" s="107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6"/>
    </row>
    <row r="952" ht="15.75" customHeight="1">
      <c r="A952" s="109"/>
      <c r="B952" s="104"/>
      <c r="C952" s="104"/>
      <c r="D952" s="105"/>
      <c r="E952" s="106"/>
      <c r="F952" s="107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6"/>
    </row>
    <row r="953" ht="15.75" customHeight="1">
      <c r="A953" s="109"/>
      <c r="B953" s="104"/>
      <c r="C953" s="104"/>
      <c r="D953" s="105"/>
      <c r="E953" s="106"/>
      <c r="F953" s="107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6"/>
    </row>
    <row r="954" ht="15.75" customHeight="1">
      <c r="A954" s="109"/>
      <c r="B954" s="104"/>
      <c r="C954" s="104"/>
      <c r="D954" s="105"/>
      <c r="E954" s="106"/>
      <c r="F954" s="107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6"/>
    </row>
    <row r="955" ht="15.75" customHeight="1">
      <c r="A955" s="109"/>
      <c r="B955" s="104"/>
      <c r="C955" s="104"/>
      <c r="D955" s="105"/>
      <c r="E955" s="106"/>
      <c r="F955" s="107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6"/>
    </row>
    <row r="956" ht="15.75" customHeight="1">
      <c r="A956" s="109"/>
      <c r="B956" s="104"/>
      <c r="C956" s="104"/>
      <c r="D956" s="105"/>
      <c r="E956" s="106"/>
      <c r="F956" s="107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6"/>
    </row>
    <row r="957" ht="15.75" customHeight="1">
      <c r="A957" s="109"/>
      <c r="B957" s="104"/>
      <c r="C957" s="104"/>
      <c r="D957" s="105"/>
      <c r="E957" s="106"/>
      <c r="F957" s="107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6"/>
    </row>
    <row r="958" ht="15.75" customHeight="1">
      <c r="A958" s="109"/>
      <c r="B958" s="104"/>
      <c r="C958" s="104"/>
      <c r="D958" s="105"/>
      <c r="E958" s="106"/>
      <c r="F958" s="107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6"/>
    </row>
    <row r="959" ht="15.75" customHeight="1">
      <c r="A959" s="109"/>
      <c r="B959" s="104"/>
      <c r="C959" s="104"/>
      <c r="D959" s="105"/>
      <c r="E959" s="106"/>
      <c r="F959" s="107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6"/>
    </row>
    <row r="960" ht="15.75" customHeight="1">
      <c r="A960" s="109"/>
      <c r="B960" s="104"/>
      <c r="C960" s="104"/>
      <c r="D960" s="105"/>
      <c r="E960" s="106"/>
      <c r="F960" s="107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6"/>
    </row>
    <row r="961" ht="15.75" customHeight="1">
      <c r="A961" s="109"/>
      <c r="B961" s="104"/>
      <c r="C961" s="104"/>
      <c r="D961" s="105"/>
      <c r="E961" s="106"/>
      <c r="F961" s="107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6"/>
    </row>
    <row r="962" ht="15.75" customHeight="1">
      <c r="A962" s="109"/>
      <c r="B962" s="104"/>
      <c r="C962" s="104"/>
      <c r="D962" s="105"/>
      <c r="E962" s="106"/>
      <c r="F962" s="107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6"/>
    </row>
    <row r="963" ht="15.75" customHeight="1">
      <c r="A963" s="109"/>
      <c r="B963" s="104"/>
      <c r="C963" s="104"/>
      <c r="D963" s="105"/>
      <c r="E963" s="106"/>
      <c r="F963" s="107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6"/>
    </row>
    <row r="964" ht="15.75" customHeight="1">
      <c r="A964" s="109"/>
      <c r="B964" s="104"/>
      <c r="C964" s="104"/>
      <c r="D964" s="105"/>
      <c r="E964" s="106"/>
      <c r="F964" s="107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6"/>
    </row>
    <row r="965" ht="15.75" customHeight="1">
      <c r="A965" s="109"/>
      <c r="B965" s="104"/>
      <c r="C965" s="104"/>
      <c r="D965" s="105"/>
      <c r="E965" s="106"/>
      <c r="F965" s="107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6"/>
    </row>
    <row r="966" ht="15.75" customHeight="1">
      <c r="A966" s="109"/>
      <c r="B966" s="104"/>
      <c r="C966" s="104"/>
      <c r="D966" s="105"/>
      <c r="E966" s="106"/>
      <c r="F966" s="107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6"/>
    </row>
    <row r="967" ht="15.75" customHeight="1">
      <c r="A967" s="109"/>
      <c r="B967" s="104"/>
      <c r="C967" s="104"/>
      <c r="D967" s="105"/>
      <c r="E967" s="106"/>
      <c r="F967" s="107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6"/>
    </row>
    <row r="968" ht="15.75" customHeight="1">
      <c r="A968" s="109"/>
      <c r="B968" s="104"/>
      <c r="C968" s="104"/>
      <c r="D968" s="105"/>
      <c r="E968" s="106"/>
      <c r="F968" s="107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6"/>
    </row>
    <row r="969" ht="15.75" customHeight="1">
      <c r="A969" s="109"/>
      <c r="B969" s="104"/>
      <c r="C969" s="104"/>
      <c r="D969" s="105"/>
      <c r="E969" s="106"/>
      <c r="F969" s="107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6"/>
    </row>
    <row r="970" ht="15.75" customHeight="1">
      <c r="A970" s="109"/>
      <c r="B970" s="104"/>
      <c r="C970" s="104"/>
      <c r="D970" s="105"/>
      <c r="E970" s="106"/>
      <c r="F970" s="107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6"/>
    </row>
    <row r="971" ht="15.75" customHeight="1">
      <c r="A971" s="109"/>
      <c r="B971" s="104"/>
      <c r="C971" s="104"/>
      <c r="D971" s="105"/>
      <c r="E971" s="106"/>
      <c r="F971" s="107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6"/>
    </row>
    <row r="972" ht="15.75" customHeight="1">
      <c r="A972" s="109"/>
      <c r="B972" s="104"/>
      <c r="C972" s="104"/>
      <c r="D972" s="105"/>
      <c r="E972" s="106"/>
      <c r="F972" s="107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6"/>
    </row>
    <row r="973" ht="15.75" customHeight="1">
      <c r="A973" s="109"/>
      <c r="B973" s="104"/>
      <c r="C973" s="104"/>
      <c r="D973" s="105"/>
      <c r="E973" s="106"/>
      <c r="F973" s="107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6"/>
    </row>
    <row r="974" ht="15.75" customHeight="1">
      <c r="A974" s="109"/>
      <c r="B974" s="104"/>
      <c r="C974" s="104"/>
      <c r="D974" s="105"/>
      <c r="E974" s="106"/>
      <c r="F974" s="107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6"/>
    </row>
    <row r="975" ht="15.75" customHeight="1">
      <c r="A975" s="109"/>
      <c r="B975" s="104"/>
      <c r="C975" s="104"/>
      <c r="D975" s="105"/>
      <c r="E975" s="106"/>
      <c r="F975" s="107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6"/>
    </row>
    <row r="976" ht="15.75" customHeight="1">
      <c r="A976" s="109"/>
      <c r="B976" s="104"/>
      <c r="C976" s="104"/>
      <c r="D976" s="105"/>
      <c r="E976" s="106"/>
      <c r="F976" s="107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6"/>
    </row>
    <row r="977" ht="15.75" customHeight="1">
      <c r="A977" s="109"/>
      <c r="B977" s="104"/>
      <c r="C977" s="104"/>
      <c r="D977" s="105"/>
      <c r="E977" s="106"/>
      <c r="F977" s="107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6"/>
    </row>
    <row r="978" ht="15.75" customHeight="1">
      <c r="A978" s="109"/>
      <c r="B978" s="104"/>
      <c r="C978" s="104"/>
      <c r="D978" s="105"/>
      <c r="E978" s="106"/>
      <c r="F978" s="107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6"/>
    </row>
    <row r="979" ht="15.75" customHeight="1">
      <c r="A979" s="109"/>
      <c r="B979" s="104"/>
      <c r="C979" s="104"/>
      <c r="D979" s="105"/>
      <c r="E979" s="106"/>
      <c r="F979" s="107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6"/>
    </row>
    <row r="980" ht="15.75" customHeight="1">
      <c r="A980" s="109"/>
      <c r="B980" s="104"/>
      <c r="C980" s="104"/>
      <c r="D980" s="105"/>
      <c r="E980" s="106"/>
      <c r="F980" s="107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6"/>
    </row>
    <row r="981" ht="15.75" customHeight="1">
      <c r="A981" s="109"/>
      <c r="B981" s="104"/>
      <c r="C981" s="104"/>
      <c r="D981" s="105"/>
      <c r="E981" s="106"/>
      <c r="F981" s="107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6"/>
    </row>
    <row r="982" ht="15.75" customHeight="1">
      <c r="A982" s="109"/>
      <c r="B982" s="104"/>
      <c r="C982" s="104"/>
      <c r="D982" s="105"/>
      <c r="E982" s="106"/>
      <c r="F982" s="107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6"/>
    </row>
    <row r="983" ht="15.75" customHeight="1">
      <c r="A983" s="109"/>
      <c r="B983" s="104"/>
      <c r="C983" s="104"/>
      <c r="D983" s="105"/>
      <c r="E983" s="106"/>
      <c r="F983" s="107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6"/>
    </row>
    <row r="984" ht="15.75" customHeight="1">
      <c r="A984" s="109"/>
      <c r="B984" s="104"/>
      <c r="C984" s="104"/>
      <c r="D984" s="105"/>
      <c r="E984" s="106"/>
      <c r="F984" s="107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6"/>
    </row>
    <row r="985" ht="15.75" customHeight="1">
      <c r="A985" s="109"/>
      <c r="B985" s="104"/>
      <c r="C985" s="104"/>
      <c r="D985" s="105"/>
      <c r="E985" s="106"/>
      <c r="F985" s="107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6"/>
    </row>
    <row r="986" ht="15.75" customHeight="1">
      <c r="A986" s="109"/>
      <c r="B986" s="104"/>
      <c r="C986" s="104"/>
      <c r="D986" s="105"/>
      <c r="E986" s="106"/>
      <c r="F986" s="107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6"/>
    </row>
    <row r="987" ht="15.75" customHeight="1">
      <c r="A987" s="109"/>
      <c r="B987" s="104"/>
      <c r="C987" s="104"/>
      <c r="D987" s="105"/>
      <c r="E987" s="106"/>
      <c r="F987" s="107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6"/>
    </row>
    <row r="988" ht="15.75" customHeight="1">
      <c r="A988" s="109"/>
      <c r="B988" s="104"/>
      <c r="C988" s="104"/>
      <c r="D988" s="105"/>
      <c r="E988" s="106"/>
      <c r="F988" s="107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6"/>
    </row>
    <row r="989" ht="15.75" customHeight="1">
      <c r="A989" s="109"/>
      <c r="B989" s="104"/>
      <c r="C989" s="104"/>
      <c r="D989" s="105"/>
      <c r="E989" s="106"/>
      <c r="F989" s="107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6"/>
    </row>
    <row r="990" ht="15.75" customHeight="1">
      <c r="A990" s="109"/>
      <c r="B990" s="104"/>
      <c r="C990" s="104"/>
      <c r="D990" s="105"/>
      <c r="E990" s="106"/>
      <c r="F990" s="107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6"/>
    </row>
    <row r="991" ht="15.75" customHeight="1">
      <c r="A991" s="109"/>
      <c r="B991" s="104"/>
      <c r="C991" s="104"/>
      <c r="D991" s="105"/>
      <c r="E991" s="106"/>
      <c r="F991" s="107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6"/>
    </row>
    <row r="992" ht="15.75" customHeight="1">
      <c r="A992" s="109"/>
      <c r="B992" s="104"/>
      <c r="C992" s="104"/>
      <c r="D992" s="105"/>
      <c r="E992" s="106"/>
      <c r="F992" s="107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6"/>
    </row>
    <row r="993" ht="15.75" customHeight="1">
      <c r="A993" s="109"/>
      <c r="B993" s="104"/>
      <c r="C993" s="104"/>
      <c r="D993" s="105"/>
      <c r="E993" s="106"/>
      <c r="F993" s="107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6"/>
    </row>
    <row r="994" ht="15.75" customHeight="1">
      <c r="A994" s="109"/>
      <c r="B994" s="104"/>
      <c r="C994" s="104"/>
      <c r="D994" s="105"/>
      <c r="E994" s="106"/>
      <c r="F994" s="107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6"/>
    </row>
    <row r="995" ht="15.75" customHeight="1">
      <c r="A995" s="109"/>
      <c r="B995" s="104"/>
      <c r="C995" s="104"/>
      <c r="D995" s="105"/>
      <c r="E995" s="106"/>
      <c r="F995" s="107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6"/>
    </row>
    <row r="996" ht="15.75" customHeight="1">
      <c r="A996" s="109"/>
      <c r="B996" s="104"/>
      <c r="C996" s="104"/>
      <c r="D996" s="105"/>
      <c r="E996" s="106"/>
      <c r="F996" s="107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6"/>
    </row>
    <row r="997" ht="15.75" customHeight="1">
      <c r="A997" s="109"/>
      <c r="B997" s="104"/>
      <c r="C997" s="104"/>
      <c r="D997" s="105"/>
      <c r="E997" s="106"/>
      <c r="F997" s="107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6"/>
    </row>
    <row r="998" ht="15.75" customHeight="1">
      <c r="A998" s="109"/>
      <c r="B998" s="104"/>
      <c r="C998" s="104"/>
      <c r="D998" s="105"/>
      <c r="E998" s="106"/>
      <c r="F998" s="107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6"/>
    </row>
    <row r="999" ht="15.75" customHeight="1">
      <c r="A999" s="109"/>
      <c r="B999" s="104"/>
      <c r="C999" s="104"/>
      <c r="D999" s="105"/>
      <c r="E999" s="106"/>
      <c r="F999" s="107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6"/>
    </row>
    <row r="1000" ht="15.75" customHeight="1">
      <c r="A1000" s="109"/>
      <c r="B1000" s="104"/>
      <c r="C1000" s="104"/>
      <c r="D1000" s="105"/>
      <c r="E1000" s="106"/>
      <c r="F1000" s="107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6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1.22" defaultRowHeight="15.0"/>
  <cols>
    <col customWidth="1" min="1" max="1" width="22.78"/>
    <col customWidth="1" min="2" max="2" width="16.44"/>
    <col customWidth="1" min="3" max="3" width="13.44"/>
    <col customWidth="1" min="4" max="4" width="14.11"/>
    <col customWidth="1" min="5" max="7" width="16.78"/>
    <col customWidth="1" min="8" max="8" width="17.33"/>
    <col customWidth="1" min="9" max="11" width="16.78"/>
    <col customWidth="1" min="12" max="12" width="20.0"/>
    <col customWidth="1" min="13" max="15" width="16.78"/>
    <col customWidth="1" min="16" max="16" width="22.78"/>
    <col customWidth="1" min="17" max="17" width="20.44"/>
    <col customWidth="1" min="18" max="18" width="98.89"/>
  </cols>
  <sheetData>
    <row r="1" ht="15.75" customHeight="1">
      <c r="A1" s="25" t="s">
        <v>28</v>
      </c>
      <c r="B1" s="26"/>
      <c r="C1" s="26"/>
      <c r="D1" s="27"/>
      <c r="E1" s="28"/>
      <c r="F1" s="29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28"/>
    </row>
    <row r="2" ht="15.75" customHeight="1">
      <c r="A2" s="31" t="s">
        <v>29</v>
      </c>
      <c r="B2" s="26"/>
      <c r="C2" s="26"/>
      <c r="D2" s="27"/>
      <c r="E2" s="28"/>
      <c r="F2" s="29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28"/>
    </row>
    <row r="3" ht="15.75" customHeight="1">
      <c r="A3" s="32" t="s">
        <v>30</v>
      </c>
      <c r="B3" s="26"/>
      <c r="C3" s="26"/>
      <c r="D3" s="27"/>
      <c r="E3" s="28"/>
      <c r="F3" s="29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28"/>
    </row>
    <row r="4" ht="21.75" customHeight="1">
      <c r="A4" s="33" t="s">
        <v>31</v>
      </c>
      <c r="B4" s="136" t="s">
        <v>138</v>
      </c>
      <c r="C4" s="26"/>
      <c r="D4" s="27"/>
      <c r="E4" s="28"/>
      <c r="F4" s="29"/>
      <c r="G4" s="30"/>
      <c r="H4" s="30"/>
      <c r="I4" s="35"/>
      <c r="J4" s="30"/>
      <c r="K4" s="30"/>
      <c r="L4" s="30"/>
      <c r="M4" s="30"/>
      <c r="N4" s="30"/>
      <c r="O4" s="30"/>
      <c r="P4" s="30"/>
      <c r="Q4" s="30"/>
      <c r="R4" s="28"/>
    </row>
    <row r="5" ht="24.0" customHeight="1">
      <c r="A5" s="36"/>
      <c r="B5" s="37" t="s">
        <v>32</v>
      </c>
      <c r="C5" s="38">
        <v>16.0</v>
      </c>
      <c r="D5" s="27"/>
      <c r="E5" s="28"/>
      <c r="F5" s="29"/>
      <c r="G5" s="30"/>
      <c r="H5" s="39"/>
      <c r="I5" s="35" t="s">
        <v>33</v>
      </c>
      <c r="J5" s="30"/>
      <c r="K5" s="30"/>
      <c r="L5" s="30"/>
      <c r="M5" s="30"/>
      <c r="N5" s="30"/>
      <c r="O5" s="30"/>
      <c r="P5" s="30"/>
      <c r="Q5" s="30"/>
      <c r="R5" s="39"/>
    </row>
    <row r="6" ht="15.75" customHeight="1">
      <c r="A6" s="40"/>
      <c r="B6" s="26"/>
      <c r="C6" s="26"/>
      <c r="D6" s="27"/>
      <c r="E6" s="28"/>
      <c r="F6" s="29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28"/>
    </row>
    <row r="7" ht="15.75" customHeight="1">
      <c r="A7" s="40"/>
      <c r="B7" s="26"/>
      <c r="C7" s="26"/>
      <c r="D7" s="27"/>
      <c r="E7" s="28"/>
      <c r="F7" s="29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28"/>
    </row>
    <row r="8" ht="15.75" customHeight="1">
      <c r="A8" s="40"/>
      <c r="B8" s="26"/>
      <c r="C8" s="26"/>
      <c r="D8" s="27"/>
      <c r="E8" s="28"/>
      <c r="F8" s="29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28"/>
    </row>
    <row r="9" ht="15.75" customHeight="1">
      <c r="A9" s="40"/>
      <c r="B9" s="26"/>
      <c r="C9" s="26"/>
      <c r="D9" s="27"/>
      <c r="E9" s="28"/>
      <c r="F9" s="29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28"/>
    </row>
    <row r="10" ht="78.75" customHeight="1">
      <c r="A10" s="41" t="s">
        <v>34</v>
      </c>
      <c r="B10" s="42" t="s">
        <v>35</v>
      </c>
      <c r="C10" s="42" t="s">
        <v>36</v>
      </c>
      <c r="D10" s="42" t="s">
        <v>37</v>
      </c>
      <c r="E10" s="43" t="s">
        <v>38</v>
      </c>
      <c r="F10" s="44" t="s">
        <v>39</v>
      </c>
      <c r="G10" s="45" t="s">
        <v>40</v>
      </c>
      <c r="H10" s="45" t="s">
        <v>41</v>
      </c>
      <c r="I10" s="45" t="s">
        <v>42</v>
      </c>
      <c r="J10" s="45" t="s">
        <v>43</v>
      </c>
      <c r="K10" s="45" t="s">
        <v>44</v>
      </c>
      <c r="L10" s="45" t="s">
        <v>45</v>
      </c>
      <c r="M10" s="45" t="s">
        <v>46</v>
      </c>
      <c r="N10" s="45" t="s">
        <v>43</v>
      </c>
      <c r="O10" s="45" t="s">
        <v>44</v>
      </c>
      <c r="P10" s="46" t="s">
        <v>47</v>
      </c>
      <c r="Q10" s="46" t="s">
        <v>131</v>
      </c>
      <c r="R10" s="44" t="s">
        <v>49</v>
      </c>
    </row>
    <row r="11" ht="15.75" customHeight="1">
      <c r="A11" s="150">
        <v>45662.0</v>
      </c>
      <c r="B11" s="151"/>
      <c r="C11" s="152" t="str">
        <f t="shared" ref="C11:C75" si="1">IF(B11=0,"",B11/C$5)</f>
        <v/>
      </c>
      <c r="D11" s="153"/>
      <c r="E11" s="154" t="str">
        <f t="shared" ref="E11:E14" si="2">IFERROR(D11/B11,"")</f>
        <v/>
      </c>
      <c r="F11" s="153"/>
      <c r="G11" s="155" t="str">
        <f t="shared" ref="G11:G75" si="3">IFERROR(F11/D11,"")</f>
        <v/>
      </c>
      <c r="H11" s="156"/>
      <c r="I11" s="156"/>
      <c r="J11" s="154"/>
      <c r="K11" s="152"/>
      <c r="L11" s="156"/>
      <c r="M11" s="156"/>
      <c r="N11" s="152"/>
      <c r="O11" s="152"/>
      <c r="P11" s="156"/>
      <c r="Q11" s="156"/>
      <c r="R11" s="157" t="s">
        <v>132</v>
      </c>
    </row>
    <row r="12" ht="15.75" customHeight="1">
      <c r="A12" s="158">
        <f t="shared" ref="A12:A14" si="4">A11+7</f>
        <v>45669</v>
      </c>
      <c r="B12" s="151"/>
      <c r="C12" s="152" t="str">
        <f t="shared" si="1"/>
        <v/>
      </c>
      <c r="D12" s="153"/>
      <c r="E12" s="154" t="str">
        <f t="shared" si="2"/>
        <v/>
      </c>
      <c r="F12" s="153"/>
      <c r="G12" s="155" t="str">
        <f t="shared" si="3"/>
        <v/>
      </c>
      <c r="H12" s="159"/>
      <c r="I12" s="159"/>
      <c r="J12" s="154"/>
      <c r="K12" s="152"/>
      <c r="L12" s="159"/>
      <c r="M12" s="159"/>
      <c r="N12" s="152"/>
      <c r="O12" s="152"/>
      <c r="P12" s="159"/>
      <c r="Q12" s="159"/>
      <c r="R12" s="160"/>
    </row>
    <row r="13" ht="15.75" customHeight="1">
      <c r="A13" s="158">
        <f t="shared" si="4"/>
        <v>45676</v>
      </c>
      <c r="B13" s="151"/>
      <c r="C13" s="152" t="str">
        <f t="shared" si="1"/>
        <v/>
      </c>
      <c r="D13" s="153"/>
      <c r="E13" s="154" t="str">
        <f t="shared" si="2"/>
        <v/>
      </c>
      <c r="F13" s="153"/>
      <c r="G13" s="155" t="str">
        <f t="shared" si="3"/>
        <v/>
      </c>
      <c r="H13" s="159"/>
      <c r="I13" s="159"/>
      <c r="J13" s="154"/>
      <c r="K13" s="152"/>
      <c r="L13" s="159"/>
      <c r="M13" s="159"/>
      <c r="N13" s="152"/>
      <c r="O13" s="152"/>
      <c r="P13" s="159"/>
      <c r="Q13" s="159"/>
      <c r="R13" s="160"/>
    </row>
    <row r="14" ht="15.75" customHeight="1">
      <c r="A14" s="158">
        <f t="shared" si="4"/>
        <v>45683</v>
      </c>
      <c r="B14" s="151"/>
      <c r="C14" s="152" t="str">
        <f t="shared" si="1"/>
        <v/>
      </c>
      <c r="D14" s="153"/>
      <c r="E14" s="154" t="str">
        <f t="shared" si="2"/>
        <v/>
      </c>
      <c r="F14" s="153"/>
      <c r="G14" s="155" t="str">
        <f t="shared" si="3"/>
        <v/>
      </c>
      <c r="H14" s="161"/>
      <c r="I14" s="161"/>
      <c r="J14" s="154"/>
      <c r="K14" s="152"/>
      <c r="L14" s="159"/>
      <c r="M14" s="159"/>
      <c r="N14" s="152"/>
      <c r="O14" s="152"/>
      <c r="P14" s="159"/>
      <c r="Q14" s="159"/>
      <c r="R14" s="160"/>
    </row>
    <row r="15" ht="15.75" customHeight="1">
      <c r="A15" s="158" t="s">
        <v>51</v>
      </c>
      <c r="B15" s="151"/>
      <c r="C15" s="152" t="str">
        <f t="shared" si="1"/>
        <v/>
      </c>
      <c r="D15" s="153"/>
      <c r="E15" s="162"/>
      <c r="F15" s="153"/>
      <c r="G15" s="163" t="str">
        <f t="shared" si="3"/>
        <v/>
      </c>
      <c r="H15" s="153"/>
      <c r="I15" s="153"/>
      <c r="J15" s="154" t="str">
        <f>IF(H15=0,"",H15-I15)</f>
        <v/>
      </c>
      <c r="K15" s="152" t="str">
        <f>IFERROR((H15-I15)/H15,"")</f>
        <v/>
      </c>
      <c r="L15" s="153"/>
      <c r="M15" s="153"/>
      <c r="N15" s="154" t="str">
        <f>IF(L15=0,"",L15-M15)</f>
        <v/>
      </c>
      <c r="O15" s="152" t="str">
        <f>IFERROR((L15-M15)/L15,"")</f>
        <v/>
      </c>
      <c r="P15" s="154">
        <f t="shared" ref="P15:Q15" si="5">H15-L15</f>
        <v>0</v>
      </c>
      <c r="Q15" s="154">
        <f t="shared" si="5"/>
        <v>0</v>
      </c>
      <c r="R15" s="160"/>
    </row>
    <row r="16" ht="15.75" customHeight="1">
      <c r="A16" s="158">
        <f>A14+7</f>
        <v>45690</v>
      </c>
      <c r="B16" s="151"/>
      <c r="C16" s="152" t="str">
        <f t="shared" si="1"/>
        <v/>
      </c>
      <c r="D16" s="153"/>
      <c r="E16" s="154" t="str">
        <f t="shared" ref="E16:E19" si="6">IFERROR(D16/B16,"")</f>
        <v/>
      </c>
      <c r="F16" s="153"/>
      <c r="G16" s="164" t="str">
        <f t="shared" si="3"/>
        <v/>
      </c>
      <c r="H16" s="165"/>
      <c r="I16" s="166"/>
      <c r="J16" s="167"/>
      <c r="K16" s="168"/>
      <c r="L16" s="166"/>
      <c r="M16" s="166"/>
      <c r="N16" s="169"/>
      <c r="O16" s="152"/>
      <c r="P16" s="166"/>
      <c r="Q16" s="166"/>
      <c r="R16" s="160"/>
    </row>
    <row r="17" ht="15.75" customHeight="1">
      <c r="A17" s="158">
        <f t="shared" ref="A17:A19" si="7">A16+7</f>
        <v>45697</v>
      </c>
      <c r="B17" s="151"/>
      <c r="C17" s="152" t="str">
        <f t="shared" si="1"/>
        <v/>
      </c>
      <c r="D17" s="153"/>
      <c r="E17" s="154" t="str">
        <f t="shared" si="6"/>
        <v/>
      </c>
      <c r="F17" s="153"/>
      <c r="G17" s="155" t="str">
        <f t="shared" si="3"/>
        <v/>
      </c>
      <c r="H17" s="170"/>
      <c r="I17" s="170"/>
      <c r="J17" s="154"/>
      <c r="K17" s="152"/>
      <c r="L17" s="170"/>
      <c r="M17" s="170"/>
      <c r="N17" s="152"/>
      <c r="O17" s="152"/>
      <c r="P17" s="170"/>
      <c r="Q17" s="170"/>
      <c r="R17" s="160"/>
    </row>
    <row r="18" ht="15.75" customHeight="1">
      <c r="A18" s="158">
        <f t="shared" si="7"/>
        <v>45704</v>
      </c>
      <c r="B18" s="151"/>
      <c r="C18" s="152" t="str">
        <f t="shared" si="1"/>
        <v/>
      </c>
      <c r="D18" s="153"/>
      <c r="E18" s="154" t="str">
        <f t="shared" si="6"/>
        <v/>
      </c>
      <c r="F18" s="153"/>
      <c r="G18" s="155" t="str">
        <f t="shared" si="3"/>
        <v/>
      </c>
      <c r="H18" s="159"/>
      <c r="I18" s="159"/>
      <c r="J18" s="154"/>
      <c r="K18" s="152"/>
      <c r="L18" s="159"/>
      <c r="M18" s="159"/>
      <c r="N18" s="152"/>
      <c r="O18" s="152"/>
      <c r="P18" s="159"/>
      <c r="Q18" s="159"/>
      <c r="R18" s="160"/>
    </row>
    <row r="19" ht="15.75" customHeight="1">
      <c r="A19" s="158">
        <f t="shared" si="7"/>
        <v>45711</v>
      </c>
      <c r="B19" s="171"/>
      <c r="C19" s="152" t="str">
        <f t="shared" si="1"/>
        <v/>
      </c>
      <c r="D19" s="154"/>
      <c r="E19" s="154" t="str">
        <f t="shared" si="6"/>
        <v/>
      </c>
      <c r="F19" s="154"/>
      <c r="G19" s="155" t="str">
        <f t="shared" si="3"/>
        <v/>
      </c>
      <c r="H19" s="161"/>
      <c r="I19" s="161"/>
      <c r="J19" s="154"/>
      <c r="K19" s="152"/>
      <c r="L19" s="159"/>
      <c r="M19" s="159"/>
      <c r="N19" s="152"/>
      <c r="O19" s="152"/>
      <c r="P19" s="159"/>
      <c r="Q19" s="159"/>
      <c r="R19" s="160"/>
    </row>
    <row r="20" ht="15.75" customHeight="1">
      <c r="A20" s="158" t="s">
        <v>51</v>
      </c>
      <c r="B20" s="151"/>
      <c r="C20" s="152" t="str">
        <f t="shared" si="1"/>
        <v/>
      </c>
      <c r="D20" s="153"/>
      <c r="E20" s="154"/>
      <c r="F20" s="153"/>
      <c r="G20" s="163" t="str">
        <f t="shared" si="3"/>
        <v/>
      </c>
      <c r="H20" s="154"/>
      <c r="I20" s="153"/>
      <c r="J20" s="154" t="str">
        <f>IF(H20=0,"",H20-I20)</f>
        <v/>
      </c>
      <c r="K20" s="152" t="str">
        <f>IFERROR((H20-I20)/H20,"")</f>
        <v/>
      </c>
      <c r="L20" s="154"/>
      <c r="M20" s="153"/>
      <c r="N20" s="154" t="str">
        <f>IF(L20=0,"",L20-M20)</f>
        <v/>
      </c>
      <c r="O20" s="152" t="str">
        <f>IFERROR((L20-M20)/L20,"")</f>
        <v/>
      </c>
      <c r="P20" s="154">
        <f t="shared" ref="P20:Q20" si="8">H20-L20</f>
        <v>0</v>
      </c>
      <c r="Q20" s="154">
        <f t="shared" si="8"/>
        <v>0</v>
      </c>
      <c r="R20" s="160"/>
    </row>
    <row r="21" ht="15.75" customHeight="1">
      <c r="A21" s="158">
        <f>A19+7</f>
        <v>45718</v>
      </c>
      <c r="B21" s="171"/>
      <c r="C21" s="152" t="str">
        <f t="shared" si="1"/>
        <v/>
      </c>
      <c r="D21" s="154"/>
      <c r="E21" s="154" t="str">
        <f t="shared" ref="E21:E25" si="9">IFERROR(D21/B21,"")</f>
        <v/>
      </c>
      <c r="F21" s="154"/>
      <c r="G21" s="163" t="str">
        <f t="shared" si="3"/>
        <v/>
      </c>
      <c r="H21" s="172"/>
      <c r="I21" s="173"/>
      <c r="J21" s="154"/>
      <c r="K21" s="168"/>
      <c r="L21" s="165"/>
      <c r="M21" s="166"/>
      <c r="N21" s="169"/>
      <c r="O21" s="152"/>
      <c r="P21" s="165"/>
      <c r="Q21" s="166"/>
      <c r="R21" s="160"/>
    </row>
    <row r="22" ht="15.75" customHeight="1">
      <c r="A22" s="158">
        <f t="shared" ref="A22:A25" si="10">A21+7</f>
        <v>45725</v>
      </c>
      <c r="B22" s="171"/>
      <c r="C22" s="152" t="str">
        <f t="shared" si="1"/>
        <v/>
      </c>
      <c r="D22" s="154"/>
      <c r="E22" s="154" t="str">
        <f t="shared" si="9"/>
        <v/>
      </c>
      <c r="F22" s="154"/>
      <c r="G22" s="155" t="str">
        <f t="shared" si="3"/>
        <v/>
      </c>
      <c r="H22" s="170"/>
      <c r="I22" s="170"/>
      <c r="J22" s="154"/>
      <c r="K22" s="152"/>
      <c r="L22" s="170"/>
      <c r="M22" s="170"/>
      <c r="N22" s="152"/>
      <c r="O22" s="152"/>
      <c r="P22" s="170"/>
      <c r="Q22" s="170"/>
      <c r="R22" s="160"/>
    </row>
    <row r="23" ht="15.75" customHeight="1">
      <c r="A23" s="158">
        <f t="shared" si="10"/>
        <v>45732</v>
      </c>
      <c r="B23" s="171"/>
      <c r="C23" s="152" t="str">
        <f t="shared" si="1"/>
        <v/>
      </c>
      <c r="D23" s="154"/>
      <c r="E23" s="154" t="str">
        <f t="shared" si="9"/>
        <v/>
      </c>
      <c r="F23" s="154"/>
      <c r="G23" s="155" t="str">
        <f t="shared" si="3"/>
        <v/>
      </c>
      <c r="H23" s="159"/>
      <c r="I23" s="159"/>
      <c r="J23" s="154"/>
      <c r="K23" s="152"/>
      <c r="L23" s="159"/>
      <c r="M23" s="159"/>
      <c r="N23" s="152"/>
      <c r="O23" s="152"/>
      <c r="P23" s="159"/>
      <c r="Q23" s="159"/>
      <c r="R23" s="160"/>
    </row>
    <row r="24" ht="15.75" customHeight="1">
      <c r="A24" s="158">
        <f t="shared" si="10"/>
        <v>45739</v>
      </c>
      <c r="B24" s="171"/>
      <c r="C24" s="152" t="str">
        <f t="shared" si="1"/>
        <v/>
      </c>
      <c r="D24" s="154"/>
      <c r="E24" s="154" t="str">
        <f t="shared" si="9"/>
        <v/>
      </c>
      <c r="F24" s="154"/>
      <c r="G24" s="155" t="str">
        <f t="shared" si="3"/>
        <v/>
      </c>
      <c r="H24" s="159"/>
      <c r="I24" s="159"/>
      <c r="J24" s="154"/>
      <c r="K24" s="152"/>
      <c r="L24" s="159"/>
      <c r="M24" s="159"/>
      <c r="N24" s="152"/>
      <c r="O24" s="152"/>
      <c r="P24" s="159"/>
      <c r="Q24" s="159"/>
      <c r="R24" s="160"/>
    </row>
    <row r="25" ht="15.75" customHeight="1">
      <c r="A25" s="158">
        <f t="shared" si="10"/>
        <v>45746</v>
      </c>
      <c r="B25" s="171"/>
      <c r="C25" s="152" t="str">
        <f t="shared" si="1"/>
        <v/>
      </c>
      <c r="D25" s="154"/>
      <c r="E25" s="154" t="str">
        <f t="shared" si="9"/>
        <v/>
      </c>
      <c r="F25" s="154"/>
      <c r="G25" s="155" t="str">
        <f t="shared" si="3"/>
        <v/>
      </c>
      <c r="H25" s="174"/>
      <c r="I25" s="174"/>
      <c r="J25" s="154"/>
      <c r="K25" s="152"/>
      <c r="L25" s="174"/>
      <c r="M25" s="174"/>
      <c r="N25" s="152"/>
      <c r="O25" s="152"/>
      <c r="P25" s="174"/>
      <c r="Q25" s="174"/>
      <c r="R25" s="160"/>
    </row>
    <row r="26" ht="15.75" customHeight="1">
      <c r="A26" s="158" t="s">
        <v>51</v>
      </c>
      <c r="B26" s="151"/>
      <c r="C26" s="152" t="str">
        <f t="shared" si="1"/>
        <v/>
      </c>
      <c r="D26" s="153"/>
      <c r="E26" s="154"/>
      <c r="F26" s="153"/>
      <c r="G26" s="163" t="str">
        <f t="shared" si="3"/>
        <v/>
      </c>
      <c r="H26" s="159"/>
      <c r="I26" s="153"/>
      <c r="J26" s="154" t="str">
        <f>IF(H26=0,"",H26-I26)</f>
        <v/>
      </c>
      <c r="K26" s="152" t="str">
        <f>IFERROR((H26-I26)/H26,"")</f>
        <v/>
      </c>
      <c r="L26" s="159"/>
      <c r="M26" s="153"/>
      <c r="N26" s="154" t="str">
        <f>IF(L26=0,"",L26-M26)</f>
        <v/>
      </c>
      <c r="O26" s="152" t="str">
        <f>IFERROR((L26-M26)/L26,"")</f>
        <v/>
      </c>
      <c r="P26" s="159">
        <f t="shared" ref="P26:Q26" si="11">H26-L26</f>
        <v>0</v>
      </c>
      <c r="Q26" s="159">
        <f t="shared" si="11"/>
        <v>0</v>
      </c>
      <c r="R26" s="160"/>
    </row>
    <row r="27" ht="15.75" customHeight="1">
      <c r="A27" s="57">
        <f>A25+7</f>
        <v>45753</v>
      </c>
      <c r="B27" s="48">
        <v>14.0</v>
      </c>
      <c r="C27" s="49">
        <f t="shared" si="1"/>
        <v>0.875</v>
      </c>
      <c r="D27" s="50">
        <v>12974.0</v>
      </c>
      <c r="E27" s="51">
        <f t="shared" ref="E27:E32" si="12">D27/B27</f>
        <v>926.7142857</v>
      </c>
      <c r="F27" s="50">
        <v>10150.0</v>
      </c>
      <c r="G27" s="52">
        <f t="shared" si="3"/>
        <v>0.7823338986</v>
      </c>
      <c r="H27" s="53"/>
      <c r="I27" s="53"/>
      <c r="J27" s="54"/>
      <c r="K27" s="55"/>
      <c r="L27" s="53"/>
      <c r="M27" s="53"/>
      <c r="N27" s="55"/>
      <c r="O27" s="55"/>
      <c r="P27" s="53"/>
      <c r="Q27" s="53"/>
      <c r="R27" s="59"/>
    </row>
    <row r="28" ht="15.75" customHeight="1">
      <c r="A28" s="57">
        <f t="shared" ref="A28:A30" si="13">A27+7</f>
        <v>45760</v>
      </c>
      <c r="B28" s="48">
        <v>14.0</v>
      </c>
      <c r="C28" s="49">
        <f t="shared" si="1"/>
        <v>0.875</v>
      </c>
      <c r="D28" s="50">
        <v>12974.0</v>
      </c>
      <c r="E28" s="51">
        <f t="shared" si="12"/>
        <v>926.7142857</v>
      </c>
      <c r="F28" s="50">
        <v>11100.0</v>
      </c>
      <c r="G28" s="52">
        <f t="shared" si="3"/>
        <v>0.8555572684</v>
      </c>
      <c r="H28" s="58"/>
      <c r="I28" s="58"/>
      <c r="J28" s="54"/>
      <c r="K28" s="55"/>
      <c r="L28" s="58"/>
      <c r="M28" s="58"/>
      <c r="N28" s="55"/>
      <c r="O28" s="55"/>
      <c r="P28" s="58"/>
      <c r="Q28" s="58"/>
      <c r="R28" s="59"/>
    </row>
    <row r="29" ht="15.75" customHeight="1">
      <c r="A29" s="57">
        <f t="shared" si="13"/>
        <v>45767</v>
      </c>
      <c r="B29" s="48">
        <v>14.0</v>
      </c>
      <c r="C29" s="49">
        <f t="shared" si="1"/>
        <v>0.875</v>
      </c>
      <c r="D29" s="50">
        <v>12974.0</v>
      </c>
      <c r="E29" s="51">
        <f t="shared" si="12"/>
        <v>926.7142857</v>
      </c>
      <c r="F29" s="50">
        <v>11100.0</v>
      </c>
      <c r="G29" s="52">
        <f t="shared" si="3"/>
        <v>0.8555572684</v>
      </c>
      <c r="H29" s="58"/>
      <c r="I29" s="58"/>
      <c r="J29" s="54"/>
      <c r="K29" s="55"/>
      <c r="L29" s="58"/>
      <c r="M29" s="58"/>
      <c r="N29" s="55"/>
      <c r="O29" s="55"/>
      <c r="P29" s="58"/>
      <c r="Q29" s="58"/>
      <c r="R29" s="59"/>
    </row>
    <row r="30" ht="15.75" customHeight="1">
      <c r="A30" s="85">
        <f t="shared" si="13"/>
        <v>45774</v>
      </c>
      <c r="B30" s="48">
        <v>14.0</v>
      </c>
      <c r="C30" s="49">
        <f t="shared" si="1"/>
        <v>0.875</v>
      </c>
      <c r="D30" s="50">
        <v>12974.0</v>
      </c>
      <c r="E30" s="51">
        <f t="shared" si="12"/>
        <v>926.7142857</v>
      </c>
      <c r="F30" s="50">
        <v>11100.0</v>
      </c>
      <c r="G30" s="52">
        <f t="shared" si="3"/>
        <v>0.8555572684</v>
      </c>
      <c r="H30" s="82"/>
      <c r="I30" s="82"/>
      <c r="J30" s="54"/>
      <c r="K30" s="55"/>
      <c r="L30" s="82"/>
      <c r="M30" s="82"/>
      <c r="N30" s="55"/>
      <c r="O30" s="55"/>
      <c r="P30" s="82"/>
      <c r="Q30" s="82"/>
      <c r="R30" s="59"/>
    </row>
    <row r="31" ht="15.75" customHeight="1">
      <c r="A31" s="61" t="s">
        <v>51</v>
      </c>
      <c r="B31" s="62">
        <v>14.0</v>
      </c>
      <c r="C31" s="63">
        <f t="shared" si="1"/>
        <v>0.875</v>
      </c>
      <c r="D31" s="64">
        <v>12974.0</v>
      </c>
      <c r="E31" s="70">
        <f t="shared" si="12"/>
        <v>926.7142857</v>
      </c>
      <c r="F31" s="64">
        <v>12974.0</v>
      </c>
      <c r="G31" s="66">
        <f t="shared" si="3"/>
        <v>1</v>
      </c>
      <c r="H31" s="83">
        <v>14204.0</v>
      </c>
      <c r="I31" s="67">
        <v>13000.0</v>
      </c>
      <c r="J31" s="68">
        <f>IF(H31=0,"",H31-I31)</f>
        <v>1204</v>
      </c>
      <c r="K31" s="69">
        <f>IFERROR((H31-I31)/H31,"")</f>
        <v>0.08476485497</v>
      </c>
      <c r="L31" s="83">
        <v>11556.0</v>
      </c>
      <c r="M31" s="67">
        <v>13150.0</v>
      </c>
      <c r="N31" s="68">
        <f>IF(L31=0,"",L31-M31)</f>
        <v>-1594</v>
      </c>
      <c r="O31" s="69">
        <f>IFERROR((L31-M31)/L31,"")</f>
        <v>-0.1379370024</v>
      </c>
      <c r="P31" s="84">
        <f t="shared" ref="P31:Q31" si="14">H31-L31</f>
        <v>2648</v>
      </c>
      <c r="Q31" s="84">
        <f t="shared" si="14"/>
        <v>-150</v>
      </c>
      <c r="R31" s="87"/>
    </row>
    <row r="32" ht="15.75" customHeight="1">
      <c r="A32" s="57">
        <f>A30+7</f>
        <v>45781</v>
      </c>
      <c r="B32" s="48">
        <v>15.0</v>
      </c>
      <c r="C32" s="49">
        <f t="shared" si="1"/>
        <v>0.9375</v>
      </c>
      <c r="D32" s="50">
        <v>14074.0</v>
      </c>
      <c r="E32" s="149">
        <f t="shared" si="12"/>
        <v>938.2666667</v>
      </c>
      <c r="F32" s="50">
        <v>12810.0</v>
      </c>
      <c r="G32" s="52">
        <f t="shared" si="3"/>
        <v>0.910189001</v>
      </c>
      <c r="H32" s="53"/>
      <c r="I32" s="53"/>
      <c r="J32" s="54"/>
      <c r="K32" s="55"/>
      <c r="L32" s="53"/>
      <c r="M32" s="53"/>
      <c r="N32" s="55"/>
      <c r="O32" s="55"/>
      <c r="P32" s="53"/>
      <c r="Q32" s="53"/>
      <c r="R32" s="59"/>
    </row>
    <row r="33" ht="15.75" customHeight="1">
      <c r="A33" s="57">
        <f t="shared" ref="A33:A35" si="15">A32+7</f>
        <v>45788</v>
      </c>
      <c r="B33" s="48">
        <v>15.0</v>
      </c>
      <c r="C33" s="49">
        <f t="shared" si="1"/>
        <v>0.9375</v>
      </c>
      <c r="D33" s="50">
        <v>14074.0</v>
      </c>
      <c r="E33" s="51">
        <f t="shared" ref="E33:E35" si="16">IFERROR(D33/B33,"")</f>
        <v>938.2666667</v>
      </c>
      <c r="F33" s="50">
        <v>12899.0</v>
      </c>
      <c r="G33" s="52">
        <f t="shared" si="3"/>
        <v>0.9165127185</v>
      </c>
      <c r="H33" s="58"/>
      <c r="I33" s="58"/>
      <c r="J33" s="54"/>
      <c r="K33" s="55"/>
      <c r="L33" s="58"/>
      <c r="M33" s="58"/>
      <c r="N33" s="55"/>
      <c r="O33" s="55"/>
      <c r="P33" s="58"/>
      <c r="Q33" s="58"/>
      <c r="R33" s="86"/>
    </row>
    <row r="34" ht="15.75" customHeight="1">
      <c r="A34" s="57">
        <f t="shared" si="15"/>
        <v>45795</v>
      </c>
      <c r="B34" s="48">
        <v>15.0</v>
      </c>
      <c r="C34" s="49">
        <f t="shared" si="1"/>
        <v>0.9375</v>
      </c>
      <c r="D34" s="50">
        <v>14074.0</v>
      </c>
      <c r="E34" s="51">
        <f t="shared" si="16"/>
        <v>938.2666667</v>
      </c>
      <c r="F34" s="50">
        <v>15249.0</v>
      </c>
      <c r="G34" s="52">
        <f t="shared" si="3"/>
        <v>1.083487282</v>
      </c>
      <c r="H34" s="58"/>
      <c r="I34" s="58"/>
      <c r="J34" s="54"/>
      <c r="K34" s="55"/>
      <c r="L34" s="58"/>
      <c r="M34" s="58"/>
      <c r="N34" s="55"/>
      <c r="O34" s="55"/>
      <c r="P34" s="58"/>
      <c r="Q34" s="58"/>
      <c r="R34" s="86"/>
    </row>
    <row r="35" ht="15.75" customHeight="1">
      <c r="A35" s="57">
        <f t="shared" si="15"/>
        <v>45802</v>
      </c>
      <c r="B35" s="48">
        <v>15.0</v>
      </c>
      <c r="C35" s="49">
        <f t="shared" si="1"/>
        <v>0.9375</v>
      </c>
      <c r="D35" s="50">
        <v>14074.0</v>
      </c>
      <c r="E35" s="51">
        <f t="shared" si="16"/>
        <v>938.2666667</v>
      </c>
      <c r="F35" s="50">
        <v>15249.0</v>
      </c>
      <c r="G35" s="52">
        <f t="shared" si="3"/>
        <v>1.083487282</v>
      </c>
      <c r="H35" s="60"/>
      <c r="I35" s="60"/>
      <c r="J35" s="54"/>
      <c r="K35" s="55"/>
      <c r="L35" s="58"/>
      <c r="M35" s="58"/>
      <c r="N35" s="55"/>
      <c r="O35" s="55"/>
      <c r="P35" s="58"/>
      <c r="Q35" s="58"/>
      <c r="R35" s="86"/>
    </row>
    <row r="36" ht="15.75" customHeight="1">
      <c r="A36" s="61" t="s">
        <v>51</v>
      </c>
      <c r="B36" s="62">
        <v>15.0</v>
      </c>
      <c r="C36" s="63">
        <f t="shared" si="1"/>
        <v>0.9375</v>
      </c>
      <c r="D36" s="64">
        <v>14000.0</v>
      </c>
      <c r="E36" s="70">
        <f>D36/B36</f>
        <v>933.3333333</v>
      </c>
      <c r="F36" s="64">
        <v>14000.0</v>
      </c>
      <c r="G36" s="66">
        <f t="shared" si="3"/>
        <v>1</v>
      </c>
      <c r="H36" s="67">
        <v>17500.0</v>
      </c>
      <c r="I36" s="67">
        <v>14000.0</v>
      </c>
      <c r="J36" s="68">
        <f>IF(H36=0,"",H36-I36)</f>
        <v>3500</v>
      </c>
      <c r="K36" s="69">
        <f>IFERROR((H36-I36)/H36,"")</f>
        <v>0.2</v>
      </c>
      <c r="L36" s="67">
        <v>14025.0</v>
      </c>
      <c r="M36" s="67">
        <v>13150.0</v>
      </c>
      <c r="N36" s="68">
        <f>IF(L36=0,"",L36-M36)</f>
        <v>875</v>
      </c>
      <c r="O36" s="69">
        <f>IFERROR((L36-M36)/L36,"")</f>
        <v>0.0623885918</v>
      </c>
      <c r="P36" s="70">
        <f t="shared" ref="P36:Q36" si="17">H36-L36</f>
        <v>3475</v>
      </c>
      <c r="Q36" s="70">
        <f t="shared" si="17"/>
        <v>850</v>
      </c>
      <c r="R36" s="87"/>
    </row>
    <row r="37" ht="15.75" customHeight="1">
      <c r="A37" s="57">
        <f>A35+7</f>
        <v>45809</v>
      </c>
      <c r="B37" s="48">
        <v>16.0</v>
      </c>
      <c r="C37" s="49">
        <f t="shared" si="1"/>
        <v>1</v>
      </c>
      <c r="D37" s="50">
        <v>15274.0</v>
      </c>
      <c r="E37" s="51">
        <f t="shared" ref="E37:E41" si="18">IFERROR(D37/B37,"")</f>
        <v>954.625</v>
      </c>
      <c r="F37" s="50">
        <v>5526.0</v>
      </c>
      <c r="G37" s="72">
        <f t="shared" si="3"/>
        <v>0.3617912793</v>
      </c>
      <c r="H37" s="74"/>
      <c r="I37" s="80"/>
      <c r="J37" s="75"/>
      <c r="K37" s="55"/>
      <c r="L37" s="60"/>
      <c r="M37" s="60"/>
      <c r="N37" s="55"/>
      <c r="O37" s="55"/>
      <c r="P37" s="60"/>
      <c r="Q37" s="60"/>
      <c r="R37" s="86"/>
    </row>
    <row r="38" ht="15.75" customHeight="1">
      <c r="A38" s="57">
        <f t="shared" ref="A38:A41" si="19">A37+7</f>
        <v>45816</v>
      </c>
      <c r="B38" s="48">
        <v>16.0</v>
      </c>
      <c r="C38" s="49">
        <f t="shared" si="1"/>
        <v>1</v>
      </c>
      <c r="D38" s="50">
        <v>15274.0</v>
      </c>
      <c r="E38" s="51">
        <f t="shared" si="18"/>
        <v>954.625</v>
      </c>
      <c r="F38" s="50">
        <v>15188.0</v>
      </c>
      <c r="G38" s="52">
        <f t="shared" si="3"/>
        <v>0.9943695168</v>
      </c>
      <c r="H38" s="78"/>
      <c r="I38" s="78"/>
      <c r="J38" s="54"/>
      <c r="K38" s="76"/>
      <c r="L38" s="74"/>
      <c r="M38" s="74"/>
      <c r="N38" s="77"/>
      <c r="O38" s="55"/>
      <c r="P38" s="74"/>
      <c r="Q38" s="74"/>
      <c r="R38" s="86"/>
    </row>
    <row r="39" ht="15.75" customHeight="1">
      <c r="A39" s="57">
        <f t="shared" si="19"/>
        <v>45823</v>
      </c>
      <c r="B39" s="48">
        <v>16.0</v>
      </c>
      <c r="C39" s="49">
        <f t="shared" si="1"/>
        <v>1</v>
      </c>
      <c r="D39" s="50">
        <v>15274.0</v>
      </c>
      <c r="E39" s="51">
        <f t="shared" si="18"/>
        <v>954.625</v>
      </c>
      <c r="F39" s="50">
        <v>15274.0</v>
      </c>
      <c r="G39" s="52">
        <f t="shared" si="3"/>
        <v>1</v>
      </c>
      <c r="H39" s="58"/>
      <c r="I39" s="58"/>
      <c r="J39" s="54"/>
      <c r="K39" s="55"/>
      <c r="L39" s="78"/>
      <c r="M39" s="78"/>
      <c r="N39" s="55"/>
      <c r="O39" s="55"/>
      <c r="P39" s="78"/>
      <c r="Q39" s="78"/>
      <c r="R39" s="86"/>
    </row>
    <row r="40" ht="15.75" customHeight="1">
      <c r="A40" s="57">
        <f t="shared" si="19"/>
        <v>45830</v>
      </c>
      <c r="B40" s="48">
        <v>16.0</v>
      </c>
      <c r="C40" s="49">
        <f t="shared" si="1"/>
        <v>1</v>
      </c>
      <c r="D40" s="50">
        <v>15274.0</v>
      </c>
      <c r="E40" s="51">
        <f t="shared" si="18"/>
        <v>954.625</v>
      </c>
      <c r="F40" s="50">
        <v>15274.0</v>
      </c>
      <c r="G40" s="52">
        <f t="shared" si="3"/>
        <v>1</v>
      </c>
      <c r="H40" s="58"/>
      <c r="I40" s="58"/>
      <c r="J40" s="54"/>
      <c r="K40" s="55"/>
      <c r="L40" s="58"/>
      <c r="M40" s="58"/>
      <c r="N40" s="55"/>
      <c r="O40" s="55"/>
      <c r="P40" s="58"/>
      <c r="Q40" s="58"/>
      <c r="R40" s="86"/>
    </row>
    <row r="41" ht="15.75" customHeight="1">
      <c r="A41" s="57">
        <f t="shared" si="19"/>
        <v>45837</v>
      </c>
      <c r="B41" s="48">
        <v>16.0</v>
      </c>
      <c r="C41" s="49">
        <f t="shared" si="1"/>
        <v>1</v>
      </c>
      <c r="D41" s="50">
        <v>15274.0</v>
      </c>
      <c r="E41" s="51">
        <f t="shared" si="18"/>
        <v>954.625</v>
      </c>
      <c r="F41" s="50">
        <v>15274.0</v>
      </c>
      <c r="G41" s="52">
        <f t="shared" si="3"/>
        <v>1</v>
      </c>
      <c r="H41" s="82"/>
      <c r="I41" s="82"/>
      <c r="J41" s="54"/>
      <c r="K41" s="55"/>
      <c r="L41" s="82"/>
      <c r="M41" s="82"/>
      <c r="N41" s="55"/>
      <c r="O41" s="55"/>
      <c r="P41" s="82"/>
      <c r="Q41" s="82"/>
      <c r="R41" s="86"/>
    </row>
    <row r="42" ht="15.75" customHeight="1">
      <c r="A42" s="61" t="s">
        <v>51</v>
      </c>
      <c r="B42" s="62">
        <v>15.0</v>
      </c>
      <c r="C42" s="63">
        <f t="shared" si="1"/>
        <v>0.9375</v>
      </c>
      <c r="D42" s="64">
        <v>14000.0</v>
      </c>
      <c r="E42" s="70">
        <f>D42/B42</f>
        <v>933.3333333</v>
      </c>
      <c r="F42" s="64">
        <v>14000.0</v>
      </c>
      <c r="G42" s="66">
        <f t="shared" si="3"/>
        <v>1</v>
      </c>
      <c r="H42" s="83">
        <v>14057.0</v>
      </c>
      <c r="I42" s="67">
        <v>14000.0</v>
      </c>
      <c r="J42" s="68">
        <f>IF(H42=0,"",H42-I42)</f>
        <v>57</v>
      </c>
      <c r="K42" s="69">
        <f>IFERROR((H42-I42)/H42,"")</f>
        <v>0.004054919257</v>
      </c>
      <c r="L42" s="83">
        <v>12539.0</v>
      </c>
      <c r="M42" s="67">
        <v>13150.0</v>
      </c>
      <c r="N42" s="68">
        <f>IF(L42=0,"",L42-M42)</f>
        <v>-611</v>
      </c>
      <c r="O42" s="69">
        <f>IFERROR((L42-M42)/L42,"")</f>
        <v>-0.04872796874</v>
      </c>
      <c r="P42" s="84">
        <f t="shared" ref="P42:Q42" si="20">H42-L42</f>
        <v>1518</v>
      </c>
      <c r="Q42" s="84">
        <f t="shared" si="20"/>
        <v>850</v>
      </c>
      <c r="R42" s="87"/>
    </row>
    <row r="43" ht="15.75" customHeight="1">
      <c r="A43" s="57">
        <f>A41+7</f>
        <v>45844</v>
      </c>
      <c r="B43" s="48">
        <v>16.0</v>
      </c>
      <c r="C43" s="49">
        <f t="shared" si="1"/>
        <v>1</v>
      </c>
      <c r="D43" s="50">
        <v>15800.0</v>
      </c>
      <c r="E43" s="51">
        <f t="shared" ref="E43:E46" si="21">IFERROR(D43/B43,"")</f>
        <v>987.5</v>
      </c>
      <c r="F43" s="50">
        <v>14539.0</v>
      </c>
      <c r="G43" s="52">
        <f t="shared" si="3"/>
        <v>0.9201898734</v>
      </c>
      <c r="H43" s="53"/>
      <c r="I43" s="53"/>
      <c r="J43" s="54"/>
      <c r="K43" s="55"/>
      <c r="L43" s="53"/>
      <c r="M43" s="53"/>
      <c r="N43" s="55"/>
      <c r="O43" s="55"/>
      <c r="P43" s="53"/>
      <c r="Q43" s="53"/>
      <c r="R43" s="86"/>
    </row>
    <row r="44" ht="15.75" customHeight="1">
      <c r="A44" s="57">
        <f t="shared" ref="A44:A46" si="22">A43+7</f>
        <v>45851</v>
      </c>
      <c r="B44" s="48">
        <v>16.0</v>
      </c>
      <c r="C44" s="49">
        <f t="shared" si="1"/>
        <v>1</v>
      </c>
      <c r="D44" s="50">
        <v>15800.0</v>
      </c>
      <c r="E44" s="51">
        <f t="shared" si="21"/>
        <v>987.5</v>
      </c>
      <c r="F44" s="50">
        <v>14625.0</v>
      </c>
      <c r="G44" s="52">
        <f t="shared" si="3"/>
        <v>0.9256329114</v>
      </c>
      <c r="H44" s="58"/>
      <c r="I44" s="58"/>
      <c r="J44" s="54"/>
      <c r="K44" s="55"/>
      <c r="L44" s="58"/>
      <c r="M44" s="58"/>
      <c r="N44" s="55"/>
      <c r="O44" s="55"/>
      <c r="P44" s="58"/>
      <c r="Q44" s="58"/>
      <c r="R44" s="86"/>
    </row>
    <row r="45" ht="15.75" customHeight="1">
      <c r="A45" s="57">
        <f t="shared" si="22"/>
        <v>45858</v>
      </c>
      <c r="B45" s="48">
        <v>16.0</v>
      </c>
      <c r="C45" s="49">
        <f t="shared" si="1"/>
        <v>1</v>
      </c>
      <c r="D45" s="50">
        <v>15800.0</v>
      </c>
      <c r="E45" s="51">
        <f t="shared" si="21"/>
        <v>987.5</v>
      </c>
      <c r="F45" s="50">
        <v>15800.0</v>
      </c>
      <c r="G45" s="52">
        <f t="shared" si="3"/>
        <v>1</v>
      </c>
      <c r="H45" s="58"/>
      <c r="I45" s="58"/>
      <c r="J45" s="54"/>
      <c r="K45" s="55"/>
      <c r="L45" s="58"/>
      <c r="M45" s="58"/>
      <c r="N45" s="55"/>
      <c r="O45" s="55"/>
      <c r="P45" s="58"/>
      <c r="Q45" s="58"/>
      <c r="R45" s="86"/>
    </row>
    <row r="46" ht="15.75" customHeight="1">
      <c r="A46" s="57">
        <f t="shared" si="22"/>
        <v>45865</v>
      </c>
      <c r="B46" s="48">
        <v>16.0</v>
      </c>
      <c r="C46" s="49">
        <f t="shared" si="1"/>
        <v>1</v>
      </c>
      <c r="D46" s="50">
        <v>15800.0</v>
      </c>
      <c r="E46" s="51">
        <f t="shared" si="21"/>
        <v>987.5</v>
      </c>
      <c r="F46" s="50">
        <v>15800.0</v>
      </c>
      <c r="G46" s="52">
        <f t="shared" si="3"/>
        <v>1</v>
      </c>
      <c r="H46" s="82"/>
      <c r="I46" s="82"/>
      <c r="J46" s="54"/>
      <c r="K46" s="55"/>
      <c r="L46" s="82"/>
      <c r="M46" s="82"/>
      <c r="N46" s="55"/>
      <c r="O46" s="55"/>
      <c r="P46" s="82"/>
      <c r="Q46" s="82"/>
      <c r="R46" s="86"/>
    </row>
    <row r="47" ht="15.75" customHeight="1">
      <c r="A47" s="61" t="s">
        <v>51</v>
      </c>
      <c r="B47" s="62">
        <v>15.0</v>
      </c>
      <c r="C47" s="63">
        <f t="shared" si="1"/>
        <v>0.9375</v>
      </c>
      <c r="D47" s="64">
        <v>15627.0</v>
      </c>
      <c r="E47" s="70">
        <f>D47/B47</f>
        <v>1041.8</v>
      </c>
      <c r="F47" s="64">
        <v>15627.0</v>
      </c>
      <c r="G47" s="66">
        <f t="shared" si="3"/>
        <v>1</v>
      </c>
      <c r="H47" s="83">
        <v>18136.0</v>
      </c>
      <c r="I47" s="83">
        <v>15627.0</v>
      </c>
      <c r="J47" s="68">
        <f>IF(H47=0,"",H47-I47)</f>
        <v>2509</v>
      </c>
      <c r="K47" s="69">
        <f>IFERROR((H47-I47)/H47,"")</f>
        <v>0.1383436259</v>
      </c>
      <c r="L47" s="83">
        <v>11863.0</v>
      </c>
      <c r="M47" s="67">
        <v>13150.0</v>
      </c>
      <c r="N47" s="68">
        <f>IF(L47=0,"",L47-M47)</f>
        <v>-1287</v>
      </c>
      <c r="O47" s="69">
        <f>IFERROR((L47-M47)/L47,"")</f>
        <v>-0.1084885779</v>
      </c>
      <c r="P47" s="84">
        <f t="shared" ref="P47:Q47" si="23">H47-L47</f>
        <v>6273</v>
      </c>
      <c r="Q47" s="84">
        <f t="shared" si="23"/>
        <v>2477</v>
      </c>
      <c r="R47" s="71" t="s">
        <v>139</v>
      </c>
    </row>
    <row r="48" ht="15.75" customHeight="1">
      <c r="A48" s="57">
        <f>A46+7</f>
        <v>45872</v>
      </c>
      <c r="B48" s="48">
        <v>16.0</v>
      </c>
      <c r="C48" s="49">
        <f t="shared" si="1"/>
        <v>1</v>
      </c>
      <c r="D48" s="50">
        <v>15910.0</v>
      </c>
      <c r="E48" s="51">
        <f t="shared" ref="E48:E52" si="24">IFERROR(D48/B48,"")</f>
        <v>994.375</v>
      </c>
      <c r="F48" s="50">
        <v>15711.0</v>
      </c>
      <c r="G48" s="52">
        <f t="shared" si="3"/>
        <v>0.9874921433</v>
      </c>
      <c r="H48" s="53"/>
      <c r="I48" s="53"/>
      <c r="J48" s="54"/>
      <c r="K48" s="55"/>
      <c r="L48" s="53"/>
      <c r="M48" s="53"/>
      <c r="N48" s="55"/>
      <c r="O48" s="55"/>
      <c r="P48" s="53"/>
      <c r="Q48" s="53"/>
      <c r="R48" s="86"/>
    </row>
    <row r="49" ht="15.75" customHeight="1">
      <c r="A49" s="57">
        <f t="shared" ref="A49:A52" si="25">A48+7</f>
        <v>45879</v>
      </c>
      <c r="B49" s="48">
        <v>15.0</v>
      </c>
      <c r="C49" s="49">
        <f t="shared" si="1"/>
        <v>0.9375</v>
      </c>
      <c r="D49" s="50">
        <v>14735.0</v>
      </c>
      <c r="E49" s="51">
        <f t="shared" si="24"/>
        <v>982.3333333</v>
      </c>
      <c r="F49" s="50">
        <v>15797.0</v>
      </c>
      <c r="G49" s="52">
        <f t="shared" si="3"/>
        <v>1.072073295</v>
      </c>
      <c r="H49" s="58"/>
      <c r="I49" s="58"/>
      <c r="J49" s="54"/>
      <c r="K49" s="55"/>
      <c r="L49" s="58"/>
      <c r="M49" s="58"/>
      <c r="N49" s="55"/>
      <c r="O49" s="55"/>
      <c r="P49" s="58"/>
      <c r="Q49" s="58"/>
      <c r="R49" s="86"/>
    </row>
    <row r="50" ht="15.75" customHeight="1">
      <c r="A50" s="57">
        <f t="shared" si="25"/>
        <v>45886</v>
      </c>
      <c r="B50" s="48">
        <v>15.0</v>
      </c>
      <c r="C50" s="49">
        <f t="shared" si="1"/>
        <v>0.9375</v>
      </c>
      <c r="D50" s="50">
        <v>14735.0</v>
      </c>
      <c r="E50" s="51">
        <f t="shared" si="24"/>
        <v>982.3333333</v>
      </c>
      <c r="F50" s="50">
        <v>15797.0</v>
      </c>
      <c r="G50" s="52">
        <f t="shared" si="3"/>
        <v>1.072073295</v>
      </c>
      <c r="H50" s="58"/>
      <c r="I50" s="58"/>
      <c r="J50" s="54"/>
      <c r="K50" s="55"/>
      <c r="L50" s="58"/>
      <c r="M50" s="58"/>
      <c r="N50" s="55"/>
      <c r="O50" s="55"/>
      <c r="P50" s="58"/>
      <c r="Q50" s="58"/>
      <c r="R50" s="86"/>
    </row>
    <row r="51" ht="15.75" customHeight="1">
      <c r="A51" s="57">
        <f t="shared" si="25"/>
        <v>45893</v>
      </c>
      <c r="B51" s="48">
        <v>15.0</v>
      </c>
      <c r="C51" s="49">
        <f t="shared" si="1"/>
        <v>0.9375</v>
      </c>
      <c r="D51" s="50">
        <v>14735.0</v>
      </c>
      <c r="E51" s="51">
        <f t="shared" si="24"/>
        <v>982.3333333</v>
      </c>
      <c r="F51" s="50">
        <v>15797.0</v>
      </c>
      <c r="G51" s="52">
        <f t="shared" si="3"/>
        <v>1.072073295</v>
      </c>
      <c r="H51" s="60"/>
      <c r="I51" s="60"/>
      <c r="J51" s="54"/>
      <c r="K51" s="55"/>
      <c r="L51" s="58"/>
      <c r="M51" s="58"/>
      <c r="N51" s="55"/>
      <c r="O51" s="55"/>
      <c r="P51" s="58"/>
      <c r="Q51" s="58"/>
      <c r="R51" s="86"/>
    </row>
    <row r="52" ht="15.75" customHeight="1">
      <c r="A52" s="57">
        <f t="shared" si="25"/>
        <v>45900</v>
      </c>
      <c r="B52" s="48">
        <v>15.0</v>
      </c>
      <c r="C52" s="49">
        <f t="shared" si="1"/>
        <v>0.9375</v>
      </c>
      <c r="D52" s="50">
        <v>14735.0</v>
      </c>
      <c r="E52" s="51">
        <f t="shared" si="24"/>
        <v>982.3333333</v>
      </c>
      <c r="F52" s="50">
        <v>15797.0</v>
      </c>
      <c r="G52" s="72">
        <f t="shared" si="3"/>
        <v>1.072073295</v>
      </c>
      <c r="H52" s="74"/>
      <c r="I52" s="80"/>
      <c r="J52" s="75"/>
      <c r="K52" s="55"/>
      <c r="L52" s="60"/>
      <c r="M52" s="60"/>
      <c r="N52" s="55"/>
      <c r="O52" s="55"/>
      <c r="P52" s="60"/>
      <c r="Q52" s="60"/>
      <c r="R52" s="86"/>
    </row>
    <row r="53" ht="15.75" customHeight="1">
      <c r="A53" s="61" t="s">
        <v>51</v>
      </c>
      <c r="B53" s="62">
        <v>15.0</v>
      </c>
      <c r="C53" s="63">
        <f t="shared" si="1"/>
        <v>0.9375</v>
      </c>
      <c r="D53" s="64">
        <v>15627.0</v>
      </c>
      <c r="E53" s="70">
        <f>D53/B53</f>
        <v>1041.8</v>
      </c>
      <c r="F53" s="64">
        <v>15627.0</v>
      </c>
      <c r="G53" s="66">
        <f t="shared" si="3"/>
        <v>1</v>
      </c>
      <c r="H53" s="67">
        <v>17652.0</v>
      </c>
      <c r="I53" s="67">
        <v>15627.0</v>
      </c>
      <c r="J53" s="68">
        <f>IF(H53=0,"",H53-I53)</f>
        <v>2025</v>
      </c>
      <c r="K53" s="69">
        <f>IFERROR((H53-I53)/H53,"")</f>
        <v>0.114717879</v>
      </c>
      <c r="L53" s="67">
        <v>11329.0</v>
      </c>
      <c r="M53" s="67">
        <v>13150.0</v>
      </c>
      <c r="N53" s="68">
        <f>IF(L53=0,"",L53-M53)</f>
        <v>-1821</v>
      </c>
      <c r="O53" s="69">
        <f>IFERROR((L53-M53)/L53,"")</f>
        <v>-0.1607379292</v>
      </c>
      <c r="P53" s="70">
        <f t="shared" ref="P53:Q53" si="26">H53-L53</f>
        <v>6323</v>
      </c>
      <c r="Q53" s="70">
        <f t="shared" si="26"/>
        <v>2477</v>
      </c>
      <c r="R53" s="71" t="s">
        <v>139</v>
      </c>
    </row>
    <row r="54" ht="15.75" customHeight="1">
      <c r="A54" s="57">
        <f>A52+7</f>
        <v>45907</v>
      </c>
      <c r="B54" s="48">
        <v>14.0</v>
      </c>
      <c r="C54" s="49">
        <f t="shared" si="1"/>
        <v>0.875</v>
      </c>
      <c r="D54" s="50">
        <v>14044.0</v>
      </c>
      <c r="E54" s="51">
        <f t="shared" ref="E54:E57" si="27">IFERROR(D54/B54,"")</f>
        <v>1003.142857</v>
      </c>
      <c r="F54" s="50">
        <v>13878.0</v>
      </c>
      <c r="G54" s="52">
        <f t="shared" si="3"/>
        <v>0.9881800057</v>
      </c>
      <c r="H54" s="78"/>
      <c r="I54" s="78"/>
      <c r="J54" s="54"/>
      <c r="K54" s="76"/>
      <c r="L54" s="74"/>
      <c r="M54" s="74"/>
      <c r="N54" s="77"/>
      <c r="O54" s="55"/>
      <c r="P54" s="74"/>
      <c r="Q54" s="74"/>
      <c r="R54" s="86"/>
    </row>
    <row r="55" ht="15.75" customHeight="1">
      <c r="A55" s="57">
        <f t="shared" ref="A55:A57" si="28">A54+7</f>
        <v>45914</v>
      </c>
      <c r="B55" s="48">
        <v>14.0</v>
      </c>
      <c r="C55" s="49">
        <f t="shared" si="1"/>
        <v>0.875</v>
      </c>
      <c r="D55" s="50">
        <v>14044.0</v>
      </c>
      <c r="E55" s="51">
        <f t="shared" si="27"/>
        <v>1003.142857</v>
      </c>
      <c r="F55" s="50">
        <v>14041.0</v>
      </c>
      <c r="G55" s="52">
        <f t="shared" si="3"/>
        <v>0.9997863856</v>
      </c>
      <c r="H55" s="58"/>
      <c r="I55" s="58"/>
      <c r="J55" s="54"/>
      <c r="K55" s="55"/>
      <c r="L55" s="78"/>
      <c r="M55" s="78"/>
      <c r="N55" s="55"/>
      <c r="O55" s="55"/>
      <c r="P55" s="78"/>
      <c r="Q55" s="78"/>
      <c r="R55" s="86"/>
    </row>
    <row r="56" ht="15.75" customHeight="1">
      <c r="A56" s="57">
        <f t="shared" si="28"/>
        <v>45921</v>
      </c>
      <c r="B56" s="48">
        <v>15.0</v>
      </c>
      <c r="C56" s="49">
        <f t="shared" si="1"/>
        <v>0.9375</v>
      </c>
      <c r="D56" s="50">
        <v>15094.0</v>
      </c>
      <c r="E56" s="51">
        <f t="shared" si="27"/>
        <v>1006.266667</v>
      </c>
      <c r="F56" s="50">
        <v>14041.0</v>
      </c>
      <c r="G56" s="52">
        <f t="shared" si="3"/>
        <v>0.9302371803</v>
      </c>
      <c r="H56" s="58"/>
      <c r="I56" s="58"/>
      <c r="J56" s="54"/>
      <c r="K56" s="55"/>
      <c r="L56" s="58"/>
      <c r="M56" s="58"/>
      <c r="N56" s="55"/>
      <c r="O56" s="55"/>
      <c r="P56" s="58"/>
      <c r="Q56" s="58"/>
      <c r="R56" s="86"/>
    </row>
    <row r="57" ht="15.75" customHeight="1">
      <c r="A57" s="57">
        <f t="shared" si="28"/>
        <v>45928</v>
      </c>
      <c r="B57" s="48">
        <v>15.0</v>
      </c>
      <c r="C57" s="49">
        <f t="shared" si="1"/>
        <v>0.9375</v>
      </c>
      <c r="D57" s="50">
        <v>15094.0</v>
      </c>
      <c r="E57" s="51">
        <f t="shared" si="27"/>
        <v>1006.266667</v>
      </c>
      <c r="F57" s="50">
        <v>14041.0</v>
      </c>
      <c r="G57" s="52">
        <f t="shared" si="3"/>
        <v>0.9302371803</v>
      </c>
      <c r="H57" s="82"/>
      <c r="I57" s="82"/>
      <c r="J57" s="54"/>
      <c r="K57" s="55"/>
      <c r="L57" s="82"/>
      <c r="M57" s="82"/>
      <c r="N57" s="55"/>
      <c r="O57" s="55"/>
      <c r="P57" s="82"/>
      <c r="Q57" s="82"/>
      <c r="R57" s="86"/>
    </row>
    <row r="58" ht="15.75" customHeight="1">
      <c r="A58" s="61" t="s">
        <v>51</v>
      </c>
      <c r="B58" s="62">
        <v>15.0</v>
      </c>
      <c r="C58" s="63">
        <f t="shared" si="1"/>
        <v>0.9375</v>
      </c>
      <c r="D58" s="64">
        <v>15627.0</v>
      </c>
      <c r="E58" s="70">
        <f>D58/B58</f>
        <v>1041.8</v>
      </c>
      <c r="F58" s="64">
        <v>15627.0</v>
      </c>
      <c r="G58" s="66">
        <f t="shared" si="3"/>
        <v>1</v>
      </c>
      <c r="H58" s="83">
        <v>14907.0</v>
      </c>
      <c r="I58" s="67">
        <v>15627.0</v>
      </c>
      <c r="J58" s="68">
        <f>IF(H58=0,"",H58-I58)</f>
        <v>-720</v>
      </c>
      <c r="K58" s="69">
        <f>IFERROR((H58-I58)/H58,"")</f>
        <v>-0.04829945663</v>
      </c>
      <c r="L58" s="83">
        <v>13528.0</v>
      </c>
      <c r="M58" s="67">
        <v>13150.0</v>
      </c>
      <c r="N58" s="68">
        <f>IF(L58=0,"",L58-M58)</f>
        <v>378</v>
      </c>
      <c r="O58" s="69">
        <f>IFERROR((L58-M58)/L58,"")</f>
        <v>0.02794204613</v>
      </c>
      <c r="P58" s="84">
        <f t="shared" ref="P58:Q58" si="29">H58-L58</f>
        <v>1379</v>
      </c>
      <c r="Q58" s="84">
        <f t="shared" si="29"/>
        <v>2477</v>
      </c>
      <c r="R58" s="87"/>
    </row>
    <row r="59" ht="15.75" customHeight="1">
      <c r="A59" s="57">
        <f>A57+7</f>
        <v>45935</v>
      </c>
      <c r="B59" s="48">
        <v>15.0</v>
      </c>
      <c r="C59" s="88">
        <f t="shared" si="1"/>
        <v>0.9375</v>
      </c>
      <c r="D59" s="50">
        <v>15014.0</v>
      </c>
      <c r="E59" s="51">
        <f t="shared" ref="E59:E62" si="30">IFERROR(D59/B59,"")</f>
        <v>1000.933333</v>
      </c>
      <c r="F59" s="50">
        <v>11992.0</v>
      </c>
      <c r="G59" s="52">
        <f t="shared" si="3"/>
        <v>0.7987211936</v>
      </c>
      <c r="H59" s="53"/>
      <c r="I59" s="53"/>
      <c r="J59" s="54"/>
      <c r="K59" s="55"/>
      <c r="L59" s="53"/>
      <c r="M59" s="53"/>
      <c r="N59" s="55"/>
      <c r="O59" s="55"/>
      <c r="P59" s="53"/>
      <c r="Q59" s="53"/>
      <c r="R59" s="86"/>
    </row>
    <row r="60" ht="15.75" customHeight="1">
      <c r="A60" s="57">
        <f t="shared" ref="A60:A62" si="31">A59+7</f>
        <v>45942</v>
      </c>
      <c r="B60" s="48">
        <v>15.0</v>
      </c>
      <c r="C60" s="88">
        <f t="shared" si="1"/>
        <v>0.9375</v>
      </c>
      <c r="D60" s="50">
        <v>15014.0</v>
      </c>
      <c r="E60" s="51">
        <f t="shared" si="30"/>
        <v>1000.933333</v>
      </c>
      <c r="F60" s="50">
        <v>12864.0</v>
      </c>
      <c r="G60" s="52">
        <f t="shared" si="3"/>
        <v>0.8568003197</v>
      </c>
      <c r="H60" s="58"/>
      <c r="I60" s="58"/>
      <c r="J60" s="54"/>
      <c r="K60" s="55"/>
      <c r="L60" s="58"/>
      <c r="M60" s="58"/>
      <c r="N60" s="55"/>
      <c r="O60" s="55"/>
      <c r="P60" s="58"/>
      <c r="Q60" s="58"/>
      <c r="R60" s="86"/>
    </row>
    <row r="61" ht="15.75" customHeight="1">
      <c r="A61" s="57">
        <f t="shared" si="31"/>
        <v>45949</v>
      </c>
      <c r="B61" s="48">
        <v>15.0</v>
      </c>
      <c r="C61" s="88">
        <f t="shared" si="1"/>
        <v>0.9375</v>
      </c>
      <c r="D61" s="50">
        <v>15014.0</v>
      </c>
      <c r="E61" s="51">
        <f t="shared" si="30"/>
        <v>1000.933333</v>
      </c>
      <c r="F61" s="50">
        <v>12864.0</v>
      </c>
      <c r="G61" s="52">
        <f t="shared" si="3"/>
        <v>0.8568003197</v>
      </c>
      <c r="H61" s="58"/>
      <c r="I61" s="58"/>
      <c r="J61" s="54"/>
      <c r="K61" s="55"/>
      <c r="L61" s="58"/>
      <c r="M61" s="58"/>
      <c r="N61" s="55"/>
      <c r="O61" s="55"/>
      <c r="P61" s="58"/>
      <c r="Q61" s="58"/>
      <c r="R61" s="86"/>
    </row>
    <row r="62" ht="15.75" customHeight="1">
      <c r="A62" s="57">
        <f t="shared" si="31"/>
        <v>45956</v>
      </c>
      <c r="B62" s="48">
        <v>16.0</v>
      </c>
      <c r="C62" s="88">
        <f t="shared" si="1"/>
        <v>1</v>
      </c>
      <c r="D62" s="50">
        <v>16264.0</v>
      </c>
      <c r="E62" s="51">
        <f t="shared" si="30"/>
        <v>1016.5</v>
      </c>
      <c r="F62" s="50">
        <v>13187.0</v>
      </c>
      <c r="G62" s="52">
        <f t="shared" si="3"/>
        <v>0.810809149</v>
      </c>
      <c r="H62" s="60"/>
      <c r="I62" s="60"/>
      <c r="J62" s="54"/>
      <c r="K62" s="55"/>
      <c r="L62" s="58"/>
      <c r="M62" s="58"/>
      <c r="N62" s="55"/>
      <c r="O62" s="55"/>
      <c r="P62" s="58"/>
      <c r="Q62" s="58"/>
      <c r="R62" s="86"/>
    </row>
    <row r="63" ht="15.75" customHeight="1">
      <c r="A63" s="61" t="s">
        <v>51</v>
      </c>
      <c r="B63" s="62">
        <v>15.0</v>
      </c>
      <c r="C63" s="63">
        <f t="shared" si="1"/>
        <v>0.9375</v>
      </c>
      <c r="D63" s="64">
        <v>15627.0</v>
      </c>
      <c r="E63" s="70">
        <f>D63/B63</f>
        <v>1041.8</v>
      </c>
      <c r="F63" s="64">
        <v>15627.0</v>
      </c>
      <c r="G63" s="66">
        <f t="shared" si="3"/>
        <v>1</v>
      </c>
      <c r="H63" s="67">
        <v>17916.0</v>
      </c>
      <c r="I63" s="67">
        <v>15627.0</v>
      </c>
      <c r="J63" s="68">
        <f>IF(H63=0,"",H63-I63)</f>
        <v>2289</v>
      </c>
      <c r="K63" s="69">
        <f>IFERROR((H63-I63)/H63,"")</f>
        <v>0.1277628935</v>
      </c>
      <c r="L63" s="67">
        <v>14788.0</v>
      </c>
      <c r="M63" s="67">
        <v>13150.0</v>
      </c>
      <c r="N63" s="68">
        <f>IF(L63=0,"",L63-M63)</f>
        <v>1638</v>
      </c>
      <c r="O63" s="69">
        <f>IFERROR((L63-M63)/L63,"")</f>
        <v>0.1107654855</v>
      </c>
      <c r="P63" s="70">
        <f t="shared" ref="P63:Q63" si="32">H63-L63</f>
        <v>3128</v>
      </c>
      <c r="Q63" s="70">
        <f t="shared" si="32"/>
        <v>2477</v>
      </c>
      <c r="R63" s="87"/>
    </row>
    <row r="64" ht="15.75" customHeight="1">
      <c r="A64" s="57">
        <f>A62+7</f>
        <v>45963</v>
      </c>
      <c r="B64" s="48">
        <v>16.0</v>
      </c>
      <c r="C64" s="88">
        <f t="shared" si="1"/>
        <v>1</v>
      </c>
      <c r="D64" s="50">
        <v>16264.0</v>
      </c>
      <c r="E64" s="51">
        <f t="shared" ref="E64:E67" si="33">IFERROR(D64/B64,"")</f>
        <v>1016.5</v>
      </c>
      <c r="F64" s="50">
        <v>9030.0</v>
      </c>
      <c r="G64" s="79">
        <f t="shared" si="3"/>
        <v>0.5552139695</v>
      </c>
      <c r="H64" s="81"/>
      <c r="I64" s="74"/>
      <c r="J64" s="75"/>
      <c r="K64" s="55"/>
      <c r="L64" s="60"/>
      <c r="M64" s="60"/>
      <c r="N64" s="55"/>
      <c r="O64" s="55"/>
      <c r="P64" s="60"/>
      <c r="Q64" s="60"/>
      <c r="R64" s="86"/>
    </row>
    <row r="65" ht="15.75" customHeight="1">
      <c r="A65" s="57">
        <f t="shared" ref="A65:A67" si="34">A64+7</f>
        <v>45970</v>
      </c>
      <c r="B65" s="48">
        <v>16.0</v>
      </c>
      <c r="C65" s="88">
        <f t="shared" si="1"/>
        <v>1</v>
      </c>
      <c r="D65" s="50">
        <v>16264.0</v>
      </c>
      <c r="E65" s="51">
        <f t="shared" si="33"/>
        <v>1016.5</v>
      </c>
      <c r="F65" s="50">
        <v>16207.0</v>
      </c>
      <c r="G65" s="52">
        <f t="shared" si="3"/>
        <v>0.9964953271</v>
      </c>
      <c r="H65" s="78"/>
      <c r="I65" s="78"/>
      <c r="J65" s="54"/>
      <c r="K65" s="55"/>
      <c r="L65" s="80"/>
      <c r="M65" s="81"/>
      <c r="N65" s="55"/>
      <c r="O65" s="55"/>
      <c r="P65" s="80"/>
      <c r="Q65" s="81"/>
      <c r="R65" s="86"/>
    </row>
    <row r="66" ht="15.75" customHeight="1">
      <c r="A66" s="57">
        <f t="shared" si="34"/>
        <v>45977</v>
      </c>
      <c r="B66" s="48">
        <v>15.0</v>
      </c>
      <c r="C66" s="88">
        <f t="shared" si="1"/>
        <v>0.9375</v>
      </c>
      <c r="D66" s="50">
        <v>15104.0</v>
      </c>
      <c r="E66" s="51">
        <f t="shared" si="33"/>
        <v>1006.933333</v>
      </c>
      <c r="F66" s="50">
        <v>16370.0</v>
      </c>
      <c r="G66" s="52">
        <f t="shared" si="3"/>
        <v>1.083818856</v>
      </c>
      <c r="H66" s="58"/>
      <c r="I66" s="58"/>
      <c r="J66" s="54"/>
      <c r="K66" s="55"/>
      <c r="L66" s="78"/>
      <c r="M66" s="78"/>
      <c r="N66" s="55"/>
      <c r="O66" s="55"/>
      <c r="P66" s="78"/>
      <c r="Q66" s="78"/>
      <c r="R66" s="86"/>
    </row>
    <row r="67" ht="15.75" customHeight="1">
      <c r="A67" s="57">
        <f t="shared" si="34"/>
        <v>45984</v>
      </c>
      <c r="B67" s="48">
        <v>15.0</v>
      </c>
      <c r="C67" s="88">
        <f t="shared" si="1"/>
        <v>0.9375</v>
      </c>
      <c r="D67" s="50">
        <v>15104.0</v>
      </c>
      <c r="E67" s="51">
        <f t="shared" si="33"/>
        <v>1006.933333</v>
      </c>
      <c r="F67" s="50">
        <v>16370.0</v>
      </c>
      <c r="G67" s="52">
        <f t="shared" si="3"/>
        <v>1.083818856</v>
      </c>
      <c r="H67" s="60"/>
      <c r="I67" s="60"/>
      <c r="J67" s="54"/>
      <c r="K67" s="55"/>
      <c r="L67" s="58"/>
      <c r="M67" s="58"/>
      <c r="N67" s="55"/>
      <c r="O67" s="55"/>
      <c r="P67" s="58"/>
      <c r="Q67" s="58"/>
      <c r="R67" s="86"/>
    </row>
    <row r="68" ht="15.75" customHeight="1">
      <c r="A68" s="61" t="s">
        <v>51</v>
      </c>
      <c r="B68" s="62">
        <v>15.0</v>
      </c>
      <c r="C68" s="63">
        <f t="shared" si="1"/>
        <v>0.9375</v>
      </c>
      <c r="D68" s="64">
        <v>15627.0</v>
      </c>
      <c r="E68" s="70">
        <f>D68/B68</f>
        <v>1041.8</v>
      </c>
      <c r="F68" s="64">
        <v>15627.0</v>
      </c>
      <c r="G68" s="66">
        <f t="shared" si="3"/>
        <v>1</v>
      </c>
      <c r="H68" s="70"/>
      <c r="I68" s="67">
        <v>15627.0</v>
      </c>
      <c r="J68" s="68" t="str">
        <f>IF(H68=0,"",H68-I68)</f>
        <v/>
      </c>
      <c r="K68" s="69" t="str">
        <f>IFERROR((H68-I68)/H68,"")</f>
        <v/>
      </c>
      <c r="L68" s="70"/>
      <c r="M68" s="67">
        <v>13150.0</v>
      </c>
      <c r="N68" s="68" t="str">
        <f>IF(L68=0,"",L68-M68)</f>
        <v/>
      </c>
      <c r="O68" s="69" t="str">
        <f>IFERROR((L68-M68)/L68,"")</f>
        <v/>
      </c>
      <c r="P68" s="70">
        <f t="shared" ref="P68:Q68" si="35">H68-L68</f>
        <v>0</v>
      </c>
      <c r="Q68" s="70">
        <f t="shared" si="35"/>
        <v>2477</v>
      </c>
      <c r="R68" s="87"/>
    </row>
    <row r="69" ht="15.75" customHeight="1">
      <c r="A69" s="57">
        <f>A67+7</f>
        <v>45991</v>
      </c>
      <c r="B69" s="48">
        <v>16.0</v>
      </c>
      <c r="C69" s="88">
        <f t="shared" si="1"/>
        <v>1</v>
      </c>
      <c r="D69" s="50">
        <v>15104.0</v>
      </c>
      <c r="E69" s="51">
        <f t="shared" ref="E69:E73" si="36">IFERROR(D69/B69,"")</f>
        <v>944</v>
      </c>
      <c r="F69" s="50">
        <v>16370.0</v>
      </c>
      <c r="G69" s="79">
        <f t="shared" si="3"/>
        <v>1.083818856</v>
      </c>
      <c r="H69" s="81"/>
      <c r="I69" s="74"/>
      <c r="J69" s="75"/>
      <c r="K69" s="55"/>
      <c r="L69" s="60"/>
      <c r="M69" s="60"/>
      <c r="N69" s="55"/>
      <c r="O69" s="55"/>
      <c r="P69" s="60"/>
      <c r="Q69" s="60"/>
      <c r="R69" s="86"/>
    </row>
    <row r="70" ht="15.75" customHeight="1">
      <c r="A70" s="57">
        <f t="shared" ref="A70:A73" si="37">A69+7</f>
        <v>45998</v>
      </c>
      <c r="B70" s="89" t="s">
        <v>91</v>
      </c>
      <c r="C70" s="88">
        <f t="shared" si="1"/>
        <v>1</v>
      </c>
      <c r="D70" s="50">
        <v>15104.0</v>
      </c>
      <c r="E70" s="51">
        <f t="shared" si="36"/>
        <v>944</v>
      </c>
      <c r="F70" s="50">
        <v>13967.0</v>
      </c>
      <c r="G70" s="52">
        <f t="shared" si="3"/>
        <v>0.924721928</v>
      </c>
      <c r="H70" s="78"/>
      <c r="I70" s="78"/>
      <c r="J70" s="54"/>
      <c r="K70" s="76"/>
      <c r="L70" s="74"/>
      <c r="M70" s="74"/>
      <c r="N70" s="77"/>
      <c r="O70" s="55"/>
      <c r="P70" s="74"/>
      <c r="Q70" s="74"/>
      <c r="R70" s="86"/>
    </row>
    <row r="71" ht="15.75" customHeight="1">
      <c r="A71" s="57">
        <f t="shared" si="37"/>
        <v>46005</v>
      </c>
      <c r="B71" s="89" t="s">
        <v>91</v>
      </c>
      <c r="C71" s="88">
        <f t="shared" si="1"/>
        <v>1</v>
      </c>
      <c r="D71" s="50">
        <v>15104.0</v>
      </c>
      <c r="E71" s="51">
        <f t="shared" si="36"/>
        <v>944</v>
      </c>
      <c r="F71" s="50">
        <v>13967.0</v>
      </c>
      <c r="G71" s="52">
        <f t="shared" si="3"/>
        <v>0.924721928</v>
      </c>
      <c r="H71" s="58"/>
      <c r="I71" s="58"/>
      <c r="J71" s="54"/>
      <c r="K71" s="55"/>
      <c r="L71" s="78"/>
      <c r="M71" s="78"/>
      <c r="N71" s="55"/>
      <c r="O71" s="55"/>
      <c r="P71" s="78"/>
      <c r="Q71" s="78"/>
      <c r="R71" s="86"/>
    </row>
    <row r="72" ht="15.75" customHeight="1">
      <c r="A72" s="57">
        <f t="shared" si="37"/>
        <v>46012</v>
      </c>
      <c r="B72" s="90"/>
      <c r="C72" s="88" t="str">
        <f t="shared" si="1"/>
        <v/>
      </c>
      <c r="D72" s="91"/>
      <c r="E72" s="51" t="str">
        <f t="shared" si="36"/>
        <v/>
      </c>
      <c r="F72" s="91"/>
      <c r="G72" s="52" t="str">
        <f t="shared" si="3"/>
        <v/>
      </c>
      <c r="H72" s="58"/>
      <c r="I72" s="58"/>
      <c r="J72" s="54"/>
      <c r="K72" s="55"/>
      <c r="L72" s="58"/>
      <c r="M72" s="58"/>
      <c r="N72" s="55"/>
      <c r="O72" s="55"/>
      <c r="P72" s="58"/>
      <c r="Q72" s="58"/>
      <c r="R72" s="86"/>
    </row>
    <row r="73" ht="15.75" customHeight="1">
      <c r="A73" s="57">
        <f t="shared" si="37"/>
        <v>46019</v>
      </c>
      <c r="B73" s="90"/>
      <c r="C73" s="88" t="str">
        <f t="shared" si="1"/>
        <v/>
      </c>
      <c r="D73" s="91"/>
      <c r="E73" s="51" t="str">
        <f t="shared" si="36"/>
        <v/>
      </c>
      <c r="F73" s="91"/>
      <c r="G73" s="52" t="str">
        <f t="shared" si="3"/>
        <v/>
      </c>
      <c r="H73" s="82"/>
      <c r="I73" s="82"/>
      <c r="J73" s="54"/>
      <c r="K73" s="55"/>
      <c r="L73" s="82"/>
      <c r="M73" s="82"/>
      <c r="N73" s="55"/>
      <c r="O73" s="55"/>
      <c r="P73" s="82"/>
      <c r="Q73" s="82"/>
      <c r="R73" s="86"/>
    </row>
    <row r="74" ht="15.75" customHeight="1">
      <c r="A74" s="61" t="s">
        <v>51</v>
      </c>
      <c r="B74" s="62">
        <v>15.0</v>
      </c>
      <c r="C74" s="63">
        <f t="shared" si="1"/>
        <v>0.9375</v>
      </c>
      <c r="D74" s="64">
        <v>15627.0</v>
      </c>
      <c r="E74" s="70">
        <f>D74/B74</f>
        <v>1041.8</v>
      </c>
      <c r="F74" s="64">
        <v>15627.0</v>
      </c>
      <c r="G74" s="66">
        <f t="shared" si="3"/>
        <v>1</v>
      </c>
      <c r="H74" s="92"/>
      <c r="I74" s="67">
        <v>15627.0</v>
      </c>
      <c r="J74" s="68" t="str">
        <f t="shared" ref="J74:J75" si="40">IF(H74=0,"",H74-I74)</f>
        <v/>
      </c>
      <c r="K74" s="69" t="str">
        <f t="shared" ref="K74:K75" si="41">IFERROR((H74-I74)/H74,"")</f>
        <v/>
      </c>
      <c r="L74" s="92"/>
      <c r="M74" s="67">
        <v>13150.0</v>
      </c>
      <c r="N74" s="68" t="str">
        <f t="shared" ref="N74:N75" si="43">IF(L74=0,"",L74-M74)</f>
        <v/>
      </c>
      <c r="O74" s="69" t="str">
        <f t="shared" ref="O74:O75" si="44">IFERROR((L74-M74)/L74,"")</f>
        <v/>
      </c>
      <c r="P74" s="92">
        <f t="shared" ref="P74:Q74" si="38">H74-L74</f>
        <v>0</v>
      </c>
      <c r="Q74" s="92">
        <f t="shared" si="38"/>
        <v>2477</v>
      </c>
      <c r="R74" s="87"/>
    </row>
    <row r="75" ht="15.75" customHeight="1">
      <c r="A75" s="93" t="s">
        <v>61</v>
      </c>
      <c r="B75" s="94"/>
      <c r="C75" s="63" t="str">
        <f t="shared" si="1"/>
        <v/>
      </c>
      <c r="D75" s="96"/>
      <c r="E75" s="96" t="str">
        <f>IFERROR(D75/B75,"")</f>
        <v/>
      </c>
      <c r="F75" s="96"/>
      <c r="G75" s="97" t="str">
        <f t="shared" si="3"/>
        <v/>
      </c>
      <c r="H75" s="96">
        <f t="shared" ref="H75:I75" si="39">H15+H20+H26+H31+H36+H42+H47+H53+H58+H63+H68+H74</f>
        <v>114372</v>
      </c>
      <c r="I75" s="96">
        <f t="shared" si="39"/>
        <v>134762</v>
      </c>
      <c r="J75" s="96">
        <f t="shared" si="40"/>
        <v>-20390</v>
      </c>
      <c r="K75" s="95">
        <f t="shared" si="41"/>
        <v>-0.1782779002</v>
      </c>
      <c r="L75" s="96">
        <f t="shared" ref="L75:M75" si="42">L15+L20+L26+L31+L36+L42+L47+L53+L58+L63+L68+L74</f>
        <v>89628</v>
      </c>
      <c r="M75" s="96">
        <f t="shared" si="42"/>
        <v>118350</v>
      </c>
      <c r="N75" s="95">
        <f t="shared" si="43"/>
        <v>-28722</v>
      </c>
      <c r="O75" s="95">
        <f t="shared" si="44"/>
        <v>-0.3204578926</v>
      </c>
      <c r="P75" s="96">
        <f t="shared" ref="P75:Q75" si="45">P15+P20+P26+P31+P36+P42+P47+P53+P58+P63+P68+P74</f>
        <v>24744</v>
      </c>
      <c r="Q75" s="96">
        <f t="shared" si="45"/>
        <v>16412</v>
      </c>
      <c r="R75" s="98"/>
    </row>
    <row r="76" ht="15.75" customHeight="1">
      <c r="A76" s="99" t="s">
        <v>62</v>
      </c>
      <c r="B76" s="100" t="s">
        <v>62</v>
      </c>
      <c r="C76" s="100" t="s">
        <v>62</v>
      </c>
      <c r="D76" s="101" t="s">
        <v>62</v>
      </c>
      <c r="E76" s="102" t="s">
        <v>62</v>
      </c>
      <c r="F76" s="101" t="s">
        <v>62</v>
      </c>
      <c r="G76" s="100" t="s">
        <v>62</v>
      </c>
      <c r="H76" s="102" t="s">
        <v>62</v>
      </c>
      <c r="I76" s="102" t="s">
        <v>62</v>
      </c>
      <c r="J76" s="102" t="s">
        <v>62</v>
      </c>
      <c r="K76" s="100" t="s">
        <v>62</v>
      </c>
      <c r="L76" s="102" t="s">
        <v>62</v>
      </c>
      <c r="M76" s="102" t="s">
        <v>62</v>
      </c>
      <c r="N76" s="100" t="s">
        <v>62</v>
      </c>
      <c r="O76" s="100" t="s">
        <v>62</v>
      </c>
      <c r="P76" s="102" t="s">
        <v>62</v>
      </c>
      <c r="Q76" s="102" t="s">
        <v>62</v>
      </c>
      <c r="R76" s="100" t="s">
        <v>62</v>
      </c>
    </row>
    <row r="77" ht="15.75" customHeight="1">
      <c r="A77" s="103"/>
      <c r="B77" s="104"/>
      <c r="C77" s="104"/>
      <c r="D77" s="105"/>
      <c r="E77" s="106"/>
      <c r="F77" s="107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6"/>
    </row>
    <row r="78" ht="15.75" customHeight="1">
      <c r="A78" s="103"/>
      <c r="B78" s="104"/>
      <c r="C78" s="104"/>
      <c r="D78" s="105"/>
      <c r="E78" s="106"/>
      <c r="F78" s="107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6"/>
    </row>
    <row r="79" ht="15.75" customHeight="1">
      <c r="A79" s="103"/>
      <c r="B79" s="104"/>
      <c r="C79" s="104"/>
      <c r="D79" s="105"/>
      <c r="E79" s="106"/>
      <c r="F79" s="107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6"/>
    </row>
    <row r="80" ht="15.75" customHeight="1">
      <c r="A80" s="103"/>
      <c r="B80" s="104"/>
      <c r="C80" s="104"/>
      <c r="D80" s="105"/>
      <c r="E80" s="106"/>
      <c r="F80" s="107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6"/>
    </row>
    <row r="81" ht="15.75" customHeight="1">
      <c r="A81" s="109"/>
      <c r="B81" s="104"/>
      <c r="C81" s="104"/>
      <c r="D81" s="105"/>
      <c r="E81" s="106"/>
      <c r="F81" s="107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6"/>
    </row>
    <row r="82" ht="15.75" customHeight="1">
      <c r="A82" s="109"/>
      <c r="B82" s="104"/>
      <c r="C82" s="104"/>
      <c r="D82" s="105"/>
      <c r="E82" s="106"/>
      <c r="F82" s="107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6"/>
    </row>
    <row r="83" ht="15.75" customHeight="1">
      <c r="A83" s="109"/>
      <c r="B83" s="104"/>
      <c r="C83" s="104"/>
      <c r="D83" s="105"/>
      <c r="E83" s="106"/>
      <c r="F83" s="107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6"/>
    </row>
    <row r="84" ht="15.75" customHeight="1">
      <c r="A84" s="109"/>
      <c r="B84" s="104"/>
      <c r="C84" s="104"/>
      <c r="D84" s="105"/>
      <c r="E84" s="106"/>
      <c r="F84" s="107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6"/>
    </row>
    <row r="85" ht="15.75" customHeight="1">
      <c r="A85" s="109"/>
      <c r="B85" s="104"/>
      <c r="C85" s="104"/>
      <c r="D85" s="105"/>
      <c r="E85" s="106"/>
      <c r="F85" s="107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6"/>
    </row>
    <row r="86" ht="15.75" customHeight="1">
      <c r="A86" s="109"/>
      <c r="B86" s="104"/>
      <c r="C86" s="104"/>
      <c r="D86" s="105"/>
      <c r="E86" s="106"/>
      <c r="F86" s="107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6"/>
    </row>
    <row r="87" ht="15.75" customHeight="1">
      <c r="A87" s="109"/>
      <c r="B87" s="104"/>
      <c r="C87" s="104"/>
      <c r="D87" s="105"/>
      <c r="E87" s="106"/>
      <c r="F87" s="107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6"/>
    </row>
    <row r="88" ht="15.75" customHeight="1">
      <c r="A88" s="109"/>
      <c r="B88" s="104"/>
      <c r="C88" s="104"/>
      <c r="D88" s="105"/>
      <c r="E88" s="106"/>
      <c r="F88" s="107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6"/>
    </row>
    <row r="89" ht="15.75" customHeight="1">
      <c r="A89" s="109"/>
      <c r="B89" s="104"/>
      <c r="C89" s="104"/>
      <c r="D89" s="105"/>
      <c r="E89" s="106"/>
      <c r="F89" s="107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6"/>
    </row>
    <row r="90" ht="15.75" customHeight="1">
      <c r="A90" s="109"/>
      <c r="B90" s="104"/>
      <c r="C90" s="104"/>
      <c r="D90" s="105"/>
      <c r="E90" s="106"/>
      <c r="F90" s="107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6"/>
    </row>
    <row r="91" ht="15.75" customHeight="1">
      <c r="A91" s="109"/>
      <c r="B91" s="104"/>
      <c r="C91" s="104"/>
      <c r="D91" s="105"/>
      <c r="E91" s="106"/>
      <c r="F91" s="107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6"/>
    </row>
    <row r="92" ht="15.75" customHeight="1">
      <c r="A92" s="109"/>
      <c r="B92" s="104"/>
      <c r="C92" s="104"/>
      <c r="D92" s="105"/>
      <c r="E92" s="106"/>
      <c r="F92" s="107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6"/>
    </row>
    <row r="93" ht="15.75" customHeight="1">
      <c r="A93" s="109"/>
      <c r="B93" s="104"/>
      <c r="C93" s="104"/>
      <c r="D93" s="105"/>
      <c r="E93" s="106"/>
      <c r="F93" s="107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6"/>
    </row>
    <row r="94" ht="15.75" customHeight="1">
      <c r="A94" s="109"/>
      <c r="B94" s="104"/>
      <c r="C94" s="104"/>
      <c r="D94" s="105"/>
      <c r="E94" s="106"/>
      <c r="F94" s="107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6"/>
    </row>
    <row r="95" ht="15.75" customHeight="1">
      <c r="A95" s="109"/>
      <c r="B95" s="104"/>
      <c r="C95" s="104"/>
      <c r="D95" s="105"/>
      <c r="E95" s="106"/>
      <c r="F95" s="107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6"/>
    </row>
    <row r="96" ht="15.75" customHeight="1">
      <c r="A96" s="109"/>
      <c r="B96" s="104"/>
      <c r="C96" s="104"/>
      <c r="D96" s="105"/>
      <c r="E96" s="106"/>
      <c r="F96" s="107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6"/>
    </row>
    <row r="97" ht="15.75" customHeight="1">
      <c r="A97" s="109"/>
      <c r="B97" s="104"/>
      <c r="C97" s="104"/>
      <c r="D97" s="105"/>
      <c r="E97" s="106"/>
      <c r="F97" s="107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6"/>
    </row>
    <row r="98" ht="15.75" customHeight="1">
      <c r="A98" s="109"/>
      <c r="B98" s="104"/>
      <c r="C98" s="104"/>
      <c r="D98" s="105"/>
      <c r="E98" s="106"/>
      <c r="F98" s="107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6"/>
    </row>
    <row r="99" ht="15.75" customHeight="1">
      <c r="A99" s="109"/>
      <c r="B99" s="104"/>
      <c r="C99" s="104"/>
      <c r="D99" s="105"/>
      <c r="E99" s="106"/>
      <c r="F99" s="107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6"/>
    </row>
    <row r="100" ht="15.75" customHeight="1">
      <c r="A100" s="109"/>
      <c r="B100" s="104"/>
      <c r="C100" s="104"/>
      <c r="D100" s="105"/>
      <c r="E100" s="106"/>
      <c r="F100" s="107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6"/>
    </row>
    <row r="101" ht="15.75" customHeight="1">
      <c r="A101" s="109"/>
      <c r="B101" s="104"/>
      <c r="C101" s="104"/>
      <c r="D101" s="105"/>
      <c r="E101" s="106"/>
      <c r="F101" s="107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6"/>
    </row>
    <row r="102" ht="15.75" customHeight="1">
      <c r="A102" s="109"/>
      <c r="B102" s="104"/>
      <c r="C102" s="104"/>
      <c r="D102" s="105"/>
      <c r="E102" s="106"/>
      <c r="F102" s="107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6"/>
    </row>
    <row r="103" ht="15.75" customHeight="1">
      <c r="A103" s="109"/>
      <c r="B103" s="104"/>
      <c r="C103" s="104"/>
      <c r="D103" s="105"/>
      <c r="E103" s="106"/>
      <c r="F103" s="107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6"/>
    </row>
    <row r="104" ht="15.75" customHeight="1">
      <c r="A104" s="109"/>
      <c r="B104" s="104"/>
      <c r="C104" s="104"/>
      <c r="D104" s="105"/>
      <c r="E104" s="106"/>
      <c r="F104" s="107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6"/>
    </row>
    <row r="105" ht="15.75" customHeight="1">
      <c r="A105" s="109"/>
      <c r="B105" s="104"/>
      <c r="C105" s="104"/>
      <c r="D105" s="105"/>
      <c r="E105" s="106"/>
      <c r="F105" s="107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6"/>
    </row>
    <row r="106" ht="15.75" customHeight="1">
      <c r="A106" s="109"/>
      <c r="B106" s="104"/>
      <c r="C106" s="104"/>
      <c r="D106" s="105"/>
      <c r="E106" s="106"/>
      <c r="F106" s="107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6"/>
    </row>
    <row r="107" ht="15.75" customHeight="1">
      <c r="A107" s="109"/>
      <c r="B107" s="104"/>
      <c r="C107" s="104"/>
      <c r="D107" s="105"/>
      <c r="E107" s="106"/>
      <c r="F107" s="107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6"/>
    </row>
    <row r="108" ht="15.75" customHeight="1">
      <c r="A108" s="109"/>
      <c r="B108" s="104"/>
      <c r="C108" s="104"/>
      <c r="D108" s="105"/>
      <c r="E108" s="106"/>
      <c r="F108" s="107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6"/>
    </row>
    <row r="109" ht="15.75" customHeight="1">
      <c r="A109" s="109"/>
      <c r="B109" s="104"/>
      <c r="C109" s="104"/>
      <c r="D109" s="105"/>
      <c r="E109" s="106"/>
      <c r="F109" s="107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6"/>
    </row>
    <row r="110" ht="15.75" customHeight="1">
      <c r="A110" s="109"/>
      <c r="B110" s="104"/>
      <c r="C110" s="104"/>
      <c r="D110" s="105"/>
      <c r="E110" s="106"/>
      <c r="F110" s="107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6"/>
    </row>
    <row r="111" ht="15.75" customHeight="1">
      <c r="A111" s="109"/>
      <c r="B111" s="104"/>
      <c r="C111" s="104"/>
      <c r="D111" s="105"/>
      <c r="E111" s="106"/>
      <c r="F111" s="107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6"/>
    </row>
    <row r="112" ht="15.75" customHeight="1">
      <c r="A112" s="109"/>
      <c r="B112" s="104"/>
      <c r="C112" s="104"/>
      <c r="D112" s="105"/>
      <c r="E112" s="106"/>
      <c r="F112" s="107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6"/>
    </row>
    <row r="113" ht="15.75" customHeight="1">
      <c r="A113" s="109"/>
      <c r="B113" s="104"/>
      <c r="C113" s="104"/>
      <c r="D113" s="105"/>
      <c r="E113" s="106"/>
      <c r="F113" s="107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6"/>
    </row>
    <row r="114" ht="15.75" customHeight="1">
      <c r="A114" s="109"/>
      <c r="B114" s="104"/>
      <c r="C114" s="104"/>
      <c r="D114" s="105"/>
      <c r="E114" s="106"/>
      <c r="F114" s="107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6"/>
    </row>
    <row r="115" ht="15.75" customHeight="1">
      <c r="A115" s="109"/>
      <c r="B115" s="104"/>
      <c r="C115" s="104"/>
      <c r="D115" s="105"/>
      <c r="E115" s="106"/>
      <c r="F115" s="107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6"/>
    </row>
    <row r="116" ht="15.75" customHeight="1">
      <c r="A116" s="109"/>
      <c r="B116" s="104"/>
      <c r="C116" s="104"/>
      <c r="D116" s="105"/>
      <c r="E116" s="106"/>
      <c r="F116" s="107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6"/>
    </row>
    <row r="117" ht="15.75" customHeight="1">
      <c r="A117" s="109"/>
      <c r="B117" s="104"/>
      <c r="C117" s="104"/>
      <c r="D117" s="105"/>
      <c r="E117" s="106"/>
      <c r="F117" s="107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6"/>
    </row>
    <row r="118" ht="15.75" customHeight="1">
      <c r="A118" s="109"/>
      <c r="B118" s="104"/>
      <c r="C118" s="104"/>
      <c r="D118" s="105"/>
      <c r="E118" s="106"/>
      <c r="F118" s="107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6"/>
    </row>
    <row r="119" ht="15.75" customHeight="1">
      <c r="A119" s="109"/>
      <c r="B119" s="104"/>
      <c r="C119" s="104"/>
      <c r="D119" s="105"/>
      <c r="E119" s="106"/>
      <c r="F119" s="107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6"/>
    </row>
    <row r="120" ht="15.75" customHeight="1">
      <c r="A120" s="109"/>
      <c r="B120" s="104"/>
      <c r="C120" s="104"/>
      <c r="D120" s="105"/>
      <c r="E120" s="106"/>
      <c r="F120" s="107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6"/>
    </row>
    <row r="121" ht="15.75" customHeight="1">
      <c r="A121" s="109"/>
      <c r="B121" s="104"/>
      <c r="C121" s="104"/>
      <c r="D121" s="105"/>
      <c r="E121" s="106"/>
      <c r="F121" s="107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6"/>
    </row>
    <row r="122" ht="15.75" customHeight="1">
      <c r="A122" s="109"/>
      <c r="B122" s="104"/>
      <c r="C122" s="104"/>
      <c r="D122" s="105"/>
      <c r="E122" s="106"/>
      <c r="F122" s="107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6"/>
    </row>
    <row r="123" ht="15.75" customHeight="1">
      <c r="A123" s="109"/>
      <c r="B123" s="104"/>
      <c r="C123" s="104"/>
      <c r="D123" s="105"/>
      <c r="E123" s="106"/>
      <c r="F123" s="107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6"/>
    </row>
    <row r="124" ht="15.75" customHeight="1">
      <c r="A124" s="109"/>
      <c r="B124" s="104"/>
      <c r="C124" s="104"/>
      <c r="D124" s="105"/>
      <c r="E124" s="106"/>
      <c r="F124" s="107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6"/>
    </row>
    <row r="125" ht="15.75" customHeight="1">
      <c r="A125" s="109"/>
      <c r="B125" s="104"/>
      <c r="C125" s="104"/>
      <c r="D125" s="105"/>
      <c r="E125" s="106"/>
      <c r="F125" s="107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6"/>
    </row>
    <row r="126" ht="15.75" customHeight="1">
      <c r="A126" s="109"/>
      <c r="B126" s="104"/>
      <c r="C126" s="104"/>
      <c r="D126" s="105"/>
      <c r="E126" s="106"/>
      <c r="F126" s="107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6"/>
    </row>
    <row r="127" ht="15.75" customHeight="1">
      <c r="A127" s="109"/>
      <c r="B127" s="104"/>
      <c r="C127" s="104"/>
      <c r="D127" s="105"/>
      <c r="E127" s="106"/>
      <c r="F127" s="107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6"/>
    </row>
    <row r="128" ht="15.75" customHeight="1">
      <c r="A128" s="109"/>
      <c r="B128" s="104"/>
      <c r="C128" s="104"/>
      <c r="D128" s="105"/>
      <c r="E128" s="106"/>
      <c r="F128" s="107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6"/>
    </row>
    <row r="129" ht="15.75" customHeight="1">
      <c r="A129" s="109"/>
      <c r="B129" s="104"/>
      <c r="C129" s="104"/>
      <c r="D129" s="105"/>
      <c r="E129" s="106"/>
      <c r="F129" s="107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6"/>
    </row>
    <row r="130" ht="15.75" customHeight="1">
      <c r="A130" s="109"/>
      <c r="B130" s="104"/>
      <c r="C130" s="104"/>
      <c r="D130" s="105"/>
      <c r="E130" s="106"/>
      <c r="F130" s="107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6"/>
    </row>
    <row r="131" ht="15.75" customHeight="1">
      <c r="A131" s="109"/>
      <c r="B131" s="104"/>
      <c r="C131" s="104"/>
      <c r="D131" s="105"/>
      <c r="E131" s="106"/>
      <c r="F131" s="107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6"/>
    </row>
    <row r="132" ht="15.75" customHeight="1">
      <c r="A132" s="109"/>
      <c r="B132" s="104"/>
      <c r="C132" s="104"/>
      <c r="D132" s="105"/>
      <c r="E132" s="106"/>
      <c r="F132" s="107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6"/>
    </row>
    <row r="133" ht="15.75" customHeight="1">
      <c r="A133" s="109"/>
      <c r="B133" s="104"/>
      <c r="C133" s="104"/>
      <c r="D133" s="105"/>
      <c r="E133" s="106"/>
      <c r="F133" s="107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6"/>
    </row>
    <row r="134" ht="15.75" customHeight="1">
      <c r="A134" s="109"/>
      <c r="B134" s="104"/>
      <c r="C134" s="104"/>
      <c r="D134" s="105"/>
      <c r="E134" s="106"/>
      <c r="F134" s="107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6"/>
    </row>
    <row r="135" ht="15.75" customHeight="1">
      <c r="A135" s="109"/>
      <c r="B135" s="104"/>
      <c r="C135" s="104"/>
      <c r="D135" s="105"/>
      <c r="E135" s="106"/>
      <c r="F135" s="107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6"/>
    </row>
    <row r="136" ht="15.75" customHeight="1">
      <c r="A136" s="109"/>
      <c r="B136" s="104"/>
      <c r="C136" s="104"/>
      <c r="D136" s="105"/>
      <c r="E136" s="106"/>
      <c r="F136" s="107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6"/>
    </row>
    <row r="137" ht="15.75" customHeight="1">
      <c r="A137" s="109"/>
      <c r="B137" s="104"/>
      <c r="C137" s="104"/>
      <c r="D137" s="105"/>
      <c r="E137" s="106"/>
      <c r="F137" s="107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6"/>
    </row>
    <row r="138" ht="15.75" customHeight="1">
      <c r="A138" s="109"/>
      <c r="B138" s="104"/>
      <c r="C138" s="104"/>
      <c r="D138" s="105"/>
      <c r="E138" s="106"/>
      <c r="F138" s="107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6"/>
    </row>
    <row r="139" ht="15.75" customHeight="1">
      <c r="A139" s="109"/>
      <c r="B139" s="104"/>
      <c r="C139" s="104"/>
      <c r="D139" s="105"/>
      <c r="E139" s="106"/>
      <c r="F139" s="107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6"/>
    </row>
    <row r="140" ht="15.75" customHeight="1">
      <c r="A140" s="109"/>
      <c r="B140" s="104"/>
      <c r="C140" s="104"/>
      <c r="D140" s="105"/>
      <c r="E140" s="106"/>
      <c r="F140" s="107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6"/>
    </row>
    <row r="141" ht="15.75" customHeight="1">
      <c r="A141" s="109"/>
      <c r="B141" s="104"/>
      <c r="C141" s="104"/>
      <c r="D141" s="105"/>
      <c r="E141" s="106"/>
      <c r="F141" s="107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6"/>
    </row>
    <row r="142" ht="15.75" customHeight="1">
      <c r="A142" s="109"/>
      <c r="B142" s="104"/>
      <c r="C142" s="104"/>
      <c r="D142" s="105"/>
      <c r="E142" s="106"/>
      <c r="F142" s="107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6"/>
    </row>
    <row r="143" ht="15.75" customHeight="1">
      <c r="A143" s="109"/>
      <c r="B143" s="104"/>
      <c r="C143" s="104"/>
      <c r="D143" s="105"/>
      <c r="E143" s="106"/>
      <c r="F143" s="107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6"/>
    </row>
    <row r="144" ht="15.75" customHeight="1">
      <c r="A144" s="109"/>
      <c r="B144" s="104"/>
      <c r="C144" s="104"/>
      <c r="D144" s="105"/>
      <c r="E144" s="106"/>
      <c r="F144" s="107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6"/>
    </row>
    <row r="145" ht="15.75" customHeight="1">
      <c r="A145" s="109"/>
      <c r="B145" s="104"/>
      <c r="C145" s="104"/>
      <c r="D145" s="105"/>
      <c r="E145" s="106"/>
      <c r="F145" s="107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6"/>
    </row>
    <row r="146" ht="15.75" customHeight="1">
      <c r="A146" s="109"/>
      <c r="B146" s="104"/>
      <c r="C146" s="104"/>
      <c r="D146" s="105"/>
      <c r="E146" s="106"/>
      <c r="F146" s="107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6"/>
    </row>
    <row r="147" ht="15.75" customHeight="1">
      <c r="A147" s="109"/>
      <c r="B147" s="104"/>
      <c r="C147" s="104"/>
      <c r="D147" s="105"/>
      <c r="E147" s="106"/>
      <c r="F147" s="107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6"/>
    </row>
    <row r="148" ht="15.75" customHeight="1">
      <c r="A148" s="109"/>
      <c r="B148" s="104"/>
      <c r="C148" s="104"/>
      <c r="D148" s="105"/>
      <c r="E148" s="106"/>
      <c r="F148" s="107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6"/>
    </row>
    <row r="149" ht="15.75" customHeight="1">
      <c r="A149" s="109"/>
      <c r="B149" s="104"/>
      <c r="C149" s="104"/>
      <c r="D149" s="105"/>
      <c r="E149" s="106"/>
      <c r="F149" s="107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6"/>
    </row>
    <row r="150" ht="15.75" customHeight="1">
      <c r="A150" s="109"/>
      <c r="B150" s="104"/>
      <c r="C150" s="104"/>
      <c r="D150" s="105"/>
      <c r="E150" s="106"/>
      <c r="F150" s="107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6"/>
    </row>
    <row r="151" ht="15.75" customHeight="1">
      <c r="A151" s="109"/>
      <c r="B151" s="104"/>
      <c r="C151" s="104"/>
      <c r="D151" s="105"/>
      <c r="E151" s="106"/>
      <c r="F151" s="107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6"/>
    </row>
    <row r="152" ht="15.75" customHeight="1">
      <c r="A152" s="109"/>
      <c r="B152" s="104"/>
      <c r="C152" s="104"/>
      <c r="D152" s="105"/>
      <c r="E152" s="106"/>
      <c r="F152" s="107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6"/>
    </row>
    <row r="153" ht="15.75" customHeight="1">
      <c r="A153" s="109"/>
      <c r="B153" s="104"/>
      <c r="C153" s="104"/>
      <c r="D153" s="105"/>
      <c r="E153" s="106"/>
      <c r="F153" s="107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6"/>
    </row>
    <row r="154" ht="15.75" customHeight="1">
      <c r="A154" s="109"/>
      <c r="B154" s="104"/>
      <c r="C154" s="104"/>
      <c r="D154" s="105"/>
      <c r="E154" s="106"/>
      <c r="F154" s="107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6"/>
    </row>
    <row r="155" ht="15.75" customHeight="1">
      <c r="A155" s="109"/>
      <c r="B155" s="104"/>
      <c r="C155" s="104"/>
      <c r="D155" s="105"/>
      <c r="E155" s="106"/>
      <c r="F155" s="107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6"/>
    </row>
    <row r="156" ht="15.75" customHeight="1">
      <c r="A156" s="109"/>
      <c r="B156" s="104"/>
      <c r="C156" s="104"/>
      <c r="D156" s="105"/>
      <c r="E156" s="106"/>
      <c r="F156" s="107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6"/>
    </row>
    <row r="157" ht="15.75" customHeight="1">
      <c r="A157" s="109"/>
      <c r="B157" s="104"/>
      <c r="C157" s="104"/>
      <c r="D157" s="105"/>
      <c r="E157" s="106"/>
      <c r="F157" s="107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6"/>
    </row>
    <row r="158" ht="15.75" customHeight="1">
      <c r="A158" s="109"/>
      <c r="B158" s="104"/>
      <c r="C158" s="104"/>
      <c r="D158" s="105"/>
      <c r="E158" s="106"/>
      <c r="F158" s="107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6"/>
    </row>
    <row r="159" ht="15.75" customHeight="1">
      <c r="A159" s="109"/>
      <c r="B159" s="104"/>
      <c r="C159" s="104"/>
      <c r="D159" s="105"/>
      <c r="E159" s="106"/>
      <c r="F159" s="107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6"/>
    </row>
    <row r="160" ht="15.75" customHeight="1">
      <c r="A160" s="109"/>
      <c r="B160" s="104"/>
      <c r="C160" s="104"/>
      <c r="D160" s="105"/>
      <c r="E160" s="106"/>
      <c r="F160" s="107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6"/>
    </row>
    <row r="161" ht="15.75" customHeight="1">
      <c r="A161" s="109"/>
      <c r="B161" s="104"/>
      <c r="C161" s="104"/>
      <c r="D161" s="105"/>
      <c r="E161" s="106"/>
      <c r="F161" s="107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6"/>
    </row>
    <row r="162" ht="15.75" customHeight="1">
      <c r="A162" s="109"/>
      <c r="B162" s="104"/>
      <c r="C162" s="104"/>
      <c r="D162" s="105"/>
      <c r="E162" s="106"/>
      <c r="F162" s="107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6"/>
    </row>
    <row r="163" ht="15.75" customHeight="1">
      <c r="A163" s="109"/>
      <c r="B163" s="104"/>
      <c r="C163" s="104"/>
      <c r="D163" s="105"/>
      <c r="E163" s="106"/>
      <c r="F163" s="107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6"/>
    </row>
    <row r="164" ht="15.75" customHeight="1">
      <c r="A164" s="109"/>
      <c r="B164" s="104"/>
      <c r="C164" s="104"/>
      <c r="D164" s="105"/>
      <c r="E164" s="106"/>
      <c r="F164" s="107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6"/>
    </row>
    <row r="165" ht="15.75" customHeight="1">
      <c r="A165" s="109"/>
      <c r="B165" s="104"/>
      <c r="C165" s="104"/>
      <c r="D165" s="105"/>
      <c r="E165" s="106"/>
      <c r="F165" s="107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6"/>
    </row>
    <row r="166" ht="15.75" customHeight="1">
      <c r="A166" s="109"/>
      <c r="B166" s="104"/>
      <c r="C166" s="104"/>
      <c r="D166" s="105"/>
      <c r="E166" s="106"/>
      <c r="F166" s="107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6"/>
    </row>
    <row r="167" ht="15.75" customHeight="1">
      <c r="A167" s="109"/>
      <c r="B167" s="104"/>
      <c r="C167" s="104"/>
      <c r="D167" s="105"/>
      <c r="E167" s="106"/>
      <c r="F167" s="107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6"/>
    </row>
    <row r="168" ht="15.75" customHeight="1">
      <c r="A168" s="109"/>
      <c r="B168" s="104"/>
      <c r="C168" s="104"/>
      <c r="D168" s="105"/>
      <c r="E168" s="106"/>
      <c r="F168" s="107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6"/>
    </row>
    <row r="169" ht="15.75" customHeight="1">
      <c r="A169" s="109"/>
      <c r="B169" s="104"/>
      <c r="C169" s="104"/>
      <c r="D169" s="105"/>
      <c r="E169" s="106"/>
      <c r="F169" s="107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6"/>
    </row>
    <row r="170" ht="15.75" customHeight="1">
      <c r="A170" s="109"/>
      <c r="B170" s="104"/>
      <c r="C170" s="104"/>
      <c r="D170" s="105"/>
      <c r="E170" s="106"/>
      <c r="F170" s="107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6"/>
    </row>
    <row r="171" ht="15.75" customHeight="1">
      <c r="A171" s="109"/>
      <c r="B171" s="104"/>
      <c r="C171" s="104"/>
      <c r="D171" s="105"/>
      <c r="E171" s="106"/>
      <c r="F171" s="107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6"/>
    </row>
    <row r="172" ht="15.75" customHeight="1">
      <c r="A172" s="109"/>
      <c r="B172" s="104"/>
      <c r="C172" s="104"/>
      <c r="D172" s="105"/>
      <c r="E172" s="106"/>
      <c r="F172" s="107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6"/>
    </row>
    <row r="173" ht="15.75" customHeight="1">
      <c r="A173" s="109"/>
      <c r="B173" s="104"/>
      <c r="C173" s="104"/>
      <c r="D173" s="105"/>
      <c r="E173" s="106"/>
      <c r="F173" s="107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6"/>
    </row>
    <row r="174" ht="15.75" customHeight="1">
      <c r="A174" s="109"/>
      <c r="B174" s="104"/>
      <c r="C174" s="104"/>
      <c r="D174" s="105"/>
      <c r="E174" s="106"/>
      <c r="F174" s="107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6"/>
    </row>
    <row r="175" ht="15.75" customHeight="1">
      <c r="A175" s="109"/>
      <c r="B175" s="104"/>
      <c r="C175" s="104"/>
      <c r="D175" s="105"/>
      <c r="E175" s="106"/>
      <c r="F175" s="107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6"/>
    </row>
    <row r="176" ht="15.75" customHeight="1">
      <c r="A176" s="109"/>
      <c r="B176" s="104"/>
      <c r="C176" s="104"/>
      <c r="D176" s="105"/>
      <c r="E176" s="106"/>
      <c r="F176" s="107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6"/>
    </row>
    <row r="177" ht="15.75" customHeight="1">
      <c r="A177" s="109"/>
      <c r="B177" s="104"/>
      <c r="C177" s="104"/>
      <c r="D177" s="105"/>
      <c r="E177" s="106"/>
      <c r="F177" s="107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6"/>
    </row>
    <row r="178" ht="15.75" customHeight="1">
      <c r="A178" s="109"/>
      <c r="B178" s="104"/>
      <c r="C178" s="104"/>
      <c r="D178" s="105"/>
      <c r="E178" s="106"/>
      <c r="F178" s="107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6"/>
    </row>
    <row r="179" ht="15.75" customHeight="1">
      <c r="A179" s="109"/>
      <c r="B179" s="104"/>
      <c r="C179" s="104"/>
      <c r="D179" s="105"/>
      <c r="E179" s="106"/>
      <c r="F179" s="107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6"/>
    </row>
    <row r="180" ht="15.75" customHeight="1">
      <c r="A180" s="109"/>
      <c r="B180" s="104"/>
      <c r="C180" s="104"/>
      <c r="D180" s="105"/>
      <c r="E180" s="106"/>
      <c r="F180" s="107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6"/>
    </row>
    <row r="181" ht="15.75" customHeight="1">
      <c r="A181" s="109"/>
      <c r="B181" s="104"/>
      <c r="C181" s="104"/>
      <c r="D181" s="105"/>
      <c r="E181" s="106"/>
      <c r="F181" s="107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6"/>
    </row>
    <row r="182" ht="15.75" customHeight="1">
      <c r="A182" s="109"/>
      <c r="B182" s="104"/>
      <c r="C182" s="104"/>
      <c r="D182" s="105"/>
      <c r="E182" s="106"/>
      <c r="F182" s="107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6"/>
    </row>
    <row r="183" ht="15.75" customHeight="1">
      <c r="A183" s="109"/>
      <c r="B183" s="104"/>
      <c r="C183" s="104"/>
      <c r="D183" s="105"/>
      <c r="E183" s="106"/>
      <c r="F183" s="107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6"/>
    </row>
    <row r="184" ht="15.75" customHeight="1">
      <c r="A184" s="109"/>
      <c r="B184" s="104"/>
      <c r="C184" s="104"/>
      <c r="D184" s="105"/>
      <c r="E184" s="106"/>
      <c r="F184" s="107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6"/>
    </row>
    <row r="185" ht="15.75" customHeight="1">
      <c r="A185" s="109"/>
      <c r="B185" s="104"/>
      <c r="C185" s="104"/>
      <c r="D185" s="105"/>
      <c r="E185" s="106"/>
      <c r="F185" s="107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6"/>
    </row>
    <row r="186" ht="15.75" customHeight="1">
      <c r="A186" s="109"/>
      <c r="B186" s="104"/>
      <c r="C186" s="104"/>
      <c r="D186" s="105"/>
      <c r="E186" s="106"/>
      <c r="F186" s="107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6"/>
    </row>
    <row r="187" ht="15.75" customHeight="1">
      <c r="A187" s="109"/>
      <c r="B187" s="104"/>
      <c r="C187" s="104"/>
      <c r="D187" s="105"/>
      <c r="E187" s="106"/>
      <c r="F187" s="107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6"/>
    </row>
    <row r="188" ht="15.75" customHeight="1">
      <c r="A188" s="109"/>
      <c r="B188" s="104"/>
      <c r="C188" s="104"/>
      <c r="D188" s="105"/>
      <c r="E188" s="106"/>
      <c r="F188" s="107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6"/>
    </row>
    <row r="189" ht="15.75" customHeight="1">
      <c r="A189" s="109"/>
      <c r="B189" s="104"/>
      <c r="C189" s="104"/>
      <c r="D189" s="105"/>
      <c r="E189" s="106"/>
      <c r="F189" s="107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6"/>
    </row>
    <row r="190" ht="15.75" customHeight="1">
      <c r="A190" s="109"/>
      <c r="B190" s="104"/>
      <c r="C190" s="104"/>
      <c r="D190" s="105"/>
      <c r="E190" s="106"/>
      <c r="F190" s="107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6"/>
    </row>
    <row r="191" ht="15.75" customHeight="1">
      <c r="A191" s="109"/>
      <c r="B191" s="104"/>
      <c r="C191" s="104"/>
      <c r="D191" s="105"/>
      <c r="E191" s="106"/>
      <c r="F191" s="107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6"/>
    </row>
    <row r="192" ht="15.75" customHeight="1">
      <c r="A192" s="109"/>
      <c r="B192" s="104"/>
      <c r="C192" s="104"/>
      <c r="D192" s="105"/>
      <c r="E192" s="106"/>
      <c r="F192" s="107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6"/>
    </row>
    <row r="193" ht="15.75" customHeight="1">
      <c r="A193" s="109"/>
      <c r="B193" s="104"/>
      <c r="C193" s="104"/>
      <c r="D193" s="105"/>
      <c r="E193" s="106"/>
      <c r="F193" s="107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6"/>
    </row>
    <row r="194" ht="15.75" customHeight="1">
      <c r="A194" s="109"/>
      <c r="B194" s="104"/>
      <c r="C194" s="104"/>
      <c r="D194" s="105"/>
      <c r="E194" s="106"/>
      <c r="F194" s="107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6"/>
    </row>
    <row r="195" ht="15.75" customHeight="1">
      <c r="A195" s="109"/>
      <c r="B195" s="104"/>
      <c r="C195" s="104"/>
      <c r="D195" s="105"/>
      <c r="E195" s="106"/>
      <c r="F195" s="107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6"/>
    </row>
    <row r="196" ht="15.75" customHeight="1">
      <c r="A196" s="109"/>
      <c r="B196" s="104"/>
      <c r="C196" s="104"/>
      <c r="D196" s="105"/>
      <c r="E196" s="106"/>
      <c r="F196" s="107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6"/>
    </row>
    <row r="197" ht="15.75" customHeight="1">
      <c r="A197" s="109"/>
      <c r="B197" s="104"/>
      <c r="C197" s="104"/>
      <c r="D197" s="105"/>
      <c r="E197" s="106"/>
      <c r="F197" s="107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6"/>
    </row>
    <row r="198" ht="15.75" customHeight="1">
      <c r="A198" s="109"/>
      <c r="B198" s="104"/>
      <c r="C198" s="104"/>
      <c r="D198" s="105"/>
      <c r="E198" s="106"/>
      <c r="F198" s="107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6"/>
    </row>
    <row r="199" ht="15.75" customHeight="1">
      <c r="A199" s="109"/>
      <c r="B199" s="104"/>
      <c r="C199" s="104"/>
      <c r="D199" s="105"/>
      <c r="E199" s="106"/>
      <c r="F199" s="107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6"/>
    </row>
    <row r="200" ht="15.75" customHeight="1">
      <c r="A200" s="109"/>
      <c r="B200" s="104"/>
      <c r="C200" s="104"/>
      <c r="D200" s="105"/>
      <c r="E200" s="106"/>
      <c r="F200" s="107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6"/>
    </row>
    <row r="201" ht="15.75" customHeight="1">
      <c r="A201" s="109"/>
      <c r="B201" s="104"/>
      <c r="C201" s="104"/>
      <c r="D201" s="105"/>
      <c r="E201" s="106"/>
      <c r="F201" s="107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6"/>
    </row>
    <row r="202" ht="15.75" customHeight="1">
      <c r="A202" s="109"/>
      <c r="B202" s="104"/>
      <c r="C202" s="104"/>
      <c r="D202" s="105"/>
      <c r="E202" s="106"/>
      <c r="F202" s="107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6"/>
    </row>
    <row r="203" ht="15.75" customHeight="1">
      <c r="A203" s="109"/>
      <c r="B203" s="104"/>
      <c r="C203" s="104"/>
      <c r="D203" s="105"/>
      <c r="E203" s="106"/>
      <c r="F203" s="107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6"/>
    </row>
    <row r="204" ht="15.75" customHeight="1">
      <c r="A204" s="109"/>
      <c r="B204" s="104"/>
      <c r="C204" s="104"/>
      <c r="D204" s="105"/>
      <c r="E204" s="106"/>
      <c r="F204" s="107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6"/>
    </row>
    <row r="205" ht="15.75" customHeight="1">
      <c r="A205" s="109"/>
      <c r="B205" s="104"/>
      <c r="C205" s="104"/>
      <c r="D205" s="105"/>
      <c r="E205" s="106"/>
      <c r="F205" s="107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6"/>
    </row>
    <row r="206" ht="15.75" customHeight="1">
      <c r="A206" s="109"/>
      <c r="B206" s="104"/>
      <c r="C206" s="104"/>
      <c r="D206" s="105"/>
      <c r="E206" s="106"/>
      <c r="F206" s="107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6"/>
    </row>
    <row r="207" ht="15.75" customHeight="1">
      <c r="A207" s="109"/>
      <c r="B207" s="104"/>
      <c r="C207" s="104"/>
      <c r="D207" s="105"/>
      <c r="E207" s="106"/>
      <c r="F207" s="107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6"/>
    </row>
    <row r="208" ht="15.75" customHeight="1">
      <c r="A208" s="109"/>
      <c r="B208" s="104"/>
      <c r="C208" s="104"/>
      <c r="D208" s="105"/>
      <c r="E208" s="106"/>
      <c r="F208" s="107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6"/>
    </row>
    <row r="209" ht="15.75" customHeight="1">
      <c r="A209" s="109"/>
      <c r="B209" s="104"/>
      <c r="C209" s="104"/>
      <c r="D209" s="105"/>
      <c r="E209" s="106"/>
      <c r="F209" s="107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6"/>
    </row>
    <row r="210" ht="15.75" customHeight="1">
      <c r="A210" s="109"/>
      <c r="B210" s="104"/>
      <c r="C210" s="104"/>
      <c r="D210" s="105"/>
      <c r="E210" s="106"/>
      <c r="F210" s="107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6"/>
    </row>
    <row r="211" ht="15.75" customHeight="1">
      <c r="A211" s="109"/>
      <c r="B211" s="104"/>
      <c r="C211" s="104"/>
      <c r="D211" s="105"/>
      <c r="E211" s="106"/>
      <c r="F211" s="107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6"/>
    </row>
    <row r="212" ht="15.75" customHeight="1">
      <c r="A212" s="109"/>
      <c r="B212" s="104"/>
      <c r="C212" s="104"/>
      <c r="D212" s="105"/>
      <c r="E212" s="106"/>
      <c r="F212" s="107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6"/>
    </row>
    <row r="213" ht="15.75" customHeight="1">
      <c r="A213" s="109"/>
      <c r="B213" s="104"/>
      <c r="C213" s="104"/>
      <c r="D213" s="105"/>
      <c r="E213" s="106"/>
      <c r="F213" s="107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6"/>
    </row>
    <row r="214" ht="15.75" customHeight="1">
      <c r="A214" s="109"/>
      <c r="B214" s="104"/>
      <c r="C214" s="104"/>
      <c r="D214" s="105"/>
      <c r="E214" s="106"/>
      <c r="F214" s="107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6"/>
    </row>
    <row r="215" ht="15.75" customHeight="1">
      <c r="A215" s="109"/>
      <c r="B215" s="104"/>
      <c r="C215" s="104"/>
      <c r="D215" s="105"/>
      <c r="E215" s="106"/>
      <c r="F215" s="107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6"/>
    </row>
    <row r="216" ht="15.75" customHeight="1">
      <c r="A216" s="109"/>
      <c r="B216" s="104"/>
      <c r="C216" s="104"/>
      <c r="D216" s="105"/>
      <c r="E216" s="106"/>
      <c r="F216" s="107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6"/>
    </row>
    <row r="217" ht="15.75" customHeight="1">
      <c r="A217" s="109"/>
      <c r="B217" s="104"/>
      <c r="C217" s="104"/>
      <c r="D217" s="105"/>
      <c r="E217" s="106"/>
      <c r="F217" s="107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6"/>
    </row>
    <row r="218" ht="15.75" customHeight="1">
      <c r="A218" s="109"/>
      <c r="B218" s="104"/>
      <c r="C218" s="104"/>
      <c r="D218" s="105"/>
      <c r="E218" s="106"/>
      <c r="F218" s="107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6"/>
    </row>
    <row r="219" ht="15.75" customHeight="1">
      <c r="A219" s="109"/>
      <c r="B219" s="104"/>
      <c r="C219" s="104"/>
      <c r="D219" s="105"/>
      <c r="E219" s="106"/>
      <c r="F219" s="107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6"/>
    </row>
    <row r="220" ht="15.75" customHeight="1">
      <c r="A220" s="109"/>
      <c r="B220" s="104"/>
      <c r="C220" s="104"/>
      <c r="D220" s="105"/>
      <c r="E220" s="106"/>
      <c r="F220" s="107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6"/>
    </row>
    <row r="221" ht="15.75" customHeight="1">
      <c r="A221" s="109"/>
      <c r="B221" s="104"/>
      <c r="C221" s="104"/>
      <c r="D221" s="105"/>
      <c r="E221" s="106"/>
      <c r="F221" s="107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6"/>
    </row>
    <row r="222" ht="15.75" customHeight="1">
      <c r="A222" s="109"/>
      <c r="B222" s="104"/>
      <c r="C222" s="104"/>
      <c r="D222" s="105"/>
      <c r="E222" s="106"/>
      <c r="F222" s="107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6"/>
    </row>
    <row r="223" ht="15.75" customHeight="1">
      <c r="A223" s="109"/>
      <c r="B223" s="104"/>
      <c r="C223" s="104"/>
      <c r="D223" s="105"/>
      <c r="E223" s="106"/>
      <c r="F223" s="107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6"/>
    </row>
    <row r="224" ht="15.75" customHeight="1">
      <c r="A224" s="109"/>
      <c r="B224" s="104"/>
      <c r="C224" s="104"/>
      <c r="D224" s="105"/>
      <c r="E224" s="106"/>
      <c r="F224" s="107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6"/>
    </row>
    <row r="225" ht="15.75" customHeight="1">
      <c r="A225" s="109"/>
      <c r="B225" s="104"/>
      <c r="C225" s="104"/>
      <c r="D225" s="105"/>
      <c r="E225" s="106"/>
      <c r="F225" s="107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6"/>
    </row>
    <row r="226" ht="15.75" customHeight="1">
      <c r="A226" s="109"/>
      <c r="B226" s="104"/>
      <c r="C226" s="104"/>
      <c r="D226" s="105"/>
      <c r="E226" s="106"/>
      <c r="F226" s="107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6"/>
    </row>
    <row r="227" ht="15.75" customHeight="1">
      <c r="A227" s="109"/>
      <c r="B227" s="104"/>
      <c r="C227" s="104"/>
      <c r="D227" s="105"/>
      <c r="E227" s="106"/>
      <c r="F227" s="107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6"/>
    </row>
    <row r="228" ht="15.75" customHeight="1">
      <c r="A228" s="109"/>
      <c r="B228" s="104"/>
      <c r="C228" s="104"/>
      <c r="D228" s="105"/>
      <c r="E228" s="106"/>
      <c r="F228" s="107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6"/>
    </row>
    <row r="229" ht="15.75" customHeight="1">
      <c r="A229" s="109"/>
      <c r="B229" s="104"/>
      <c r="C229" s="104"/>
      <c r="D229" s="105"/>
      <c r="E229" s="106"/>
      <c r="F229" s="107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6"/>
    </row>
    <row r="230" ht="15.75" customHeight="1">
      <c r="A230" s="109"/>
      <c r="B230" s="104"/>
      <c r="C230" s="104"/>
      <c r="D230" s="105"/>
      <c r="E230" s="106"/>
      <c r="F230" s="107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6"/>
    </row>
    <row r="231" ht="15.75" customHeight="1">
      <c r="A231" s="109"/>
      <c r="B231" s="104"/>
      <c r="C231" s="104"/>
      <c r="D231" s="105"/>
      <c r="E231" s="106"/>
      <c r="F231" s="107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6"/>
    </row>
    <row r="232" ht="15.75" customHeight="1">
      <c r="A232" s="109"/>
      <c r="B232" s="104"/>
      <c r="C232" s="104"/>
      <c r="D232" s="105"/>
      <c r="E232" s="106"/>
      <c r="F232" s="107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6"/>
    </row>
    <row r="233" ht="15.75" customHeight="1">
      <c r="A233" s="109"/>
      <c r="B233" s="104"/>
      <c r="C233" s="104"/>
      <c r="D233" s="105"/>
      <c r="E233" s="106"/>
      <c r="F233" s="107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6"/>
    </row>
    <row r="234" ht="15.75" customHeight="1">
      <c r="A234" s="109"/>
      <c r="B234" s="104"/>
      <c r="C234" s="104"/>
      <c r="D234" s="105"/>
      <c r="E234" s="106"/>
      <c r="F234" s="107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6"/>
    </row>
    <row r="235" ht="15.75" customHeight="1">
      <c r="A235" s="109"/>
      <c r="B235" s="104"/>
      <c r="C235" s="104"/>
      <c r="D235" s="105"/>
      <c r="E235" s="106"/>
      <c r="F235" s="107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6"/>
    </row>
    <row r="236" ht="15.75" customHeight="1">
      <c r="A236" s="109"/>
      <c r="B236" s="104"/>
      <c r="C236" s="104"/>
      <c r="D236" s="105"/>
      <c r="E236" s="106"/>
      <c r="F236" s="107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6"/>
    </row>
    <row r="237" ht="15.75" customHeight="1">
      <c r="A237" s="109"/>
      <c r="B237" s="104"/>
      <c r="C237" s="104"/>
      <c r="D237" s="105"/>
      <c r="E237" s="106"/>
      <c r="F237" s="107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6"/>
    </row>
    <row r="238" ht="15.75" customHeight="1">
      <c r="A238" s="109"/>
      <c r="B238" s="104"/>
      <c r="C238" s="104"/>
      <c r="D238" s="105"/>
      <c r="E238" s="106"/>
      <c r="F238" s="107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6"/>
    </row>
    <row r="239" ht="15.75" customHeight="1">
      <c r="A239" s="109"/>
      <c r="B239" s="104"/>
      <c r="C239" s="104"/>
      <c r="D239" s="105"/>
      <c r="E239" s="106"/>
      <c r="F239" s="107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6"/>
    </row>
    <row r="240" ht="15.75" customHeight="1">
      <c r="A240" s="109"/>
      <c r="B240" s="104"/>
      <c r="C240" s="104"/>
      <c r="D240" s="105"/>
      <c r="E240" s="106"/>
      <c r="F240" s="107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6"/>
    </row>
    <row r="241" ht="15.75" customHeight="1">
      <c r="A241" s="109"/>
      <c r="B241" s="104"/>
      <c r="C241" s="104"/>
      <c r="D241" s="105"/>
      <c r="E241" s="106"/>
      <c r="F241" s="107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6"/>
    </row>
    <row r="242" ht="15.75" customHeight="1">
      <c r="A242" s="109"/>
      <c r="B242" s="104"/>
      <c r="C242" s="104"/>
      <c r="D242" s="105"/>
      <c r="E242" s="106"/>
      <c r="F242" s="107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6"/>
    </row>
    <row r="243" ht="15.75" customHeight="1">
      <c r="A243" s="109"/>
      <c r="B243" s="104"/>
      <c r="C243" s="104"/>
      <c r="D243" s="105"/>
      <c r="E243" s="106"/>
      <c r="F243" s="107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6"/>
    </row>
    <row r="244" ht="15.75" customHeight="1">
      <c r="A244" s="109"/>
      <c r="B244" s="104"/>
      <c r="C244" s="104"/>
      <c r="D244" s="105"/>
      <c r="E244" s="106"/>
      <c r="F244" s="107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6"/>
    </row>
    <row r="245" ht="15.75" customHeight="1">
      <c r="A245" s="109"/>
      <c r="B245" s="104"/>
      <c r="C245" s="104"/>
      <c r="D245" s="105"/>
      <c r="E245" s="106"/>
      <c r="F245" s="107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6"/>
    </row>
    <row r="246" ht="15.75" customHeight="1">
      <c r="A246" s="109"/>
      <c r="B246" s="104"/>
      <c r="C246" s="104"/>
      <c r="D246" s="105"/>
      <c r="E246" s="106"/>
      <c r="F246" s="107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6"/>
    </row>
    <row r="247" ht="15.75" customHeight="1">
      <c r="A247" s="109"/>
      <c r="B247" s="104"/>
      <c r="C247" s="104"/>
      <c r="D247" s="105"/>
      <c r="E247" s="106"/>
      <c r="F247" s="107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6"/>
    </row>
    <row r="248" ht="15.75" customHeight="1">
      <c r="A248" s="109"/>
      <c r="B248" s="104"/>
      <c r="C248" s="104"/>
      <c r="D248" s="105"/>
      <c r="E248" s="106"/>
      <c r="F248" s="107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6"/>
    </row>
    <row r="249" ht="15.75" customHeight="1">
      <c r="A249" s="109"/>
      <c r="B249" s="104"/>
      <c r="C249" s="104"/>
      <c r="D249" s="105"/>
      <c r="E249" s="106"/>
      <c r="F249" s="107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6"/>
    </row>
    <row r="250" ht="15.75" customHeight="1">
      <c r="A250" s="109"/>
      <c r="B250" s="104"/>
      <c r="C250" s="104"/>
      <c r="D250" s="105"/>
      <c r="E250" s="106"/>
      <c r="F250" s="107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6"/>
    </row>
    <row r="251" ht="15.75" customHeight="1">
      <c r="A251" s="109"/>
      <c r="B251" s="104"/>
      <c r="C251" s="104"/>
      <c r="D251" s="105"/>
      <c r="E251" s="106"/>
      <c r="F251" s="107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6"/>
    </row>
    <row r="252" ht="15.75" customHeight="1">
      <c r="A252" s="109"/>
      <c r="B252" s="104"/>
      <c r="C252" s="104"/>
      <c r="D252" s="105"/>
      <c r="E252" s="106"/>
      <c r="F252" s="107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6"/>
    </row>
    <row r="253" ht="15.75" customHeight="1">
      <c r="A253" s="109"/>
      <c r="B253" s="104"/>
      <c r="C253" s="104"/>
      <c r="D253" s="105"/>
      <c r="E253" s="106"/>
      <c r="F253" s="107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6"/>
    </row>
    <row r="254" ht="15.75" customHeight="1">
      <c r="A254" s="109"/>
      <c r="B254" s="104"/>
      <c r="C254" s="104"/>
      <c r="D254" s="105"/>
      <c r="E254" s="106"/>
      <c r="F254" s="107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6"/>
    </row>
    <row r="255" ht="15.75" customHeight="1">
      <c r="A255" s="109"/>
      <c r="B255" s="104"/>
      <c r="C255" s="104"/>
      <c r="D255" s="105"/>
      <c r="E255" s="106"/>
      <c r="F255" s="107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6"/>
    </row>
    <row r="256" ht="15.75" customHeight="1">
      <c r="A256" s="109"/>
      <c r="B256" s="104"/>
      <c r="C256" s="104"/>
      <c r="D256" s="105"/>
      <c r="E256" s="106"/>
      <c r="F256" s="107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6"/>
    </row>
    <row r="257" ht="15.75" customHeight="1">
      <c r="A257" s="109"/>
      <c r="B257" s="104"/>
      <c r="C257" s="104"/>
      <c r="D257" s="105"/>
      <c r="E257" s="106"/>
      <c r="F257" s="107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6"/>
    </row>
    <row r="258" ht="15.75" customHeight="1">
      <c r="A258" s="109"/>
      <c r="B258" s="104"/>
      <c r="C258" s="104"/>
      <c r="D258" s="105"/>
      <c r="E258" s="106"/>
      <c r="F258" s="107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6"/>
    </row>
    <row r="259" ht="15.75" customHeight="1">
      <c r="A259" s="109"/>
      <c r="B259" s="104"/>
      <c r="C259" s="104"/>
      <c r="D259" s="105"/>
      <c r="E259" s="106"/>
      <c r="F259" s="107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6"/>
    </row>
    <row r="260" ht="15.75" customHeight="1">
      <c r="A260" s="109"/>
      <c r="B260" s="104"/>
      <c r="C260" s="104"/>
      <c r="D260" s="105"/>
      <c r="E260" s="106"/>
      <c r="F260" s="107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6"/>
    </row>
    <row r="261" ht="15.75" customHeight="1">
      <c r="A261" s="109"/>
      <c r="B261" s="104"/>
      <c r="C261" s="104"/>
      <c r="D261" s="105"/>
      <c r="E261" s="106"/>
      <c r="F261" s="107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6"/>
    </row>
    <row r="262" ht="15.75" customHeight="1">
      <c r="A262" s="109"/>
      <c r="B262" s="104"/>
      <c r="C262" s="104"/>
      <c r="D262" s="105"/>
      <c r="E262" s="106"/>
      <c r="F262" s="107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6"/>
    </row>
    <row r="263" ht="15.75" customHeight="1">
      <c r="A263" s="109"/>
      <c r="B263" s="104"/>
      <c r="C263" s="104"/>
      <c r="D263" s="105"/>
      <c r="E263" s="106"/>
      <c r="F263" s="107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6"/>
    </row>
    <row r="264" ht="15.75" customHeight="1">
      <c r="A264" s="109"/>
      <c r="B264" s="104"/>
      <c r="C264" s="104"/>
      <c r="D264" s="105"/>
      <c r="E264" s="106"/>
      <c r="F264" s="107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6"/>
    </row>
    <row r="265" ht="15.75" customHeight="1">
      <c r="A265" s="109"/>
      <c r="B265" s="104"/>
      <c r="C265" s="104"/>
      <c r="D265" s="105"/>
      <c r="E265" s="106"/>
      <c r="F265" s="107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6"/>
    </row>
    <row r="266" ht="15.75" customHeight="1">
      <c r="A266" s="109"/>
      <c r="B266" s="104"/>
      <c r="C266" s="104"/>
      <c r="D266" s="105"/>
      <c r="E266" s="106"/>
      <c r="F266" s="107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6"/>
    </row>
    <row r="267" ht="15.75" customHeight="1">
      <c r="A267" s="109"/>
      <c r="B267" s="104"/>
      <c r="C267" s="104"/>
      <c r="D267" s="105"/>
      <c r="E267" s="106"/>
      <c r="F267" s="107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6"/>
    </row>
    <row r="268" ht="15.75" customHeight="1">
      <c r="A268" s="109"/>
      <c r="B268" s="104"/>
      <c r="C268" s="104"/>
      <c r="D268" s="105"/>
      <c r="E268" s="106"/>
      <c r="F268" s="107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6"/>
    </row>
    <row r="269" ht="15.75" customHeight="1">
      <c r="A269" s="109"/>
      <c r="B269" s="104"/>
      <c r="C269" s="104"/>
      <c r="D269" s="105"/>
      <c r="E269" s="106"/>
      <c r="F269" s="107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6"/>
    </row>
    <row r="270" ht="15.75" customHeight="1">
      <c r="A270" s="109"/>
      <c r="B270" s="104"/>
      <c r="C270" s="104"/>
      <c r="D270" s="105"/>
      <c r="E270" s="106"/>
      <c r="F270" s="107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6"/>
    </row>
    <row r="271" ht="15.75" customHeight="1">
      <c r="A271" s="109"/>
      <c r="B271" s="104"/>
      <c r="C271" s="104"/>
      <c r="D271" s="105"/>
      <c r="E271" s="106"/>
      <c r="F271" s="107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6"/>
    </row>
    <row r="272" ht="15.75" customHeight="1">
      <c r="A272" s="109"/>
      <c r="B272" s="104"/>
      <c r="C272" s="104"/>
      <c r="D272" s="105"/>
      <c r="E272" s="106"/>
      <c r="F272" s="107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6"/>
    </row>
    <row r="273" ht="15.75" customHeight="1">
      <c r="A273" s="109"/>
      <c r="B273" s="104"/>
      <c r="C273" s="104"/>
      <c r="D273" s="105"/>
      <c r="E273" s="106"/>
      <c r="F273" s="107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6"/>
    </row>
    <row r="274" ht="15.75" customHeight="1">
      <c r="A274" s="109"/>
      <c r="B274" s="104"/>
      <c r="C274" s="104"/>
      <c r="D274" s="105"/>
      <c r="E274" s="106"/>
      <c r="F274" s="107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6"/>
    </row>
    <row r="275" ht="15.75" customHeight="1">
      <c r="A275" s="109"/>
      <c r="B275" s="104"/>
      <c r="C275" s="104"/>
      <c r="D275" s="105"/>
      <c r="E275" s="106"/>
      <c r="F275" s="107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6"/>
    </row>
    <row r="276" ht="15.75" customHeight="1">
      <c r="A276" s="109"/>
      <c r="B276" s="104"/>
      <c r="C276" s="104"/>
      <c r="D276" s="105"/>
      <c r="E276" s="106"/>
      <c r="F276" s="107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6"/>
    </row>
    <row r="277" ht="15.75" customHeight="1">
      <c r="A277" s="109"/>
      <c r="B277" s="104"/>
      <c r="C277" s="104"/>
      <c r="D277" s="105"/>
      <c r="E277" s="106"/>
      <c r="F277" s="107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6"/>
    </row>
    <row r="278" ht="15.75" customHeight="1">
      <c r="A278" s="109"/>
      <c r="B278" s="104"/>
      <c r="C278" s="104"/>
      <c r="D278" s="105"/>
      <c r="E278" s="106"/>
      <c r="F278" s="107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6"/>
    </row>
    <row r="279" ht="15.75" customHeight="1">
      <c r="A279" s="109"/>
      <c r="B279" s="104"/>
      <c r="C279" s="104"/>
      <c r="D279" s="105"/>
      <c r="E279" s="106"/>
      <c r="F279" s="107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6"/>
    </row>
    <row r="280" ht="15.75" customHeight="1">
      <c r="A280" s="109"/>
      <c r="B280" s="104"/>
      <c r="C280" s="104"/>
      <c r="D280" s="105"/>
      <c r="E280" s="106"/>
      <c r="F280" s="107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6"/>
    </row>
    <row r="281" ht="15.75" customHeight="1">
      <c r="A281" s="109"/>
      <c r="B281" s="104"/>
      <c r="C281" s="104"/>
      <c r="D281" s="105"/>
      <c r="E281" s="106"/>
      <c r="F281" s="107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6"/>
    </row>
    <row r="282" ht="15.75" customHeight="1">
      <c r="A282" s="109"/>
      <c r="B282" s="104"/>
      <c r="C282" s="104"/>
      <c r="D282" s="105"/>
      <c r="E282" s="106"/>
      <c r="F282" s="107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6"/>
    </row>
    <row r="283" ht="15.75" customHeight="1">
      <c r="A283" s="109"/>
      <c r="B283" s="104"/>
      <c r="C283" s="104"/>
      <c r="D283" s="105"/>
      <c r="E283" s="106"/>
      <c r="F283" s="107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6"/>
    </row>
    <row r="284" ht="15.75" customHeight="1">
      <c r="A284" s="109"/>
      <c r="B284" s="104"/>
      <c r="C284" s="104"/>
      <c r="D284" s="105"/>
      <c r="E284" s="106"/>
      <c r="F284" s="107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6"/>
    </row>
    <row r="285" ht="15.75" customHeight="1">
      <c r="A285" s="109"/>
      <c r="B285" s="104"/>
      <c r="C285" s="104"/>
      <c r="D285" s="105"/>
      <c r="E285" s="106"/>
      <c r="F285" s="107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6"/>
    </row>
    <row r="286" ht="15.75" customHeight="1">
      <c r="A286" s="109"/>
      <c r="B286" s="104"/>
      <c r="C286" s="104"/>
      <c r="D286" s="105"/>
      <c r="E286" s="106"/>
      <c r="F286" s="107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6"/>
    </row>
    <row r="287" ht="15.75" customHeight="1">
      <c r="A287" s="109"/>
      <c r="B287" s="104"/>
      <c r="C287" s="104"/>
      <c r="D287" s="105"/>
      <c r="E287" s="106"/>
      <c r="F287" s="107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6"/>
    </row>
    <row r="288" ht="15.75" customHeight="1">
      <c r="A288" s="109"/>
      <c r="B288" s="104"/>
      <c r="C288" s="104"/>
      <c r="D288" s="105"/>
      <c r="E288" s="106"/>
      <c r="F288" s="107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6"/>
    </row>
    <row r="289" ht="15.75" customHeight="1">
      <c r="A289" s="109"/>
      <c r="B289" s="104"/>
      <c r="C289" s="104"/>
      <c r="D289" s="105"/>
      <c r="E289" s="106"/>
      <c r="F289" s="107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6"/>
    </row>
    <row r="290" ht="15.75" customHeight="1">
      <c r="A290" s="109"/>
      <c r="B290" s="104"/>
      <c r="C290" s="104"/>
      <c r="D290" s="105"/>
      <c r="E290" s="106"/>
      <c r="F290" s="107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6"/>
    </row>
    <row r="291" ht="15.75" customHeight="1">
      <c r="A291" s="109"/>
      <c r="B291" s="104"/>
      <c r="C291" s="104"/>
      <c r="D291" s="105"/>
      <c r="E291" s="106"/>
      <c r="F291" s="107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6"/>
    </row>
    <row r="292" ht="15.75" customHeight="1">
      <c r="A292" s="109"/>
      <c r="B292" s="104"/>
      <c r="C292" s="104"/>
      <c r="D292" s="105"/>
      <c r="E292" s="106"/>
      <c r="F292" s="107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6"/>
    </row>
    <row r="293" ht="15.75" customHeight="1">
      <c r="A293" s="109"/>
      <c r="B293" s="104"/>
      <c r="C293" s="104"/>
      <c r="D293" s="105"/>
      <c r="E293" s="106"/>
      <c r="F293" s="107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6"/>
    </row>
    <row r="294" ht="15.75" customHeight="1">
      <c r="A294" s="109"/>
      <c r="B294" s="104"/>
      <c r="C294" s="104"/>
      <c r="D294" s="105"/>
      <c r="E294" s="106"/>
      <c r="F294" s="107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6"/>
    </row>
    <row r="295" ht="15.75" customHeight="1">
      <c r="A295" s="109"/>
      <c r="B295" s="104"/>
      <c r="C295" s="104"/>
      <c r="D295" s="105"/>
      <c r="E295" s="106"/>
      <c r="F295" s="107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6"/>
    </row>
    <row r="296" ht="15.75" customHeight="1">
      <c r="A296" s="109"/>
      <c r="B296" s="104"/>
      <c r="C296" s="104"/>
      <c r="D296" s="105"/>
      <c r="E296" s="106"/>
      <c r="F296" s="107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6"/>
    </row>
    <row r="297" ht="15.75" customHeight="1">
      <c r="A297" s="109"/>
      <c r="B297" s="104"/>
      <c r="C297" s="104"/>
      <c r="D297" s="105"/>
      <c r="E297" s="106"/>
      <c r="F297" s="107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6"/>
    </row>
    <row r="298" ht="15.75" customHeight="1">
      <c r="A298" s="109"/>
      <c r="B298" s="104"/>
      <c r="C298" s="104"/>
      <c r="D298" s="105"/>
      <c r="E298" s="106"/>
      <c r="F298" s="107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6"/>
    </row>
    <row r="299" ht="15.75" customHeight="1">
      <c r="A299" s="109"/>
      <c r="B299" s="104"/>
      <c r="C299" s="104"/>
      <c r="D299" s="105"/>
      <c r="E299" s="106"/>
      <c r="F299" s="107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6"/>
    </row>
    <row r="300" ht="15.75" customHeight="1">
      <c r="A300" s="109"/>
      <c r="B300" s="104"/>
      <c r="C300" s="104"/>
      <c r="D300" s="105"/>
      <c r="E300" s="106"/>
      <c r="F300" s="107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6"/>
    </row>
    <row r="301" ht="15.75" customHeight="1">
      <c r="A301" s="109"/>
      <c r="B301" s="104"/>
      <c r="C301" s="104"/>
      <c r="D301" s="105"/>
      <c r="E301" s="106"/>
      <c r="F301" s="107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6"/>
    </row>
    <row r="302" ht="15.75" customHeight="1">
      <c r="A302" s="109"/>
      <c r="B302" s="104"/>
      <c r="C302" s="104"/>
      <c r="D302" s="105"/>
      <c r="E302" s="106"/>
      <c r="F302" s="107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6"/>
    </row>
    <row r="303" ht="15.75" customHeight="1">
      <c r="A303" s="109"/>
      <c r="B303" s="104"/>
      <c r="C303" s="104"/>
      <c r="D303" s="105"/>
      <c r="E303" s="106"/>
      <c r="F303" s="107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6"/>
    </row>
    <row r="304" ht="15.75" customHeight="1">
      <c r="A304" s="109"/>
      <c r="B304" s="104"/>
      <c r="C304" s="104"/>
      <c r="D304" s="105"/>
      <c r="E304" s="106"/>
      <c r="F304" s="107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6"/>
    </row>
    <row r="305" ht="15.75" customHeight="1">
      <c r="A305" s="109"/>
      <c r="B305" s="104"/>
      <c r="C305" s="104"/>
      <c r="D305" s="105"/>
      <c r="E305" s="106"/>
      <c r="F305" s="107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6"/>
    </row>
    <row r="306" ht="15.75" customHeight="1">
      <c r="A306" s="109"/>
      <c r="B306" s="104"/>
      <c r="C306" s="104"/>
      <c r="D306" s="105"/>
      <c r="E306" s="106"/>
      <c r="F306" s="107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6"/>
    </row>
    <row r="307" ht="15.75" customHeight="1">
      <c r="A307" s="109"/>
      <c r="B307" s="104"/>
      <c r="C307" s="104"/>
      <c r="D307" s="105"/>
      <c r="E307" s="106"/>
      <c r="F307" s="107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6"/>
    </row>
    <row r="308" ht="15.75" customHeight="1">
      <c r="A308" s="109"/>
      <c r="B308" s="104"/>
      <c r="C308" s="104"/>
      <c r="D308" s="105"/>
      <c r="E308" s="106"/>
      <c r="F308" s="107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6"/>
    </row>
    <row r="309" ht="15.75" customHeight="1">
      <c r="A309" s="109"/>
      <c r="B309" s="104"/>
      <c r="C309" s="104"/>
      <c r="D309" s="105"/>
      <c r="E309" s="106"/>
      <c r="F309" s="107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6"/>
    </row>
    <row r="310" ht="15.75" customHeight="1">
      <c r="A310" s="109"/>
      <c r="B310" s="104"/>
      <c r="C310" s="104"/>
      <c r="D310" s="105"/>
      <c r="E310" s="106"/>
      <c r="F310" s="107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6"/>
    </row>
    <row r="311" ht="15.75" customHeight="1">
      <c r="A311" s="109"/>
      <c r="B311" s="104"/>
      <c r="C311" s="104"/>
      <c r="D311" s="105"/>
      <c r="E311" s="106"/>
      <c r="F311" s="107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6"/>
    </row>
    <row r="312" ht="15.75" customHeight="1">
      <c r="A312" s="109"/>
      <c r="B312" s="104"/>
      <c r="C312" s="104"/>
      <c r="D312" s="105"/>
      <c r="E312" s="106"/>
      <c r="F312" s="107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6"/>
    </row>
    <row r="313" ht="15.75" customHeight="1">
      <c r="A313" s="109"/>
      <c r="B313" s="104"/>
      <c r="C313" s="104"/>
      <c r="D313" s="105"/>
      <c r="E313" s="106"/>
      <c r="F313" s="107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6"/>
    </row>
    <row r="314" ht="15.75" customHeight="1">
      <c r="A314" s="109"/>
      <c r="B314" s="104"/>
      <c r="C314" s="104"/>
      <c r="D314" s="105"/>
      <c r="E314" s="106"/>
      <c r="F314" s="107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6"/>
    </row>
    <row r="315" ht="15.75" customHeight="1">
      <c r="A315" s="109"/>
      <c r="B315" s="104"/>
      <c r="C315" s="104"/>
      <c r="D315" s="105"/>
      <c r="E315" s="106"/>
      <c r="F315" s="107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6"/>
    </row>
    <row r="316" ht="15.75" customHeight="1">
      <c r="A316" s="109"/>
      <c r="B316" s="104"/>
      <c r="C316" s="104"/>
      <c r="D316" s="105"/>
      <c r="E316" s="106"/>
      <c r="F316" s="107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6"/>
    </row>
    <row r="317" ht="15.75" customHeight="1">
      <c r="A317" s="109"/>
      <c r="B317" s="104"/>
      <c r="C317" s="104"/>
      <c r="D317" s="105"/>
      <c r="E317" s="106"/>
      <c r="F317" s="107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6"/>
    </row>
    <row r="318" ht="15.75" customHeight="1">
      <c r="A318" s="109"/>
      <c r="B318" s="104"/>
      <c r="C318" s="104"/>
      <c r="D318" s="105"/>
      <c r="E318" s="106"/>
      <c r="F318" s="107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6"/>
    </row>
    <row r="319" ht="15.75" customHeight="1">
      <c r="A319" s="109"/>
      <c r="B319" s="104"/>
      <c r="C319" s="104"/>
      <c r="D319" s="105"/>
      <c r="E319" s="106"/>
      <c r="F319" s="107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6"/>
    </row>
    <row r="320" ht="15.75" customHeight="1">
      <c r="A320" s="109"/>
      <c r="B320" s="104"/>
      <c r="C320" s="104"/>
      <c r="D320" s="105"/>
      <c r="E320" s="106"/>
      <c r="F320" s="107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6"/>
    </row>
    <row r="321" ht="15.75" customHeight="1">
      <c r="A321" s="109"/>
      <c r="B321" s="104"/>
      <c r="C321" s="104"/>
      <c r="D321" s="105"/>
      <c r="E321" s="106"/>
      <c r="F321" s="107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6"/>
    </row>
    <row r="322" ht="15.75" customHeight="1">
      <c r="A322" s="109"/>
      <c r="B322" s="104"/>
      <c r="C322" s="104"/>
      <c r="D322" s="105"/>
      <c r="E322" s="106"/>
      <c r="F322" s="107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6"/>
    </row>
    <row r="323" ht="15.75" customHeight="1">
      <c r="A323" s="109"/>
      <c r="B323" s="104"/>
      <c r="C323" s="104"/>
      <c r="D323" s="105"/>
      <c r="E323" s="106"/>
      <c r="F323" s="107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6"/>
    </row>
    <row r="324" ht="15.75" customHeight="1">
      <c r="A324" s="109"/>
      <c r="B324" s="104"/>
      <c r="C324" s="104"/>
      <c r="D324" s="105"/>
      <c r="E324" s="106"/>
      <c r="F324" s="107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6"/>
    </row>
    <row r="325" ht="15.75" customHeight="1">
      <c r="A325" s="109"/>
      <c r="B325" s="104"/>
      <c r="C325" s="104"/>
      <c r="D325" s="105"/>
      <c r="E325" s="106"/>
      <c r="F325" s="107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6"/>
    </row>
    <row r="326" ht="15.75" customHeight="1">
      <c r="A326" s="109"/>
      <c r="B326" s="104"/>
      <c r="C326" s="104"/>
      <c r="D326" s="105"/>
      <c r="E326" s="106"/>
      <c r="F326" s="107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6"/>
    </row>
    <row r="327" ht="15.75" customHeight="1">
      <c r="A327" s="109"/>
      <c r="B327" s="104"/>
      <c r="C327" s="104"/>
      <c r="D327" s="105"/>
      <c r="E327" s="106"/>
      <c r="F327" s="107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6"/>
    </row>
    <row r="328" ht="15.75" customHeight="1">
      <c r="A328" s="109"/>
      <c r="B328" s="104"/>
      <c r="C328" s="104"/>
      <c r="D328" s="105"/>
      <c r="E328" s="106"/>
      <c r="F328" s="107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6"/>
    </row>
    <row r="329" ht="15.75" customHeight="1">
      <c r="A329" s="109"/>
      <c r="B329" s="104"/>
      <c r="C329" s="104"/>
      <c r="D329" s="105"/>
      <c r="E329" s="106"/>
      <c r="F329" s="107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6"/>
    </row>
    <row r="330" ht="15.75" customHeight="1">
      <c r="A330" s="109"/>
      <c r="B330" s="104"/>
      <c r="C330" s="104"/>
      <c r="D330" s="105"/>
      <c r="E330" s="106"/>
      <c r="F330" s="107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6"/>
    </row>
    <row r="331" ht="15.75" customHeight="1">
      <c r="A331" s="109"/>
      <c r="B331" s="104"/>
      <c r="C331" s="104"/>
      <c r="D331" s="105"/>
      <c r="E331" s="106"/>
      <c r="F331" s="107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6"/>
    </row>
    <row r="332" ht="15.75" customHeight="1">
      <c r="A332" s="109"/>
      <c r="B332" s="104"/>
      <c r="C332" s="104"/>
      <c r="D332" s="105"/>
      <c r="E332" s="106"/>
      <c r="F332" s="107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6"/>
    </row>
    <row r="333" ht="15.75" customHeight="1">
      <c r="A333" s="109"/>
      <c r="B333" s="104"/>
      <c r="C333" s="104"/>
      <c r="D333" s="105"/>
      <c r="E333" s="106"/>
      <c r="F333" s="107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6"/>
    </row>
    <row r="334" ht="15.75" customHeight="1">
      <c r="A334" s="109"/>
      <c r="B334" s="104"/>
      <c r="C334" s="104"/>
      <c r="D334" s="105"/>
      <c r="E334" s="106"/>
      <c r="F334" s="107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6"/>
    </row>
    <row r="335" ht="15.75" customHeight="1">
      <c r="A335" s="109"/>
      <c r="B335" s="104"/>
      <c r="C335" s="104"/>
      <c r="D335" s="105"/>
      <c r="E335" s="106"/>
      <c r="F335" s="107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6"/>
    </row>
    <row r="336" ht="15.75" customHeight="1">
      <c r="A336" s="109"/>
      <c r="B336" s="104"/>
      <c r="C336" s="104"/>
      <c r="D336" s="105"/>
      <c r="E336" s="106"/>
      <c r="F336" s="107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6"/>
    </row>
    <row r="337" ht="15.75" customHeight="1">
      <c r="A337" s="109"/>
      <c r="B337" s="104"/>
      <c r="C337" s="104"/>
      <c r="D337" s="105"/>
      <c r="E337" s="106"/>
      <c r="F337" s="107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6"/>
    </row>
    <row r="338" ht="15.75" customHeight="1">
      <c r="A338" s="109"/>
      <c r="B338" s="104"/>
      <c r="C338" s="104"/>
      <c r="D338" s="105"/>
      <c r="E338" s="106"/>
      <c r="F338" s="107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6"/>
    </row>
    <row r="339" ht="15.75" customHeight="1">
      <c r="A339" s="109"/>
      <c r="B339" s="104"/>
      <c r="C339" s="104"/>
      <c r="D339" s="105"/>
      <c r="E339" s="106"/>
      <c r="F339" s="107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6"/>
    </row>
    <row r="340" ht="15.75" customHeight="1">
      <c r="A340" s="109"/>
      <c r="B340" s="104"/>
      <c r="C340" s="104"/>
      <c r="D340" s="105"/>
      <c r="E340" s="106"/>
      <c r="F340" s="107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6"/>
    </row>
    <row r="341" ht="15.75" customHeight="1">
      <c r="A341" s="109"/>
      <c r="B341" s="104"/>
      <c r="C341" s="104"/>
      <c r="D341" s="105"/>
      <c r="E341" s="106"/>
      <c r="F341" s="107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6"/>
    </row>
    <row r="342" ht="15.75" customHeight="1">
      <c r="A342" s="109"/>
      <c r="B342" s="104"/>
      <c r="C342" s="104"/>
      <c r="D342" s="105"/>
      <c r="E342" s="106"/>
      <c r="F342" s="107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6"/>
    </row>
    <row r="343" ht="15.75" customHeight="1">
      <c r="A343" s="109"/>
      <c r="B343" s="104"/>
      <c r="C343" s="104"/>
      <c r="D343" s="105"/>
      <c r="E343" s="106"/>
      <c r="F343" s="107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6"/>
    </row>
    <row r="344" ht="15.75" customHeight="1">
      <c r="A344" s="109"/>
      <c r="B344" s="104"/>
      <c r="C344" s="104"/>
      <c r="D344" s="105"/>
      <c r="E344" s="106"/>
      <c r="F344" s="107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6"/>
    </row>
    <row r="345" ht="15.75" customHeight="1">
      <c r="A345" s="109"/>
      <c r="B345" s="104"/>
      <c r="C345" s="104"/>
      <c r="D345" s="105"/>
      <c r="E345" s="106"/>
      <c r="F345" s="107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6"/>
    </row>
    <row r="346" ht="15.75" customHeight="1">
      <c r="A346" s="109"/>
      <c r="B346" s="104"/>
      <c r="C346" s="104"/>
      <c r="D346" s="105"/>
      <c r="E346" s="106"/>
      <c r="F346" s="107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6"/>
    </row>
    <row r="347" ht="15.75" customHeight="1">
      <c r="A347" s="109"/>
      <c r="B347" s="104"/>
      <c r="C347" s="104"/>
      <c r="D347" s="105"/>
      <c r="E347" s="106"/>
      <c r="F347" s="107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6"/>
    </row>
    <row r="348" ht="15.75" customHeight="1">
      <c r="A348" s="109"/>
      <c r="B348" s="104"/>
      <c r="C348" s="104"/>
      <c r="D348" s="105"/>
      <c r="E348" s="106"/>
      <c r="F348" s="107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6"/>
    </row>
    <row r="349" ht="15.75" customHeight="1">
      <c r="A349" s="109"/>
      <c r="B349" s="104"/>
      <c r="C349" s="104"/>
      <c r="D349" s="105"/>
      <c r="E349" s="106"/>
      <c r="F349" s="107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6"/>
    </row>
    <row r="350" ht="15.75" customHeight="1">
      <c r="A350" s="109"/>
      <c r="B350" s="104"/>
      <c r="C350" s="104"/>
      <c r="D350" s="105"/>
      <c r="E350" s="106"/>
      <c r="F350" s="107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6"/>
    </row>
    <row r="351" ht="15.75" customHeight="1">
      <c r="A351" s="109"/>
      <c r="B351" s="104"/>
      <c r="C351" s="104"/>
      <c r="D351" s="105"/>
      <c r="E351" s="106"/>
      <c r="F351" s="107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6"/>
    </row>
    <row r="352" ht="15.75" customHeight="1">
      <c r="A352" s="109"/>
      <c r="B352" s="104"/>
      <c r="C352" s="104"/>
      <c r="D352" s="105"/>
      <c r="E352" s="106"/>
      <c r="F352" s="107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6"/>
    </row>
    <row r="353" ht="15.75" customHeight="1">
      <c r="A353" s="109"/>
      <c r="B353" s="104"/>
      <c r="C353" s="104"/>
      <c r="D353" s="105"/>
      <c r="E353" s="106"/>
      <c r="F353" s="107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6"/>
    </row>
    <row r="354" ht="15.75" customHeight="1">
      <c r="A354" s="109"/>
      <c r="B354" s="104"/>
      <c r="C354" s="104"/>
      <c r="D354" s="105"/>
      <c r="E354" s="106"/>
      <c r="F354" s="107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6"/>
    </row>
    <row r="355" ht="15.75" customHeight="1">
      <c r="A355" s="109"/>
      <c r="B355" s="104"/>
      <c r="C355" s="104"/>
      <c r="D355" s="105"/>
      <c r="E355" s="106"/>
      <c r="F355" s="107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6"/>
    </row>
    <row r="356" ht="15.75" customHeight="1">
      <c r="A356" s="109"/>
      <c r="B356" s="104"/>
      <c r="C356" s="104"/>
      <c r="D356" s="105"/>
      <c r="E356" s="106"/>
      <c r="F356" s="107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6"/>
    </row>
    <row r="357" ht="15.75" customHeight="1">
      <c r="A357" s="109"/>
      <c r="B357" s="104"/>
      <c r="C357" s="104"/>
      <c r="D357" s="105"/>
      <c r="E357" s="106"/>
      <c r="F357" s="107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6"/>
    </row>
    <row r="358" ht="15.75" customHeight="1">
      <c r="A358" s="109"/>
      <c r="B358" s="104"/>
      <c r="C358" s="104"/>
      <c r="D358" s="105"/>
      <c r="E358" s="106"/>
      <c r="F358" s="107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6"/>
    </row>
    <row r="359" ht="15.75" customHeight="1">
      <c r="A359" s="109"/>
      <c r="B359" s="104"/>
      <c r="C359" s="104"/>
      <c r="D359" s="105"/>
      <c r="E359" s="106"/>
      <c r="F359" s="107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6"/>
    </row>
    <row r="360" ht="15.75" customHeight="1">
      <c r="A360" s="109"/>
      <c r="B360" s="104"/>
      <c r="C360" s="104"/>
      <c r="D360" s="105"/>
      <c r="E360" s="106"/>
      <c r="F360" s="107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6"/>
    </row>
    <row r="361" ht="15.75" customHeight="1">
      <c r="A361" s="109"/>
      <c r="B361" s="104"/>
      <c r="C361" s="104"/>
      <c r="D361" s="105"/>
      <c r="E361" s="106"/>
      <c r="F361" s="107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6"/>
    </row>
    <row r="362" ht="15.75" customHeight="1">
      <c r="A362" s="109"/>
      <c r="B362" s="104"/>
      <c r="C362" s="104"/>
      <c r="D362" s="105"/>
      <c r="E362" s="106"/>
      <c r="F362" s="107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6"/>
    </row>
    <row r="363" ht="15.75" customHeight="1">
      <c r="A363" s="109"/>
      <c r="B363" s="104"/>
      <c r="C363" s="104"/>
      <c r="D363" s="105"/>
      <c r="E363" s="106"/>
      <c r="F363" s="107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6"/>
    </row>
    <row r="364" ht="15.75" customHeight="1">
      <c r="A364" s="109"/>
      <c r="B364" s="104"/>
      <c r="C364" s="104"/>
      <c r="D364" s="105"/>
      <c r="E364" s="106"/>
      <c r="F364" s="107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6"/>
    </row>
    <row r="365" ht="15.75" customHeight="1">
      <c r="A365" s="109"/>
      <c r="B365" s="104"/>
      <c r="C365" s="104"/>
      <c r="D365" s="105"/>
      <c r="E365" s="106"/>
      <c r="F365" s="107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6"/>
    </row>
    <row r="366" ht="15.75" customHeight="1">
      <c r="A366" s="109"/>
      <c r="B366" s="104"/>
      <c r="C366" s="104"/>
      <c r="D366" s="105"/>
      <c r="E366" s="106"/>
      <c r="F366" s="107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6"/>
    </row>
    <row r="367" ht="15.75" customHeight="1">
      <c r="A367" s="109"/>
      <c r="B367" s="104"/>
      <c r="C367" s="104"/>
      <c r="D367" s="105"/>
      <c r="E367" s="106"/>
      <c r="F367" s="107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6"/>
    </row>
    <row r="368" ht="15.75" customHeight="1">
      <c r="A368" s="109"/>
      <c r="B368" s="104"/>
      <c r="C368" s="104"/>
      <c r="D368" s="105"/>
      <c r="E368" s="106"/>
      <c r="F368" s="107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6"/>
    </row>
    <row r="369" ht="15.75" customHeight="1">
      <c r="A369" s="109"/>
      <c r="B369" s="104"/>
      <c r="C369" s="104"/>
      <c r="D369" s="105"/>
      <c r="E369" s="106"/>
      <c r="F369" s="107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6"/>
    </row>
    <row r="370" ht="15.75" customHeight="1">
      <c r="A370" s="109"/>
      <c r="B370" s="104"/>
      <c r="C370" s="104"/>
      <c r="D370" s="105"/>
      <c r="E370" s="106"/>
      <c r="F370" s="107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6"/>
    </row>
    <row r="371" ht="15.75" customHeight="1">
      <c r="A371" s="109"/>
      <c r="B371" s="104"/>
      <c r="C371" s="104"/>
      <c r="D371" s="105"/>
      <c r="E371" s="106"/>
      <c r="F371" s="107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6"/>
    </row>
    <row r="372" ht="15.75" customHeight="1">
      <c r="A372" s="109"/>
      <c r="B372" s="104"/>
      <c r="C372" s="104"/>
      <c r="D372" s="105"/>
      <c r="E372" s="106"/>
      <c r="F372" s="107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6"/>
    </row>
    <row r="373" ht="15.75" customHeight="1">
      <c r="A373" s="109"/>
      <c r="B373" s="104"/>
      <c r="C373" s="104"/>
      <c r="D373" s="105"/>
      <c r="E373" s="106"/>
      <c r="F373" s="107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6"/>
    </row>
    <row r="374" ht="15.75" customHeight="1">
      <c r="A374" s="109"/>
      <c r="B374" s="104"/>
      <c r="C374" s="104"/>
      <c r="D374" s="105"/>
      <c r="E374" s="106"/>
      <c r="F374" s="107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6"/>
    </row>
    <row r="375" ht="15.75" customHeight="1">
      <c r="A375" s="109"/>
      <c r="B375" s="104"/>
      <c r="C375" s="104"/>
      <c r="D375" s="105"/>
      <c r="E375" s="106"/>
      <c r="F375" s="107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6"/>
    </row>
    <row r="376" ht="15.75" customHeight="1">
      <c r="A376" s="109"/>
      <c r="B376" s="104"/>
      <c r="C376" s="104"/>
      <c r="D376" s="105"/>
      <c r="E376" s="106"/>
      <c r="F376" s="107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6"/>
    </row>
    <row r="377" ht="15.75" customHeight="1">
      <c r="A377" s="109"/>
      <c r="B377" s="104"/>
      <c r="C377" s="104"/>
      <c r="D377" s="105"/>
      <c r="E377" s="106"/>
      <c r="F377" s="107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6"/>
    </row>
    <row r="378" ht="15.75" customHeight="1">
      <c r="A378" s="109"/>
      <c r="B378" s="104"/>
      <c r="C378" s="104"/>
      <c r="D378" s="105"/>
      <c r="E378" s="106"/>
      <c r="F378" s="107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6"/>
    </row>
    <row r="379" ht="15.75" customHeight="1">
      <c r="A379" s="109"/>
      <c r="B379" s="104"/>
      <c r="C379" s="104"/>
      <c r="D379" s="105"/>
      <c r="E379" s="106"/>
      <c r="F379" s="107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6"/>
    </row>
    <row r="380" ht="15.75" customHeight="1">
      <c r="A380" s="109"/>
      <c r="B380" s="104"/>
      <c r="C380" s="104"/>
      <c r="D380" s="105"/>
      <c r="E380" s="106"/>
      <c r="F380" s="107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6"/>
    </row>
    <row r="381" ht="15.75" customHeight="1">
      <c r="A381" s="109"/>
      <c r="B381" s="104"/>
      <c r="C381" s="104"/>
      <c r="D381" s="105"/>
      <c r="E381" s="106"/>
      <c r="F381" s="107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6"/>
    </row>
    <row r="382" ht="15.75" customHeight="1">
      <c r="A382" s="109"/>
      <c r="B382" s="104"/>
      <c r="C382" s="104"/>
      <c r="D382" s="105"/>
      <c r="E382" s="106"/>
      <c r="F382" s="107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6"/>
    </row>
    <row r="383" ht="15.75" customHeight="1">
      <c r="A383" s="109"/>
      <c r="B383" s="104"/>
      <c r="C383" s="104"/>
      <c r="D383" s="105"/>
      <c r="E383" s="106"/>
      <c r="F383" s="107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6"/>
    </row>
    <row r="384" ht="15.75" customHeight="1">
      <c r="A384" s="109"/>
      <c r="B384" s="104"/>
      <c r="C384" s="104"/>
      <c r="D384" s="105"/>
      <c r="E384" s="106"/>
      <c r="F384" s="107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6"/>
    </row>
    <row r="385" ht="15.75" customHeight="1">
      <c r="A385" s="109"/>
      <c r="B385" s="104"/>
      <c r="C385" s="104"/>
      <c r="D385" s="105"/>
      <c r="E385" s="106"/>
      <c r="F385" s="107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6"/>
    </row>
    <row r="386" ht="15.75" customHeight="1">
      <c r="A386" s="109"/>
      <c r="B386" s="104"/>
      <c r="C386" s="104"/>
      <c r="D386" s="105"/>
      <c r="E386" s="106"/>
      <c r="F386" s="107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6"/>
    </row>
    <row r="387" ht="15.75" customHeight="1">
      <c r="A387" s="109"/>
      <c r="B387" s="104"/>
      <c r="C387" s="104"/>
      <c r="D387" s="105"/>
      <c r="E387" s="106"/>
      <c r="F387" s="107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6"/>
    </row>
    <row r="388" ht="15.75" customHeight="1">
      <c r="A388" s="109"/>
      <c r="B388" s="104"/>
      <c r="C388" s="104"/>
      <c r="D388" s="105"/>
      <c r="E388" s="106"/>
      <c r="F388" s="107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6"/>
    </row>
    <row r="389" ht="15.75" customHeight="1">
      <c r="A389" s="109"/>
      <c r="B389" s="104"/>
      <c r="C389" s="104"/>
      <c r="D389" s="105"/>
      <c r="E389" s="106"/>
      <c r="F389" s="107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6"/>
    </row>
    <row r="390" ht="15.75" customHeight="1">
      <c r="A390" s="109"/>
      <c r="B390" s="104"/>
      <c r="C390" s="104"/>
      <c r="D390" s="105"/>
      <c r="E390" s="106"/>
      <c r="F390" s="107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6"/>
    </row>
    <row r="391" ht="15.75" customHeight="1">
      <c r="A391" s="109"/>
      <c r="B391" s="104"/>
      <c r="C391" s="104"/>
      <c r="D391" s="105"/>
      <c r="E391" s="106"/>
      <c r="F391" s="107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6"/>
    </row>
    <row r="392" ht="15.75" customHeight="1">
      <c r="A392" s="109"/>
      <c r="B392" s="104"/>
      <c r="C392" s="104"/>
      <c r="D392" s="105"/>
      <c r="E392" s="106"/>
      <c r="F392" s="107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6"/>
    </row>
    <row r="393" ht="15.75" customHeight="1">
      <c r="A393" s="109"/>
      <c r="B393" s="104"/>
      <c r="C393" s="104"/>
      <c r="D393" s="105"/>
      <c r="E393" s="106"/>
      <c r="F393" s="107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6"/>
    </row>
    <row r="394" ht="15.75" customHeight="1">
      <c r="A394" s="109"/>
      <c r="B394" s="104"/>
      <c r="C394" s="104"/>
      <c r="D394" s="105"/>
      <c r="E394" s="106"/>
      <c r="F394" s="107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6"/>
    </row>
    <row r="395" ht="15.75" customHeight="1">
      <c r="A395" s="109"/>
      <c r="B395" s="104"/>
      <c r="C395" s="104"/>
      <c r="D395" s="105"/>
      <c r="E395" s="106"/>
      <c r="F395" s="107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6"/>
    </row>
    <row r="396" ht="15.75" customHeight="1">
      <c r="A396" s="109"/>
      <c r="B396" s="104"/>
      <c r="C396" s="104"/>
      <c r="D396" s="105"/>
      <c r="E396" s="106"/>
      <c r="F396" s="107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6"/>
    </row>
    <row r="397" ht="15.75" customHeight="1">
      <c r="A397" s="109"/>
      <c r="B397" s="104"/>
      <c r="C397" s="104"/>
      <c r="D397" s="105"/>
      <c r="E397" s="106"/>
      <c r="F397" s="107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6"/>
    </row>
    <row r="398" ht="15.75" customHeight="1">
      <c r="A398" s="109"/>
      <c r="B398" s="104"/>
      <c r="C398" s="104"/>
      <c r="D398" s="105"/>
      <c r="E398" s="106"/>
      <c r="F398" s="107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6"/>
    </row>
    <row r="399" ht="15.75" customHeight="1">
      <c r="A399" s="109"/>
      <c r="B399" s="104"/>
      <c r="C399" s="104"/>
      <c r="D399" s="105"/>
      <c r="E399" s="106"/>
      <c r="F399" s="107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6"/>
    </row>
    <row r="400" ht="15.75" customHeight="1">
      <c r="A400" s="109"/>
      <c r="B400" s="104"/>
      <c r="C400" s="104"/>
      <c r="D400" s="105"/>
      <c r="E400" s="106"/>
      <c r="F400" s="107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6"/>
    </row>
    <row r="401" ht="15.75" customHeight="1">
      <c r="A401" s="109"/>
      <c r="B401" s="104"/>
      <c r="C401" s="104"/>
      <c r="D401" s="105"/>
      <c r="E401" s="106"/>
      <c r="F401" s="107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6"/>
    </row>
    <row r="402" ht="15.75" customHeight="1">
      <c r="A402" s="109"/>
      <c r="B402" s="104"/>
      <c r="C402" s="104"/>
      <c r="D402" s="105"/>
      <c r="E402" s="106"/>
      <c r="F402" s="107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6"/>
    </row>
    <row r="403" ht="15.75" customHeight="1">
      <c r="A403" s="109"/>
      <c r="B403" s="104"/>
      <c r="C403" s="104"/>
      <c r="D403" s="105"/>
      <c r="E403" s="106"/>
      <c r="F403" s="107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6"/>
    </row>
    <row r="404" ht="15.75" customHeight="1">
      <c r="A404" s="109"/>
      <c r="B404" s="104"/>
      <c r="C404" s="104"/>
      <c r="D404" s="105"/>
      <c r="E404" s="106"/>
      <c r="F404" s="107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6"/>
    </row>
    <row r="405" ht="15.75" customHeight="1">
      <c r="A405" s="109"/>
      <c r="B405" s="104"/>
      <c r="C405" s="104"/>
      <c r="D405" s="105"/>
      <c r="E405" s="106"/>
      <c r="F405" s="107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6"/>
    </row>
    <row r="406" ht="15.75" customHeight="1">
      <c r="A406" s="109"/>
      <c r="B406" s="104"/>
      <c r="C406" s="104"/>
      <c r="D406" s="105"/>
      <c r="E406" s="106"/>
      <c r="F406" s="107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6"/>
    </row>
    <row r="407" ht="15.75" customHeight="1">
      <c r="A407" s="109"/>
      <c r="B407" s="104"/>
      <c r="C407" s="104"/>
      <c r="D407" s="105"/>
      <c r="E407" s="106"/>
      <c r="F407" s="107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6"/>
    </row>
    <row r="408" ht="15.75" customHeight="1">
      <c r="A408" s="109"/>
      <c r="B408" s="104"/>
      <c r="C408" s="104"/>
      <c r="D408" s="105"/>
      <c r="E408" s="106"/>
      <c r="F408" s="107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6"/>
    </row>
    <row r="409" ht="15.75" customHeight="1">
      <c r="A409" s="109"/>
      <c r="B409" s="104"/>
      <c r="C409" s="104"/>
      <c r="D409" s="105"/>
      <c r="E409" s="106"/>
      <c r="F409" s="107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6"/>
    </row>
    <row r="410" ht="15.75" customHeight="1">
      <c r="A410" s="109"/>
      <c r="B410" s="104"/>
      <c r="C410" s="104"/>
      <c r="D410" s="105"/>
      <c r="E410" s="106"/>
      <c r="F410" s="107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6"/>
    </row>
    <row r="411" ht="15.75" customHeight="1">
      <c r="A411" s="109"/>
      <c r="B411" s="104"/>
      <c r="C411" s="104"/>
      <c r="D411" s="105"/>
      <c r="E411" s="106"/>
      <c r="F411" s="107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6"/>
    </row>
    <row r="412" ht="15.75" customHeight="1">
      <c r="A412" s="109"/>
      <c r="B412" s="104"/>
      <c r="C412" s="104"/>
      <c r="D412" s="105"/>
      <c r="E412" s="106"/>
      <c r="F412" s="107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6"/>
    </row>
    <row r="413" ht="15.75" customHeight="1">
      <c r="A413" s="109"/>
      <c r="B413" s="104"/>
      <c r="C413" s="104"/>
      <c r="D413" s="105"/>
      <c r="E413" s="106"/>
      <c r="F413" s="107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6"/>
    </row>
    <row r="414" ht="15.75" customHeight="1">
      <c r="A414" s="109"/>
      <c r="B414" s="104"/>
      <c r="C414" s="104"/>
      <c r="D414" s="105"/>
      <c r="E414" s="106"/>
      <c r="F414" s="107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6"/>
    </row>
    <row r="415" ht="15.75" customHeight="1">
      <c r="A415" s="109"/>
      <c r="B415" s="104"/>
      <c r="C415" s="104"/>
      <c r="D415" s="105"/>
      <c r="E415" s="106"/>
      <c r="F415" s="107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6"/>
    </row>
    <row r="416" ht="15.75" customHeight="1">
      <c r="A416" s="109"/>
      <c r="B416" s="104"/>
      <c r="C416" s="104"/>
      <c r="D416" s="105"/>
      <c r="E416" s="106"/>
      <c r="F416" s="107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6"/>
    </row>
    <row r="417" ht="15.75" customHeight="1">
      <c r="A417" s="109"/>
      <c r="B417" s="104"/>
      <c r="C417" s="104"/>
      <c r="D417" s="105"/>
      <c r="E417" s="106"/>
      <c r="F417" s="107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6"/>
    </row>
    <row r="418" ht="15.75" customHeight="1">
      <c r="A418" s="109"/>
      <c r="B418" s="104"/>
      <c r="C418" s="104"/>
      <c r="D418" s="105"/>
      <c r="E418" s="106"/>
      <c r="F418" s="107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6"/>
    </row>
    <row r="419" ht="15.75" customHeight="1">
      <c r="A419" s="109"/>
      <c r="B419" s="104"/>
      <c r="C419" s="104"/>
      <c r="D419" s="105"/>
      <c r="E419" s="106"/>
      <c r="F419" s="107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6"/>
    </row>
    <row r="420" ht="15.75" customHeight="1">
      <c r="A420" s="109"/>
      <c r="B420" s="104"/>
      <c r="C420" s="104"/>
      <c r="D420" s="105"/>
      <c r="E420" s="106"/>
      <c r="F420" s="107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6"/>
    </row>
    <row r="421" ht="15.75" customHeight="1">
      <c r="A421" s="109"/>
      <c r="B421" s="104"/>
      <c r="C421" s="104"/>
      <c r="D421" s="105"/>
      <c r="E421" s="106"/>
      <c r="F421" s="107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6"/>
    </row>
    <row r="422" ht="15.75" customHeight="1">
      <c r="A422" s="109"/>
      <c r="B422" s="104"/>
      <c r="C422" s="104"/>
      <c r="D422" s="105"/>
      <c r="E422" s="106"/>
      <c r="F422" s="107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6"/>
    </row>
    <row r="423" ht="15.75" customHeight="1">
      <c r="A423" s="109"/>
      <c r="B423" s="104"/>
      <c r="C423" s="104"/>
      <c r="D423" s="105"/>
      <c r="E423" s="106"/>
      <c r="F423" s="107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6"/>
    </row>
    <row r="424" ht="15.75" customHeight="1">
      <c r="A424" s="109"/>
      <c r="B424" s="104"/>
      <c r="C424" s="104"/>
      <c r="D424" s="105"/>
      <c r="E424" s="106"/>
      <c r="F424" s="107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6"/>
    </row>
    <row r="425" ht="15.75" customHeight="1">
      <c r="A425" s="109"/>
      <c r="B425" s="104"/>
      <c r="C425" s="104"/>
      <c r="D425" s="105"/>
      <c r="E425" s="106"/>
      <c r="F425" s="107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6"/>
    </row>
    <row r="426" ht="15.75" customHeight="1">
      <c r="A426" s="109"/>
      <c r="B426" s="104"/>
      <c r="C426" s="104"/>
      <c r="D426" s="105"/>
      <c r="E426" s="106"/>
      <c r="F426" s="107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6"/>
    </row>
    <row r="427" ht="15.75" customHeight="1">
      <c r="A427" s="109"/>
      <c r="B427" s="104"/>
      <c r="C427" s="104"/>
      <c r="D427" s="105"/>
      <c r="E427" s="106"/>
      <c r="F427" s="107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6"/>
    </row>
    <row r="428" ht="15.75" customHeight="1">
      <c r="A428" s="109"/>
      <c r="B428" s="104"/>
      <c r="C428" s="104"/>
      <c r="D428" s="105"/>
      <c r="E428" s="106"/>
      <c r="F428" s="107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6"/>
    </row>
    <row r="429" ht="15.75" customHeight="1">
      <c r="A429" s="109"/>
      <c r="B429" s="104"/>
      <c r="C429" s="104"/>
      <c r="D429" s="105"/>
      <c r="E429" s="106"/>
      <c r="F429" s="107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6"/>
    </row>
    <row r="430" ht="15.75" customHeight="1">
      <c r="A430" s="109"/>
      <c r="B430" s="104"/>
      <c r="C430" s="104"/>
      <c r="D430" s="105"/>
      <c r="E430" s="106"/>
      <c r="F430" s="107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6"/>
    </row>
    <row r="431" ht="15.75" customHeight="1">
      <c r="A431" s="109"/>
      <c r="B431" s="104"/>
      <c r="C431" s="104"/>
      <c r="D431" s="105"/>
      <c r="E431" s="106"/>
      <c r="F431" s="107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6"/>
    </row>
    <row r="432" ht="15.75" customHeight="1">
      <c r="A432" s="109"/>
      <c r="B432" s="104"/>
      <c r="C432" s="104"/>
      <c r="D432" s="105"/>
      <c r="E432" s="106"/>
      <c r="F432" s="107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6"/>
    </row>
    <row r="433" ht="15.75" customHeight="1">
      <c r="A433" s="109"/>
      <c r="B433" s="104"/>
      <c r="C433" s="104"/>
      <c r="D433" s="105"/>
      <c r="E433" s="106"/>
      <c r="F433" s="107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6"/>
    </row>
    <row r="434" ht="15.75" customHeight="1">
      <c r="A434" s="109"/>
      <c r="B434" s="104"/>
      <c r="C434" s="104"/>
      <c r="D434" s="105"/>
      <c r="E434" s="106"/>
      <c r="F434" s="107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6"/>
    </row>
    <row r="435" ht="15.75" customHeight="1">
      <c r="A435" s="109"/>
      <c r="B435" s="104"/>
      <c r="C435" s="104"/>
      <c r="D435" s="105"/>
      <c r="E435" s="106"/>
      <c r="F435" s="107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6"/>
    </row>
    <row r="436" ht="15.75" customHeight="1">
      <c r="A436" s="109"/>
      <c r="B436" s="104"/>
      <c r="C436" s="104"/>
      <c r="D436" s="105"/>
      <c r="E436" s="106"/>
      <c r="F436" s="107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6"/>
    </row>
    <row r="437" ht="15.75" customHeight="1">
      <c r="A437" s="109"/>
      <c r="B437" s="104"/>
      <c r="C437" s="104"/>
      <c r="D437" s="105"/>
      <c r="E437" s="106"/>
      <c r="F437" s="107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6"/>
    </row>
    <row r="438" ht="15.75" customHeight="1">
      <c r="A438" s="109"/>
      <c r="B438" s="104"/>
      <c r="C438" s="104"/>
      <c r="D438" s="105"/>
      <c r="E438" s="106"/>
      <c r="F438" s="107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6"/>
    </row>
    <row r="439" ht="15.75" customHeight="1">
      <c r="A439" s="109"/>
      <c r="B439" s="104"/>
      <c r="C439" s="104"/>
      <c r="D439" s="105"/>
      <c r="E439" s="106"/>
      <c r="F439" s="107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6"/>
    </row>
    <row r="440" ht="15.75" customHeight="1">
      <c r="A440" s="109"/>
      <c r="B440" s="104"/>
      <c r="C440" s="104"/>
      <c r="D440" s="105"/>
      <c r="E440" s="106"/>
      <c r="F440" s="107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6"/>
    </row>
    <row r="441" ht="15.75" customHeight="1">
      <c r="A441" s="109"/>
      <c r="B441" s="104"/>
      <c r="C441" s="104"/>
      <c r="D441" s="105"/>
      <c r="E441" s="106"/>
      <c r="F441" s="107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6"/>
    </row>
    <row r="442" ht="15.75" customHeight="1">
      <c r="A442" s="109"/>
      <c r="B442" s="104"/>
      <c r="C442" s="104"/>
      <c r="D442" s="105"/>
      <c r="E442" s="106"/>
      <c r="F442" s="107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6"/>
    </row>
    <row r="443" ht="15.75" customHeight="1">
      <c r="A443" s="109"/>
      <c r="B443" s="104"/>
      <c r="C443" s="104"/>
      <c r="D443" s="105"/>
      <c r="E443" s="106"/>
      <c r="F443" s="107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6"/>
    </row>
    <row r="444" ht="15.75" customHeight="1">
      <c r="A444" s="109"/>
      <c r="B444" s="104"/>
      <c r="C444" s="104"/>
      <c r="D444" s="105"/>
      <c r="E444" s="106"/>
      <c r="F444" s="107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6"/>
    </row>
    <row r="445" ht="15.75" customHeight="1">
      <c r="A445" s="109"/>
      <c r="B445" s="104"/>
      <c r="C445" s="104"/>
      <c r="D445" s="105"/>
      <c r="E445" s="106"/>
      <c r="F445" s="107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6"/>
    </row>
    <row r="446" ht="15.75" customHeight="1">
      <c r="A446" s="109"/>
      <c r="B446" s="104"/>
      <c r="C446" s="104"/>
      <c r="D446" s="105"/>
      <c r="E446" s="106"/>
      <c r="F446" s="107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6"/>
    </row>
    <row r="447" ht="15.75" customHeight="1">
      <c r="A447" s="109"/>
      <c r="B447" s="104"/>
      <c r="C447" s="104"/>
      <c r="D447" s="105"/>
      <c r="E447" s="106"/>
      <c r="F447" s="107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6"/>
    </row>
    <row r="448" ht="15.75" customHeight="1">
      <c r="A448" s="109"/>
      <c r="B448" s="104"/>
      <c r="C448" s="104"/>
      <c r="D448" s="105"/>
      <c r="E448" s="106"/>
      <c r="F448" s="107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6"/>
    </row>
    <row r="449" ht="15.75" customHeight="1">
      <c r="A449" s="109"/>
      <c r="B449" s="104"/>
      <c r="C449" s="104"/>
      <c r="D449" s="105"/>
      <c r="E449" s="106"/>
      <c r="F449" s="107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6"/>
    </row>
    <row r="450" ht="15.75" customHeight="1">
      <c r="A450" s="109"/>
      <c r="B450" s="104"/>
      <c r="C450" s="104"/>
      <c r="D450" s="105"/>
      <c r="E450" s="106"/>
      <c r="F450" s="107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6"/>
    </row>
    <row r="451" ht="15.75" customHeight="1">
      <c r="A451" s="109"/>
      <c r="B451" s="104"/>
      <c r="C451" s="104"/>
      <c r="D451" s="105"/>
      <c r="E451" s="106"/>
      <c r="F451" s="107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6"/>
    </row>
    <row r="452" ht="15.75" customHeight="1">
      <c r="A452" s="109"/>
      <c r="B452" s="104"/>
      <c r="C452" s="104"/>
      <c r="D452" s="105"/>
      <c r="E452" s="106"/>
      <c r="F452" s="107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6"/>
    </row>
    <row r="453" ht="15.75" customHeight="1">
      <c r="A453" s="109"/>
      <c r="B453" s="104"/>
      <c r="C453" s="104"/>
      <c r="D453" s="105"/>
      <c r="E453" s="106"/>
      <c r="F453" s="107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6"/>
    </row>
    <row r="454" ht="15.75" customHeight="1">
      <c r="A454" s="109"/>
      <c r="B454" s="104"/>
      <c r="C454" s="104"/>
      <c r="D454" s="105"/>
      <c r="E454" s="106"/>
      <c r="F454" s="107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6"/>
    </row>
    <row r="455" ht="15.75" customHeight="1">
      <c r="A455" s="109"/>
      <c r="B455" s="104"/>
      <c r="C455" s="104"/>
      <c r="D455" s="105"/>
      <c r="E455" s="106"/>
      <c r="F455" s="107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6"/>
    </row>
    <row r="456" ht="15.75" customHeight="1">
      <c r="A456" s="109"/>
      <c r="B456" s="104"/>
      <c r="C456" s="104"/>
      <c r="D456" s="105"/>
      <c r="E456" s="106"/>
      <c r="F456" s="107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6"/>
    </row>
    <row r="457" ht="15.75" customHeight="1">
      <c r="A457" s="109"/>
      <c r="B457" s="104"/>
      <c r="C457" s="104"/>
      <c r="D457" s="105"/>
      <c r="E457" s="106"/>
      <c r="F457" s="107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6"/>
    </row>
    <row r="458" ht="15.75" customHeight="1">
      <c r="A458" s="109"/>
      <c r="B458" s="104"/>
      <c r="C458" s="104"/>
      <c r="D458" s="105"/>
      <c r="E458" s="106"/>
      <c r="F458" s="107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6"/>
    </row>
    <row r="459" ht="15.75" customHeight="1">
      <c r="A459" s="109"/>
      <c r="B459" s="104"/>
      <c r="C459" s="104"/>
      <c r="D459" s="105"/>
      <c r="E459" s="106"/>
      <c r="F459" s="107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6"/>
    </row>
    <row r="460" ht="15.75" customHeight="1">
      <c r="A460" s="109"/>
      <c r="B460" s="104"/>
      <c r="C460" s="104"/>
      <c r="D460" s="105"/>
      <c r="E460" s="106"/>
      <c r="F460" s="107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6"/>
    </row>
    <row r="461" ht="15.75" customHeight="1">
      <c r="A461" s="109"/>
      <c r="B461" s="104"/>
      <c r="C461" s="104"/>
      <c r="D461" s="105"/>
      <c r="E461" s="106"/>
      <c r="F461" s="107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6"/>
    </row>
    <row r="462" ht="15.75" customHeight="1">
      <c r="A462" s="109"/>
      <c r="B462" s="104"/>
      <c r="C462" s="104"/>
      <c r="D462" s="105"/>
      <c r="E462" s="106"/>
      <c r="F462" s="107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6"/>
    </row>
    <row r="463" ht="15.75" customHeight="1">
      <c r="A463" s="109"/>
      <c r="B463" s="104"/>
      <c r="C463" s="104"/>
      <c r="D463" s="105"/>
      <c r="E463" s="106"/>
      <c r="F463" s="107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6"/>
    </row>
    <row r="464" ht="15.75" customHeight="1">
      <c r="A464" s="109"/>
      <c r="B464" s="104"/>
      <c r="C464" s="104"/>
      <c r="D464" s="105"/>
      <c r="E464" s="106"/>
      <c r="F464" s="107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6"/>
    </row>
    <row r="465" ht="15.75" customHeight="1">
      <c r="A465" s="109"/>
      <c r="B465" s="104"/>
      <c r="C465" s="104"/>
      <c r="D465" s="105"/>
      <c r="E465" s="106"/>
      <c r="F465" s="107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6"/>
    </row>
    <row r="466" ht="15.75" customHeight="1">
      <c r="A466" s="109"/>
      <c r="B466" s="104"/>
      <c r="C466" s="104"/>
      <c r="D466" s="105"/>
      <c r="E466" s="106"/>
      <c r="F466" s="107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6"/>
    </row>
    <row r="467" ht="15.75" customHeight="1">
      <c r="A467" s="109"/>
      <c r="B467" s="104"/>
      <c r="C467" s="104"/>
      <c r="D467" s="105"/>
      <c r="E467" s="106"/>
      <c r="F467" s="107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6"/>
    </row>
    <row r="468" ht="15.75" customHeight="1">
      <c r="A468" s="109"/>
      <c r="B468" s="104"/>
      <c r="C468" s="104"/>
      <c r="D468" s="105"/>
      <c r="E468" s="106"/>
      <c r="F468" s="107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6"/>
    </row>
    <row r="469" ht="15.75" customHeight="1">
      <c r="A469" s="109"/>
      <c r="B469" s="104"/>
      <c r="C469" s="104"/>
      <c r="D469" s="105"/>
      <c r="E469" s="106"/>
      <c r="F469" s="107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6"/>
    </row>
    <row r="470" ht="15.75" customHeight="1">
      <c r="A470" s="109"/>
      <c r="B470" s="104"/>
      <c r="C470" s="104"/>
      <c r="D470" s="105"/>
      <c r="E470" s="106"/>
      <c r="F470" s="107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6"/>
    </row>
    <row r="471" ht="15.75" customHeight="1">
      <c r="A471" s="109"/>
      <c r="B471" s="104"/>
      <c r="C471" s="104"/>
      <c r="D471" s="105"/>
      <c r="E471" s="106"/>
      <c r="F471" s="107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6"/>
    </row>
    <row r="472" ht="15.75" customHeight="1">
      <c r="A472" s="109"/>
      <c r="B472" s="104"/>
      <c r="C472" s="104"/>
      <c r="D472" s="105"/>
      <c r="E472" s="106"/>
      <c r="F472" s="107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6"/>
    </row>
    <row r="473" ht="15.75" customHeight="1">
      <c r="A473" s="109"/>
      <c r="B473" s="104"/>
      <c r="C473" s="104"/>
      <c r="D473" s="105"/>
      <c r="E473" s="106"/>
      <c r="F473" s="107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6"/>
    </row>
    <row r="474" ht="15.75" customHeight="1">
      <c r="A474" s="109"/>
      <c r="B474" s="104"/>
      <c r="C474" s="104"/>
      <c r="D474" s="105"/>
      <c r="E474" s="106"/>
      <c r="F474" s="107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6"/>
    </row>
    <row r="475" ht="15.75" customHeight="1">
      <c r="A475" s="109"/>
      <c r="B475" s="104"/>
      <c r="C475" s="104"/>
      <c r="D475" s="105"/>
      <c r="E475" s="106"/>
      <c r="F475" s="107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6"/>
    </row>
    <row r="476" ht="15.75" customHeight="1">
      <c r="A476" s="109"/>
      <c r="B476" s="104"/>
      <c r="C476" s="104"/>
      <c r="D476" s="105"/>
      <c r="E476" s="106"/>
      <c r="F476" s="107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6"/>
    </row>
    <row r="477" ht="15.75" customHeight="1">
      <c r="A477" s="109"/>
      <c r="B477" s="104"/>
      <c r="C477" s="104"/>
      <c r="D477" s="105"/>
      <c r="E477" s="106"/>
      <c r="F477" s="107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6"/>
    </row>
    <row r="478" ht="15.75" customHeight="1">
      <c r="A478" s="109"/>
      <c r="B478" s="104"/>
      <c r="C478" s="104"/>
      <c r="D478" s="105"/>
      <c r="E478" s="106"/>
      <c r="F478" s="107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6"/>
    </row>
    <row r="479" ht="15.75" customHeight="1">
      <c r="A479" s="109"/>
      <c r="B479" s="104"/>
      <c r="C479" s="104"/>
      <c r="D479" s="105"/>
      <c r="E479" s="106"/>
      <c r="F479" s="107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6"/>
    </row>
    <row r="480" ht="15.75" customHeight="1">
      <c r="A480" s="109"/>
      <c r="B480" s="104"/>
      <c r="C480" s="104"/>
      <c r="D480" s="105"/>
      <c r="E480" s="106"/>
      <c r="F480" s="107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6"/>
    </row>
    <row r="481" ht="15.75" customHeight="1">
      <c r="A481" s="109"/>
      <c r="B481" s="104"/>
      <c r="C481" s="104"/>
      <c r="D481" s="105"/>
      <c r="E481" s="106"/>
      <c r="F481" s="107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6"/>
    </row>
    <row r="482" ht="15.75" customHeight="1">
      <c r="A482" s="109"/>
      <c r="B482" s="104"/>
      <c r="C482" s="104"/>
      <c r="D482" s="105"/>
      <c r="E482" s="106"/>
      <c r="F482" s="107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6"/>
    </row>
    <row r="483" ht="15.75" customHeight="1">
      <c r="A483" s="109"/>
      <c r="B483" s="104"/>
      <c r="C483" s="104"/>
      <c r="D483" s="105"/>
      <c r="E483" s="106"/>
      <c r="F483" s="107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6"/>
    </row>
    <row r="484" ht="15.75" customHeight="1">
      <c r="A484" s="109"/>
      <c r="B484" s="104"/>
      <c r="C484" s="104"/>
      <c r="D484" s="105"/>
      <c r="E484" s="106"/>
      <c r="F484" s="107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6"/>
    </row>
    <row r="485" ht="15.75" customHeight="1">
      <c r="A485" s="109"/>
      <c r="B485" s="104"/>
      <c r="C485" s="104"/>
      <c r="D485" s="105"/>
      <c r="E485" s="106"/>
      <c r="F485" s="107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6"/>
    </row>
    <row r="486" ht="15.75" customHeight="1">
      <c r="A486" s="109"/>
      <c r="B486" s="104"/>
      <c r="C486" s="104"/>
      <c r="D486" s="105"/>
      <c r="E486" s="106"/>
      <c r="F486" s="107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6"/>
    </row>
    <row r="487" ht="15.75" customHeight="1">
      <c r="A487" s="109"/>
      <c r="B487" s="104"/>
      <c r="C487" s="104"/>
      <c r="D487" s="105"/>
      <c r="E487" s="106"/>
      <c r="F487" s="107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6"/>
    </row>
    <row r="488" ht="15.75" customHeight="1">
      <c r="A488" s="109"/>
      <c r="B488" s="104"/>
      <c r="C488" s="104"/>
      <c r="D488" s="105"/>
      <c r="E488" s="106"/>
      <c r="F488" s="107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6"/>
    </row>
    <row r="489" ht="15.75" customHeight="1">
      <c r="A489" s="109"/>
      <c r="B489" s="104"/>
      <c r="C489" s="104"/>
      <c r="D489" s="105"/>
      <c r="E489" s="106"/>
      <c r="F489" s="107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6"/>
    </row>
    <row r="490" ht="15.75" customHeight="1">
      <c r="A490" s="109"/>
      <c r="B490" s="104"/>
      <c r="C490" s="104"/>
      <c r="D490" s="105"/>
      <c r="E490" s="106"/>
      <c r="F490" s="107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6"/>
    </row>
    <row r="491" ht="15.75" customHeight="1">
      <c r="A491" s="109"/>
      <c r="B491" s="104"/>
      <c r="C491" s="104"/>
      <c r="D491" s="105"/>
      <c r="E491" s="106"/>
      <c r="F491" s="107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6"/>
    </row>
    <row r="492" ht="15.75" customHeight="1">
      <c r="A492" s="109"/>
      <c r="B492" s="104"/>
      <c r="C492" s="104"/>
      <c r="D492" s="105"/>
      <c r="E492" s="106"/>
      <c r="F492" s="107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6"/>
    </row>
    <row r="493" ht="15.75" customHeight="1">
      <c r="A493" s="109"/>
      <c r="B493" s="104"/>
      <c r="C493" s="104"/>
      <c r="D493" s="105"/>
      <c r="E493" s="106"/>
      <c r="F493" s="107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6"/>
    </row>
    <row r="494" ht="15.75" customHeight="1">
      <c r="A494" s="109"/>
      <c r="B494" s="104"/>
      <c r="C494" s="104"/>
      <c r="D494" s="105"/>
      <c r="E494" s="106"/>
      <c r="F494" s="107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6"/>
    </row>
    <row r="495" ht="15.75" customHeight="1">
      <c r="A495" s="109"/>
      <c r="B495" s="104"/>
      <c r="C495" s="104"/>
      <c r="D495" s="105"/>
      <c r="E495" s="106"/>
      <c r="F495" s="107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6"/>
    </row>
    <row r="496" ht="15.75" customHeight="1">
      <c r="A496" s="109"/>
      <c r="B496" s="104"/>
      <c r="C496" s="104"/>
      <c r="D496" s="105"/>
      <c r="E496" s="106"/>
      <c r="F496" s="107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6"/>
    </row>
    <row r="497" ht="15.75" customHeight="1">
      <c r="A497" s="109"/>
      <c r="B497" s="104"/>
      <c r="C497" s="104"/>
      <c r="D497" s="105"/>
      <c r="E497" s="106"/>
      <c r="F497" s="107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6"/>
    </row>
    <row r="498" ht="15.75" customHeight="1">
      <c r="A498" s="109"/>
      <c r="B498" s="104"/>
      <c r="C498" s="104"/>
      <c r="D498" s="105"/>
      <c r="E498" s="106"/>
      <c r="F498" s="107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6"/>
    </row>
    <row r="499" ht="15.75" customHeight="1">
      <c r="A499" s="109"/>
      <c r="B499" s="104"/>
      <c r="C499" s="104"/>
      <c r="D499" s="105"/>
      <c r="E499" s="106"/>
      <c r="F499" s="107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6"/>
    </row>
    <row r="500" ht="15.75" customHeight="1">
      <c r="A500" s="109"/>
      <c r="B500" s="104"/>
      <c r="C500" s="104"/>
      <c r="D500" s="105"/>
      <c r="E500" s="106"/>
      <c r="F500" s="107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6"/>
    </row>
    <row r="501" ht="15.75" customHeight="1">
      <c r="A501" s="109"/>
      <c r="B501" s="104"/>
      <c r="C501" s="104"/>
      <c r="D501" s="105"/>
      <c r="E501" s="106"/>
      <c r="F501" s="107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6"/>
    </row>
    <row r="502" ht="15.75" customHeight="1">
      <c r="A502" s="109"/>
      <c r="B502" s="104"/>
      <c r="C502" s="104"/>
      <c r="D502" s="105"/>
      <c r="E502" s="106"/>
      <c r="F502" s="107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6"/>
    </row>
    <row r="503" ht="15.75" customHeight="1">
      <c r="A503" s="109"/>
      <c r="B503" s="104"/>
      <c r="C503" s="104"/>
      <c r="D503" s="105"/>
      <c r="E503" s="106"/>
      <c r="F503" s="107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6"/>
    </row>
    <row r="504" ht="15.75" customHeight="1">
      <c r="A504" s="109"/>
      <c r="B504" s="104"/>
      <c r="C504" s="104"/>
      <c r="D504" s="105"/>
      <c r="E504" s="106"/>
      <c r="F504" s="107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6"/>
    </row>
    <row r="505" ht="15.75" customHeight="1">
      <c r="A505" s="109"/>
      <c r="B505" s="104"/>
      <c r="C505" s="104"/>
      <c r="D505" s="105"/>
      <c r="E505" s="106"/>
      <c r="F505" s="107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6"/>
    </row>
    <row r="506" ht="15.75" customHeight="1">
      <c r="A506" s="109"/>
      <c r="B506" s="104"/>
      <c r="C506" s="104"/>
      <c r="D506" s="105"/>
      <c r="E506" s="106"/>
      <c r="F506" s="107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6"/>
    </row>
    <row r="507" ht="15.75" customHeight="1">
      <c r="A507" s="109"/>
      <c r="B507" s="104"/>
      <c r="C507" s="104"/>
      <c r="D507" s="105"/>
      <c r="E507" s="106"/>
      <c r="F507" s="107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6"/>
    </row>
    <row r="508" ht="15.75" customHeight="1">
      <c r="A508" s="109"/>
      <c r="B508" s="104"/>
      <c r="C508" s="104"/>
      <c r="D508" s="105"/>
      <c r="E508" s="106"/>
      <c r="F508" s="107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6"/>
    </row>
    <row r="509" ht="15.75" customHeight="1">
      <c r="A509" s="109"/>
      <c r="B509" s="104"/>
      <c r="C509" s="104"/>
      <c r="D509" s="105"/>
      <c r="E509" s="106"/>
      <c r="F509" s="107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6"/>
    </row>
    <row r="510" ht="15.75" customHeight="1">
      <c r="A510" s="109"/>
      <c r="B510" s="104"/>
      <c r="C510" s="104"/>
      <c r="D510" s="105"/>
      <c r="E510" s="106"/>
      <c r="F510" s="107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6"/>
    </row>
    <row r="511" ht="15.75" customHeight="1">
      <c r="A511" s="109"/>
      <c r="B511" s="104"/>
      <c r="C511" s="104"/>
      <c r="D511" s="105"/>
      <c r="E511" s="106"/>
      <c r="F511" s="107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6"/>
    </row>
    <row r="512" ht="15.75" customHeight="1">
      <c r="A512" s="109"/>
      <c r="B512" s="104"/>
      <c r="C512" s="104"/>
      <c r="D512" s="105"/>
      <c r="E512" s="106"/>
      <c r="F512" s="107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6"/>
    </row>
    <row r="513" ht="15.75" customHeight="1">
      <c r="A513" s="109"/>
      <c r="B513" s="104"/>
      <c r="C513" s="104"/>
      <c r="D513" s="105"/>
      <c r="E513" s="106"/>
      <c r="F513" s="107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6"/>
    </row>
    <row r="514" ht="15.75" customHeight="1">
      <c r="A514" s="109"/>
      <c r="B514" s="104"/>
      <c r="C514" s="104"/>
      <c r="D514" s="105"/>
      <c r="E514" s="106"/>
      <c r="F514" s="107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6"/>
    </row>
    <row r="515" ht="15.75" customHeight="1">
      <c r="A515" s="109"/>
      <c r="B515" s="104"/>
      <c r="C515" s="104"/>
      <c r="D515" s="105"/>
      <c r="E515" s="106"/>
      <c r="F515" s="107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6"/>
    </row>
    <row r="516" ht="15.75" customHeight="1">
      <c r="A516" s="109"/>
      <c r="B516" s="104"/>
      <c r="C516" s="104"/>
      <c r="D516" s="105"/>
      <c r="E516" s="106"/>
      <c r="F516" s="107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6"/>
    </row>
    <row r="517" ht="15.75" customHeight="1">
      <c r="A517" s="109"/>
      <c r="B517" s="104"/>
      <c r="C517" s="104"/>
      <c r="D517" s="105"/>
      <c r="E517" s="106"/>
      <c r="F517" s="107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6"/>
    </row>
    <row r="518" ht="15.75" customHeight="1">
      <c r="A518" s="109"/>
      <c r="B518" s="104"/>
      <c r="C518" s="104"/>
      <c r="D518" s="105"/>
      <c r="E518" s="106"/>
      <c r="F518" s="107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6"/>
    </row>
    <row r="519" ht="15.75" customHeight="1">
      <c r="A519" s="109"/>
      <c r="B519" s="104"/>
      <c r="C519" s="104"/>
      <c r="D519" s="105"/>
      <c r="E519" s="106"/>
      <c r="F519" s="107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6"/>
    </row>
    <row r="520" ht="15.75" customHeight="1">
      <c r="A520" s="109"/>
      <c r="B520" s="104"/>
      <c r="C520" s="104"/>
      <c r="D520" s="105"/>
      <c r="E520" s="106"/>
      <c r="F520" s="107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6"/>
    </row>
    <row r="521" ht="15.75" customHeight="1">
      <c r="A521" s="109"/>
      <c r="B521" s="104"/>
      <c r="C521" s="104"/>
      <c r="D521" s="105"/>
      <c r="E521" s="106"/>
      <c r="F521" s="107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6"/>
    </row>
    <row r="522" ht="15.75" customHeight="1">
      <c r="A522" s="109"/>
      <c r="B522" s="104"/>
      <c r="C522" s="104"/>
      <c r="D522" s="105"/>
      <c r="E522" s="106"/>
      <c r="F522" s="107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6"/>
    </row>
    <row r="523" ht="15.75" customHeight="1">
      <c r="A523" s="109"/>
      <c r="B523" s="104"/>
      <c r="C523" s="104"/>
      <c r="D523" s="105"/>
      <c r="E523" s="106"/>
      <c r="F523" s="107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6"/>
    </row>
    <row r="524" ht="15.75" customHeight="1">
      <c r="A524" s="109"/>
      <c r="B524" s="104"/>
      <c r="C524" s="104"/>
      <c r="D524" s="105"/>
      <c r="E524" s="106"/>
      <c r="F524" s="107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6"/>
    </row>
    <row r="525" ht="15.75" customHeight="1">
      <c r="A525" s="109"/>
      <c r="B525" s="104"/>
      <c r="C525" s="104"/>
      <c r="D525" s="105"/>
      <c r="E525" s="106"/>
      <c r="F525" s="107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6"/>
    </row>
    <row r="526" ht="15.75" customHeight="1">
      <c r="A526" s="109"/>
      <c r="B526" s="104"/>
      <c r="C526" s="104"/>
      <c r="D526" s="105"/>
      <c r="E526" s="106"/>
      <c r="F526" s="107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6"/>
    </row>
    <row r="527" ht="15.75" customHeight="1">
      <c r="A527" s="109"/>
      <c r="B527" s="104"/>
      <c r="C527" s="104"/>
      <c r="D527" s="105"/>
      <c r="E527" s="106"/>
      <c r="F527" s="107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6"/>
    </row>
    <row r="528" ht="15.75" customHeight="1">
      <c r="A528" s="109"/>
      <c r="B528" s="104"/>
      <c r="C528" s="104"/>
      <c r="D528" s="105"/>
      <c r="E528" s="106"/>
      <c r="F528" s="107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6"/>
    </row>
    <row r="529" ht="15.75" customHeight="1">
      <c r="A529" s="109"/>
      <c r="B529" s="104"/>
      <c r="C529" s="104"/>
      <c r="D529" s="105"/>
      <c r="E529" s="106"/>
      <c r="F529" s="107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6"/>
    </row>
    <row r="530" ht="15.75" customHeight="1">
      <c r="A530" s="109"/>
      <c r="B530" s="104"/>
      <c r="C530" s="104"/>
      <c r="D530" s="105"/>
      <c r="E530" s="106"/>
      <c r="F530" s="107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6"/>
    </row>
    <row r="531" ht="15.75" customHeight="1">
      <c r="A531" s="109"/>
      <c r="B531" s="104"/>
      <c r="C531" s="104"/>
      <c r="D531" s="105"/>
      <c r="E531" s="106"/>
      <c r="F531" s="107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6"/>
    </row>
    <row r="532" ht="15.75" customHeight="1">
      <c r="A532" s="109"/>
      <c r="B532" s="104"/>
      <c r="C532" s="104"/>
      <c r="D532" s="105"/>
      <c r="E532" s="106"/>
      <c r="F532" s="107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6"/>
    </row>
    <row r="533" ht="15.75" customHeight="1">
      <c r="A533" s="109"/>
      <c r="B533" s="104"/>
      <c r="C533" s="104"/>
      <c r="D533" s="105"/>
      <c r="E533" s="106"/>
      <c r="F533" s="107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6"/>
    </row>
    <row r="534" ht="15.75" customHeight="1">
      <c r="A534" s="109"/>
      <c r="B534" s="104"/>
      <c r="C534" s="104"/>
      <c r="D534" s="105"/>
      <c r="E534" s="106"/>
      <c r="F534" s="107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6"/>
    </row>
    <row r="535" ht="15.75" customHeight="1">
      <c r="A535" s="109"/>
      <c r="B535" s="104"/>
      <c r="C535" s="104"/>
      <c r="D535" s="105"/>
      <c r="E535" s="106"/>
      <c r="F535" s="107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6"/>
    </row>
    <row r="536" ht="15.75" customHeight="1">
      <c r="A536" s="109"/>
      <c r="B536" s="104"/>
      <c r="C536" s="104"/>
      <c r="D536" s="105"/>
      <c r="E536" s="106"/>
      <c r="F536" s="107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6"/>
    </row>
    <row r="537" ht="15.75" customHeight="1">
      <c r="A537" s="109"/>
      <c r="B537" s="104"/>
      <c r="C537" s="104"/>
      <c r="D537" s="105"/>
      <c r="E537" s="106"/>
      <c r="F537" s="107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6"/>
    </row>
    <row r="538" ht="15.75" customHeight="1">
      <c r="A538" s="109"/>
      <c r="B538" s="104"/>
      <c r="C538" s="104"/>
      <c r="D538" s="105"/>
      <c r="E538" s="106"/>
      <c r="F538" s="107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6"/>
    </row>
    <row r="539" ht="15.75" customHeight="1">
      <c r="A539" s="109"/>
      <c r="B539" s="104"/>
      <c r="C539" s="104"/>
      <c r="D539" s="105"/>
      <c r="E539" s="106"/>
      <c r="F539" s="107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6"/>
    </row>
    <row r="540" ht="15.75" customHeight="1">
      <c r="A540" s="109"/>
      <c r="B540" s="104"/>
      <c r="C540" s="104"/>
      <c r="D540" s="105"/>
      <c r="E540" s="106"/>
      <c r="F540" s="107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6"/>
    </row>
    <row r="541" ht="15.75" customHeight="1">
      <c r="A541" s="109"/>
      <c r="B541" s="104"/>
      <c r="C541" s="104"/>
      <c r="D541" s="105"/>
      <c r="E541" s="106"/>
      <c r="F541" s="107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6"/>
    </row>
    <row r="542" ht="15.75" customHeight="1">
      <c r="A542" s="109"/>
      <c r="B542" s="104"/>
      <c r="C542" s="104"/>
      <c r="D542" s="105"/>
      <c r="E542" s="106"/>
      <c r="F542" s="107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6"/>
    </row>
    <row r="543" ht="15.75" customHeight="1">
      <c r="A543" s="109"/>
      <c r="B543" s="104"/>
      <c r="C543" s="104"/>
      <c r="D543" s="105"/>
      <c r="E543" s="106"/>
      <c r="F543" s="107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6"/>
    </row>
    <row r="544" ht="15.75" customHeight="1">
      <c r="A544" s="109"/>
      <c r="B544" s="104"/>
      <c r="C544" s="104"/>
      <c r="D544" s="105"/>
      <c r="E544" s="106"/>
      <c r="F544" s="107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6"/>
    </row>
    <row r="545" ht="15.75" customHeight="1">
      <c r="A545" s="109"/>
      <c r="B545" s="104"/>
      <c r="C545" s="104"/>
      <c r="D545" s="105"/>
      <c r="E545" s="106"/>
      <c r="F545" s="107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6"/>
    </row>
    <row r="546" ht="15.75" customHeight="1">
      <c r="A546" s="109"/>
      <c r="B546" s="104"/>
      <c r="C546" s="104"/>
      <c r="D546" s="105"/>
      <c r="E546" s="106"/>
      <c r="F546" s="107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6"/>
    </row>
    <row r="547" ht="15.75" customHeight="1">
      <c r="A547" s="109"/>
      <c r="B547" s="104"/>
      <c r="C547" s="104"/>
      <c r="D547" s="105"/>
      <c r="E547" s="106"/>
      <c r="F547" s="107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6"/>
    </row>
    <row r="548" ht="15.75" customHeight="1">
      <c r="A548" s="109"/>
      <c r="B548" s="104"/>
      <c r="C548" s="104"/>
      <c r="D548" s="105"/>
      <c r="E548" s="106"/>
      <c r="F548" s="107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6"/>
    </row>
    <row r="549" ht="15.75" customHeight="1">
      <c r="A549" s="109"/>
      <c r="B549" s="104"/>
      <c r="C549" s="104"/>
      <c r="D549" s="105"/>
      <c r="E549" s="106"/>
      <c r="F549" s="107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6"/>
    </row>
    <row r="550" ht="15.75" customHeight="1">
      <c r="A550" s="109"/>
      <c r="B550" s="104"/>
      <c r="C550" s="104"/>
      <c r="D550" s="105"/>
      <c r="E550" s="106"/>
      <c r="F550" s="107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6"/>
    </row>
    <row r="551" ht="15.75" customHeight="1">
      <c r="A551" s="109"/>
      <c r="B551" s="104"/>
      <c r="C551" s="104"/>
      <c r="D551" s="105"/>
      <c r="E551" s="106"/>
      <c r="F551" s="107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6"/>
    </row>
    <row r="552" ht="15.75" customHeight="1">
      <c r="A552" s="109"/>
      <c r="B552" s="104"/>
      <c r="C552" s="104"/>
      <c r="D552" s="105"/>
      <c r="E552" s="106"/>
      <c r="F552" s="107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6"/>
    </row>
    <row r="553" ht="15.75" customHeight="1">
      <c r="A553" s="109"/>
      <c r="B553" s="104"/>
      <c r="C553" s="104"/>
      <c r="D553" s="105"/>
      <c r="E553" s="106"/>
      <c r="F553" s="107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6"/>
    </row>
    <row r="554" ht="15.75" customHeight="1">
      <c r="A554" s="109"/>
      <c r="B554" s="104"/>
      <c r="C554" s="104"/>
      <c r="D554" s="105"/>
      <c r="E554" s="106"/>
      <c r="F554" s="107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6"/>
    </row>
    <row r="555" ht="15.75" customHeight="1">
      <c r="A555" s="109"/>
      <c r="B555" s="104"/>
      <c r="C555" s="104"/>
      <c r="D555" s="105"/>
      <c r="E555" s="106"/>
      <c r="F555" s="107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6"/>
    </row>
    <row r="556" ht="15.75" customHeight="1">
      <c r="A556" s="109"/>
      <c r="B556" s="104"/>
      <c r="C556" s="104"/>
      <c r="D556" s="105"/>
      <c r="E556" s="106"/>
      <c r="F556" s="107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6"/>
    </row>
    <row r="557" ht="15.75" customHeight="1">
      <c r="A557" s="109"/>
      <c r="B557" s="104"/>
      <c r="C557" s="104"/>
      <c r="D557" s="105"/>
      <c r="E557" s="106"/>
      <c r="F557" s="107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6"/>
    </row>
    <row r="558" ht="15.75" customHeight="1">
      <c r="A558" s="109"/>
      <c r="B558" s="104"/>
      <c r="C558" s="104"/>
      <c r="D558" s="105"/>
      <c r="E558" s="106"/>
      <c r="F558" s="107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6"/>
    </row>
    <row r="559" ht="15.75" customHeight="1">
      <c r="A559" s="109"/>
      <c r="B559" s="104"/>
      <c r="C559" s="104"/>
      <c r="D559" s="105"/>
      <c r="E559" s="106"/>
      <c r="F559" s="107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6"/>
    </row>
    <row r="560" ht="15.75" customHeight="1">
      <c r="A560" s="109"/>
      <c r="B560" s="104"/>
      <c r="C560" s="104"/>
      <c r="D560" s="105"/>
      <c r="E560" s="106"/>
      <c r="F560" s="107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6"/>
    </row>
    <row r="561" ht="15.75" customHeight="1">
      <c r="A561" s="109"/>
      <c r="B561" s="104"/>
      <c r="C561" s="104"/>
      <c r="D561" s="105"/>
      <c r="E561" s="106"/>
      <c r="F561" s="107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6"/>
    </row>
    <row r="562" ht="15.75" customHeight="1">
      <c r="A562" s="109"/>
      <c r="B562" s="104"/>
      <c r="C562" s="104"/>
      <c r="D562" s="105"/>
      <c r="E562" s="106"/>
      <c r="F562" s="107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6"/>
    </row>
    <row r="563" ht="15.75" customHeight="1">
      <c r="A563" s="109"/>
      <c r="B563" s="104"/>
      <c r="C563" s="104"/>
      <c r="D563" s="105"/>
      <c r="E563" s="106"/>
      <c r="F563" s="107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6"/>
    </row>
    <row r="564" ht="15.75" customHeight="1">
      <c r="A564" s="109"/>
      <c r="B564" s="104"/>
      <c r="C564" s="104"/>
      <c r="D564" s="105"/>
      <c r="E564" s="106"/>
      <c r="F564" s="107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6"/>
    </row>
    <row r="565" ht="15.75" customHeight="1">
      <c r="A565" s="109"/>
      <c r="B565" s="104"/>
      <c r="C565" s="104"/>
      <c r="D565" s="105"/>
      <c r="E565" s="106"/>
      <c r="F565" s="107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6"/>
    </row>
    <row r="566" ht="15.75" customHeight="1">
      <c r="A566" s="109"/>
      <c r="B566" s="104"/>
      <c r="C566" s="104"/>
      <c r="D566" s="105"/>
      <c r="E566" s="106"/>
      <c r="F566" s="107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6"/>
    </row>
    <row r="567" ht="15.75" customHeight="1">
      <c r="A567" s="109"/>
      <c r="B567" s="104"/>
      <c r="C567" s="104"/>
      <c r="D567" s="105"/>
      <c r="E567" s="106"/>
      <c r="F567" s="107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6"/>
    </row>
    <row r="568" ht="15.75" customHeight="1">
      <c r="A568" s="109"/>
      <c r="B568" s="104"/>
      <c r="C568" s="104"/>
      <c r="D568" s="105"/>
      <c r="E568" s="106"/>
      <c r="F568" s="107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6"/>
    </row>
    <row r="569" ht="15.75" customHeight="1">
      <c r="A569" s="109"/>
      <c r="B569" s="104"/>
      <c r="C569" s="104"/>
      <c r="D569" s="105"/>
      <c r="E569" s="106"/>
      <c r="F569" s="107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6"/>
    </row>
    <row r="570" ht="15.75" customHeight="1">
      <c r="A570" s="109"/>
      <c r="B570" s="104"/>
      <c r="C570" s="104"/>
      <c r="D570" s="105"/>
      <c r="E570" s="106"/>
      <c r="F570" s="107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6"/>
    </row>
    <row r="571" ht="15.75" customHeight="1">
      <c r="A571" s="109"/>
      <c r="B571" s="104"/>
      <c r="C571" s="104"/>
      <c r="D571" s="105"/>
      <c r="E571" s="106"/>
      <c r="F571" s="107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6"/>
    </row>
    <row r="572" ht="15.75" customHeight="1">
      <c r="A572" s="109"/>
      <c r="B572" s="104"/>
      <c r="C572" s="104"/>
      <c r="D572" s="105"/>
      <c r="E572" s="106"/>
      <c r="F572" s="107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6"/>
    </row>
    <row r="573" ht="15.75" customHeight="1">
      <c r="A573" s="109"/>
      <c r="B573" s="104"/>
      <c r="C573" s="104"/>
      <c r="D573" s="105"/>
      <c r="E573" s="106"/>
      <c r="F573" s="107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6"/>
    </row>
    <row r="574" ht="15.75" customHeight="1">
      <c r="A574" s="109"/>
      <c r="B574" s="104"/>
      <c r="C574" s="104"/>
      <c r="D574" s="105"/>
      <c r="E574" s="106"/>
      <c r="F574" s="107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6"/>
    </row>
    <row r="575" ht="15.75" customHeight="1">
      <c r="A575" s="109"/>
      <c r="B575" s="104"/>
      <c r="C575" s="104"/>
      <c r="D575" s="105"/>
      <c r="E575" s="106"/>
      <c r="F575" s="107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6"/>
    </row>
    <row r="576" ht="15.75" customHeight="1">
      <c r="A576" s="109"/>
      <c r="B576" s="104"/>
      <c r="C576" s="104"/>
      <c r="D576" s="105"/>
      <c r="E576" s="106"/>
      <c r="F576" s="107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6"/>
    </row>
    <row r="577" ht="15.75" customHeight="1">
      <c r="A577" s="109"/>
      <c r="B577" s="104"/>
      <c r="C577" s="104"/>
      <c r="D577" s="105"/>
      <c r="E577" s="106"/>
      <c r="F577" s="107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6"/>
    </row>
    <row r="578" ht="15.75" customHeight="1">
      <c r="A578" s="109"/>
      <c r="B578" s="104"/>
      <c r="C578" s="104"/>
      <c r="D578" s="105"/>
      <c r="E578" s="106"/>
      <c r="F578" s="107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6"/>
    </row>
    <row r="579" ht="15.75" customHeight="1">
      <c r="A579" s="109"/>
      <c r="B579" s="104"/>
      <c r="C579" s="104"/>
      <c r="D579" s="105"/>
      <c r="E579" s="106"/>
      <c r="F579" s="107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6"/>
    </row>
    <row r="580" ht="15.75" customHeight="1">
      <c r="A580" s="109"/>
      <c r="B580" s="104"/>
      <c r="C580" s="104"/>
      <c r="D580" s="105"/>
      <c r="E580" s="106"/>
      <c r="F580" s="107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6"/>
    </row>
    <row r="581" ht="15.75" customHeight="1">
      <c r="A581" s="109"/>
      <c r="B581" s="104"/>
      <c r="C581" s="104"/>
      <c r="D581" s="105"/>
      <c r="E581" s="106"/>
      <c r="F581" s="107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6"/>
    </row>
    <row r="582" ht="15.75" customHeight="1">
      <c r="A582" s="109"/>
      <c r="B582" s="104"/>
      <c r="C582" s="104"/>
      <c r="D582" s="105"/>
      <c r="E582" s="106"/>
      <c r="F582" s="107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6"/>
    </row>
    <row r="583" ht="15.75" customHeight="1">
      <c r="A583" s="109"/>
      <c r="B583" s="104"/>
      <c r="C583" s="104"/>
      <c r="D583" s="105"/>
      <c r="E583" s="106"/>
      <c r="F583" s="107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6"/>
    </row>
    <row r="584" ht="15.75" customHeight="1">
      <c r="A584" s="109"/>
      <c r="B584" s="104"/>
      <c r="C584" s="104"/>
      <c r="D584" s="105"/>
      <c r="E584" s="106"/>
      <c r="F584" s="107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6"/>
    </row>
    <row r="585" ht="15.75" customHeight="1">
      <c r="A585" s="109"/>
      <c r="B585" s="104"/>
      <c r="C585" s="104"/>
      <c r="D585" s="105"/>
      <c r="E585" s="106"/>
      <c r="F585" s="107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6"/>
    </row>
    <row r="586" ht="15.75" customHeight="1">
      <c r="A586" s="109"/>
      <c r="B586" s="104"/>
      <c r="C586" s="104"/>
      <c r="D586" s="105"/>
      <c r="E586" s="106"/>
      <c r="F586" s="107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6"/>
    </row>
    <row r="587" ht="15.75" customHeight="1">
      <c r="A587" s="109"/>
      <c r="B587" s="104"/>
      <c r="C587" s="104"/>
      <c r="D587" s="105"/>
      <c r="E587" s="106"/>
      <c r="F587" s="107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6"/>
    </row>
    <row r="588" ht="15.75" customHeight="1">
      <c r="A588" s="109"/>
      <c r="B588" s="104"/>
      <c r="C588" s="104"/>
      <c r="D588" s="105"/>
      <c r="E588" s="106"/>
      <c r="F588" s="107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6"/>
    </row>
    <row r="589" ht="15.75" customHeight="1">
      <c r="A589" s="109"/>
      <c r="B589" s="104"/>
      <c r="C589" s="104"/>
      <c r="D589" s="105"/>
      <c r="E589" s="106"/>
      <c r="F589" s="107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6"/>
    </row>
    <row r="590" ht="15.75" customHeight="1">
      <c r="A590" s="109"/>
      <c r="B590" s="104"/>
      <c r="C590" s="104"/>
      <c r="D590" s="105"/>
      <c r="E590" s="106"/>
      <c r="F590" s="107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6"/>
    </row>
    <row r="591" ht="15.75" customHeight="1">
      <c r="A591" s="109"/>
      <c r="B591" s="104"/>
      <c r="C591" s="104"/>
      <c r="D591" s="105"/>
      <c r="E591" s="106"/>
      <c r="F591" s="107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6"/>
    </row>
    <row r="592" ht="15.75" customHeight="1">
      <c r="A592" s="109"/>
      <c r="B592" s="104"/>
      <c r="C592" s="104"/>
      <c r="D592" s="105"/>
      <c r="E592" s="106"/>
      <c r="F592" s="107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6"/>
    </row>
    <row r="593" ht="15.75" customHeight="1">
      <c r="A593" s="109"/>
      <c r="B593" s="104"/>
      <c r="C593" s="104"/>
      <c r="D593" s="105"/>
      <c r="E593" s="106"/>
      <c r="F593" s="107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6"/>
    </row>
    <row r="594" ht="15.75" customHeight="1">
      <c r="A594" s="109"/>
      <c r="B594" s="104"/>
      <c r="C594" s="104"/>
      <c r="D594" s="105"/>
      <c r="E594" s="106"/>
      <c r="F594" s="107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6"/>
    </row>
    <row r="595" ht="15.75" customHeight="1">
      <c r="A595" s="109"/>
      <c r="B595" s="104"/>
      <c r="C595" s="104"/>
      <c r="D595" s="105"/>
      <c r="E595" s="106"/>
      <c r="F595" s="107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6"/>
    </row>
    <row r="596" ht="15.75" customHeight="1">
      <c r="A596" s="109"/>
      <c r="B596" s="104"/>
      <c r="C596" s="104"/>
      <c r="D596" s="105"/>
      <c r="E596" s="106"/>
      <c r="F596" s="107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6"/>
    </row>
    <row r="597" ht="15.75" customHeight="1">
      <c r="A597" s="109"/>
      <c r="B597" s="104"/>
      <c r="C597" s="104"/>
      <c r="D597" s="105"/>
      <c r="E597" s="106"/>
      <c r="F597" s="107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6"/>
    </row>
    <row r="598" ht="15.75" customHeight="1">
      <c r="A598" s="109"/>
      <c r="B598" s="104"/>
      <c r="C598" s="104"/>
      <c r="D598" s="105"/>
      <c r="E598" s="106"/>
      <c r="F598" s="107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6"/>
    </row>
    <row r="599" ht="15.75" customHeight="1">
      <c r="A599" s="109"/>
      <c r="B599" s="104"/>
      <c r="C599" s="104"/>
      <c r="D599" s="105"/>
      <c r="E599" s="106"/>
      <c r="F599" s="107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6"/>
    </row>
    <row r="600" ht="15.75" customHeight="1">
      <c r="A600" s="109"/>
      <c r="B600" s="104"/>
      <c r="C600" s="104"/>
      <c r="D600" s="105"/>
      <c r="E600" s="106"/>
      <c r="F600" s="107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6"/>
    </row>
    <row r="601" ht="15.75" customHeight="1">
      <c r="A601" s="109"/>
      <c r="B601" s="104"/>
      <c r="C601" s="104"/>
      <c r="D601" s="105"/>
      <c r="E601" s="106"/>
      <c r="F601" s="107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6"/>
    </row>
    <row r="602" ht="15.75" customHeight="1">
      <c r="A602" s="109"/>
      <c r="B602" s="104"/>
      <c r="C602" s="104"/>
      <c r="D602" s="105"/>
      <c r="E602" s="106"/>
      <c r="F602" s="107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6"/>
    </row>
    <row r="603" ht="15.75" customHeight="1">
      <c r="A603" s="109"/>
      <c r="B603" s="104"/>
      <c r="C603" s="104"/>
      <c r="D603" s="105"/>
      <c r="E603" s="106"/>
      <c r="F603" s="107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6"/>
    </row>
    <row r="604" ht="15.75" customHeight="1">
      <c r="A604" s="109"/>
      <c r="B604" s="104"/>
      <c r="C604" s="104"/>
      <c r="D604" s="105"/>
      <c r="E604" s="106"/>
      <c r="F604" s="107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6"/>
    </row>
    <row r="605" ht="15.75" customHeight="1">
      <c r="A605" s="109"/>
      <c r="B605" s="104"/>
      <c r="C605" s="104"/>
      <c r="D605" s="105"/>
      <c r="E605" s="106"/>
      <c r="F605" s="107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6"/>
    </row>
    <row r="606" ht="15.75" customHeight="1">
      <c r="A606" s="109"/>
      <c r="B606" s="104"/>
      <c r="C606" s="104"/>
      <c r="D606" s="105"/>
      <c r="E606" s="106"/>
      <c r="F606" s="107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6"/>
    </row>
    <row r="607" ht="15.75" customHeight="1">
      <c r="A607" s="109"/>
      <c r="B607" s="104"/>
      <c r="C607" s="104"/>
      <c r="D607" s="105"/>
      <c r="E607" s="106"/>
      <c r="F607" s="107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6"/>
    </row>
    <row r="608" ht="15.75" customHeight="1">
      <c r="A608" s="109"/>
      <c r="B608" s="104"/>
      <c r="C608" s="104"/>
      <c r="D608" s="105"/>
      <c r="E608" s="106"/>
      <c r="F608" s="107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6"/>
    </row>
    <row r="609" ht="15.75" customHeight="1">
      <c r="A609" s="109"/>
      <c r="B609" s="104"/>
      <c r="C609" s="104"/>
      <c r="D609" s="105"/>
      <c r="E609" s="106"/>
      <c r="F609" s="107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6"/>
    </row>
    <row r="610" ht="15.75" customHeight="1">
      <c r="A610" s="109"/>
      <c r="B610" s="104"/>
      <c r="C610" s="104"/>
      <c r="D610" s="105"/>
      <c r="E610" s="106"/>
      <c r="F610" s="107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6"/>
    </row>
    <row r="611" ht="15.75" customHeight="1">
      <c r="A611" s="109"/>
      <c r="B611" s="104"/>
      <c r="C611" s="104"/>
      <c r="D611" s="105"/>
      <c r="E611" s="106"/>
      <c r="F611" s="107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6"/>
    </row>
    <row r="612" ht="15.75" customHeight="1">
      <c r="A612" s="109"/>
      <c r="B612" s="104"/>
      <c r="C612" s="104"/>
      <c r="D612" s="105"/>
      <c r="E612" s="106"/>
      <c r="F612" s="107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6"/>
    </row>
    <row r="613" ht="15.75" customHeight="1">
      <c r="A613" s="109"/>
      <c r="B613" s="104"/>
      <c r="C613" s="104"/>
      <c r="D613" s="105"/>
      <c r="E613" s="106"/>
      <c r="F613" s="107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6"/>
    </row>
    <row r="614" ht="15.75" customHeight="1">
      <c r="A614" s="109"/>
      <c r="B614" s="104"/>
      <c r="C614" s="104"/>
      <c r="D614" s="105"/>
      <c r="E614" s="106"/>
      <c r="F614" s="107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6"/>
    </row>
    <row r="615" ht="15.75" customHeight="1">
      <c r="A615" s="109"/>
      <c r="B615" s="104"/>
      <c r="C615" s="104"/>
      <c r="D615" s="105"/>
      <c r="E615" s="106"/>
      <c r="F615" s="107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6"/>
    </row>
    <row r="616" ht="15.75" customHeight="1">
      <c r="A616" s="109"/>
      <c r="B616" s="104"/>
      <c r="C616" s="104"/>
      <c r="D616" s="105"/>
      <c r="E616" s="106"/>
      <c r="F616" s="107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6"/>
    </row>
    <row r="617" ht="15.75" customHeight="1">
      <c r="A617" s="109"/>
      <c r="B617" s="104"/>
      <c r="C617" s="104"/>
      <c r="D617" s="105"/>
      <c r="E617" s="106"/>
      <c r="F617" s="107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6"/>
    </row>
    <row r="618" ht="15.75" customHeight="1">
      <c r="A618" s="109"/>
      <c r="B618" s="104"/>
      <c r="C618" s="104"/>
      <c r="D618" s="105"/>
      <c r="E618" s="106"/>
      <c r="F618" s="107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6"/>
    </row>
    <row r="619" ht="15.75" customHeight="1">
      <c r="A619" s="109"/>
      <c r="B619" s="104"/>
      <c r="C619" s="104"/>
      <c r="D619" s="105"/>
      <c r="E619" s="106"/>
      <c r="F619" s="107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6"/>
    </row>
    <row r="620" ht="15.75" customHeight="1">
      <c r="A620" s="109"/>
      <c r="B620" s="104"/>
      <c r="C620" s="104"/>
      <c r="D620" s="105"/>
      <c r="E620" s="106"/>
      <c r="F620" s="107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6"/>
    </row>
    <row r="621" ht="15.75" customHeight="1">
      <c r="A621" s="109"/>
      <c r="B621" s="104"/>
      <c r="C621" s="104"/>
      <c r="D621" s="105"/>
      <c r="E621" s="106"/>
      <c r="F621" s="107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6"/>
    </row>
    <row r="622" ht="15.75" customHeight="1">
      <c r="A622" s="109"/>
      <c r="B622" s="104"/>
      <c r="C622" s="104"/>
      <c r="D622" s="105"/>
      <c r="E622" s="106"/>
      <c r="F622" s="107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6"/>
    </row>
    <row r="623" ht="15.75" customHeight="1">
      <c r="A623" s="109"/>
      <c r="B623" s="104"/>
      <c r="C623" s="104"/>
      <c r="D623" s="105"/>
      <c r="E623" s="106"/>
      <c r="F623" s="107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6"/>
    </row>
    <row r="624" ht="15.75" customHeight="1">
      <c r="A624" s="109"/>
      <c r="B624" s="104"/>
      <c r="C624" s="104"/>
      <c r="D624" s="105"/>
      <c r="E624" s="106"/>
      <c r="F624" s="107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6"/>
    </row>
    <row r="625" ht="15.75" customHeight="1">
      <c r="A625" s="109"/>
      <c r="B625" s="104"/>
      <c r="C625" s="104"/>
      <c r="D625" s="105"/>
      <c r="E625" s="106"/>
      <c r="F625" s="107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6"/>
    </row>
    <row r="626" ht="15.75" customHeight="1">
      <c r="A626" s="109"/>
      <c r="B626" s="104"/>
      <c r="C626" s="104"/>
      <c r="D626" s="105"/>
      <c r="E626" s="106"/>
      <c r="F626" s="107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6"/>
    </row>
    <row r="627" ht="15.75" customHeight="1">
      <c r="A627" s="109"/>
      <c r="B627" s="104"/>
      <c r="C627" s="104"/>
      <c r="D627" s="105"/>
      <c r="E627" s="106"/>
      <c r="F627" s="107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6"/>
    </row>
    <row r="628" ht="15.75" customHeight="1">
      <c r="A628" s="109"/>
      <c r="B628" s="104"/>
      <c r="C628" s="104"/>
      <c r="D628" s="105"/>
      <c r="E628" s="106"/>
      <c r="F628" s="107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6"/>
    </row>
    <row r="629" ht="15.75" customHeight="1">
      <c r="A629" s="109"/>
      <c r="B629" s="104"/>
      <c r="C629" s="104"/>
      <c r="D629" s="105"/>
      <c r="E629" s="106"/>
      <c r="F629" s="107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6"/>
    </row>
    <row r="630" ht="15.75" customHeight="1">
      <c r="A630" s="109"/>
      <c r="B630" s="104"/>
      <c r="C630" s="104"/>
      <c r="D630" s="105"/>
      <c r="E630" s="106"/>
      <c r="F630" s="107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6"/>
    </row>
    <row r="631" ht="15.75" customHeight="1">
      <c r="A631" s="109"/>
      <c r="B631" s="104"/>
      <c r="C631" s="104"/>
      <c r="D631" s="105"/>
      <c r="E631" s="106"/>
      <c r="F631" s="107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6"/>
    </row>
    <row r="632" ht="15.75" customHeight="1">
      <c r="A632" s="109"/>
      <c r="B632" s="104"/>
      <c r="C632" s="104"/>
      <c r="D632" s="105"/>
      <c r="E632" s="106"/>
      <c r="F632" s="107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6"/>
    </row>
    <row r="633" ht="15.75" customHeight="1">
      <c r="A633" s="109"/>
      <c r="B633" s="104"/>
      <c r="C633" s="104"/>
      <c r="D633" s="105"/>
      <c r="E633" s="106"/>
      <c r="F633" s="107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6"/>
    </row>
    <row r="634" ht="15.75" customHeight="1">
      <c r="A634" s="109"/>
      <c r="B634" s="104"/>
      <c r="C634" s="104"/>
      <c r="D634" s="105"/>
      <c r="E634" s="106"/>
      <c r="F634" s="107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6"/>
    </row>
    <row r="635" ht="15.75" customHeight="1">
      <c r="A635" s="109"/>
      <c r="B635" s="104"/>
      <c r="C635" s="104"/>
      <c r="D635" s="105"/>
      <c r="E635" s="106"/>
      <c r="F635" s="107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6"/>
    </row>
    <row r="636" ht="15.75" customHeight="1">
      <c r="A636" s="109"/>
      <c r="B636" s="104"/>
      <c r="C636" s="104"/>
      <c r="D636" s="105"/>
      <c r="E636" s="106"/>
      <c r="F636" s="107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6"/>
    </row>
    <row r="637" ht="15.75" customHeight="1">
      <c r="A637" s="109"/>
      <c r="B637" s="104"/>
      <c r="C637" s="104"/>
      <c r="D637" s="105"/>
      <c r="E637" s="106"/>
      <c r="F637" s="107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6"/>
    </row>
    <row r="638" ht="15.75" customHeight="1">
      <c r="A638" s="109"/>
      <c r="B638" s="104"/>
      <c r="C638" s="104"/>
      <c r="D638" s="105"/>
      <c r="E638" s="106"/>
      <c r="F638" s="107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6"/>
    </row>
    <row r="639" ht="15.75" customHeight="1">
      <c r="A639" s="109"/>
      <c r="B639" s="104"/>
      <c r="C639" s="104"/>
      <c r="D639" s="105"/>
      <c r="E639" s="106"/>
      <c r="F639" s="107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6"/>
    </row>
    <row r="640" ht="15.75" customHeight="1">
      <c r="A640" s="109"/>
      <c r="B640" s="104"/>
      <c r="C640" s="104"/>
      <c r="D640" s="105"/>
      <c r="E640" s="106"/>
      <c r="F640" s="107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6"/>
    </row>
    <row r="641" ht="15.75" customHeight="1">
      <c r="A641" s="109"/>
      <c r="B641" s="104"/>
      <c r="C641" s="104"/>
      <c r="D641" s="105"/>
      <c r="E641" s="106"/>
      <c r="F641" s="107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6"/>
    </row>
    <row r="642" ht="15.75" customHeight="1">
      <c r="A642" s="109"/>
      <c r="B642" s="104"/>
      <c r="C642" s="104"/>
      <c r="D642" s="105"/>
      <c r="E642" s="106"/>
      <c r="F642" s="107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6"/>
    </row>
    <row r="643" ht="15.75" customHeight="1">
      <c r="A643" s="109"/>
      <c r="B643" s="104"/>
      <c r="C643" s="104"/>
      <c r="D643" s="105"/>
      <c r="E643" s="106"/>
      <c r="F643" s="107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6"/>
    </row>
    <row r="644" ht="15.75" customHeight="1">
      <c r="A644" s="109"/>
      <c r="B644" s="104"/>
      <c r="C644" s="104"/>
      <c r="D644" s="105"/>
      <c r="E644" s="106"/>
      <c r="F644" s="107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6"/>
    </row>
    <row r="645" ht="15.75" customHeight="1">
      <c r="A645" s="109"/>
      <c r="B645" s="104"/>
      <c r="C645" s="104"/>
      <c r="D645" s="105"/>
      <c r="E645" s="106"/>
      <c r="F645" s="107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6"/>
    </row>
    <row r="646" ht="15.75" customHeight="1">
      <c r="A646" s="109"/>
      <c r="B646" s="104"/>
      <c r="C646" s="104"/>
      <c r="D646" s="105"/>
      <c r="E646" s="106"/>
      <c r="F646" s="107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6"/>
    </row>
    <row r="647" ht="15.75" customHeight="1">
      <c r="A647" s="109"/>
      <c r="B647" s="104"/>
      <c r="C647" s="104"/>
      <c r="D647" s="105"/>
      <c r="E647" s="106"/>
      <c r="F647" s="107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6"/>
    </row>
    <row r="648" ht="15.75" customHeight="1">
      <c r="A648" s="109"/>
      <c r="B648" s="104"/>
      <c r="C648" s="104"/>
      <c r="D648" s="105"/>
      <c r="E648" s="106"/>
      <c r="F648" s="107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6"/>
    </row>
    <row r="649" ht="15.75" customHeight="1">
      <c r="A649" s="109"/>
      <c r="B649" s="104"/>
      <c r="C649" s="104"/>
      <c r="D649" s="105"/>
      <c r="E649" s="106"/>
      <c r="F649" s="107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6"/>
    </row>
    <row r="650" ht="15.75" customHeight="1">
      <c r="A650" s="109"/>
      <c r="B650" s="104"/>
      <c r="C650" s="104"/>
      <c r="D650" s="105"/>
      <c r="E650" s="106"/>
      <c r="F650" s="107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6"/>
    </row>
    <row r="651" ht="15.75" customHeight="1">
      <c r="A651" s="109"/>
      <c r="B651" s="104"/>
      <c r="C651" s="104"/>
      <c r="D651" s="105"/>
      <c r="E651" s="106"/>
      <c r="F651" s="107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6"/>
    </row>
    <row r="652" ht="15.75" customHeight="1">
      <c r="A652" s="109"/>
      <c r="B652" s="104"/>
      <c r="C652" s="104"/>
      <c r="D652" s="105"/>
      <c r="E652" s="106"/>
      <c r="F652" s="107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6"/>
    </row>
    <row r="653" ht="15.75" customHeight="1">
      <c r="A653" s="109"/>
      <c r="B653" s="104"/>
      <c r="C653" s="104"/>
      <c r="D653" s="105"/>
      <c r="E653" s="106"/>
      <c r="F653" s="107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6"/>
    </row>
    <row r="654" ht="15.75" customHeight="1">
      <c r="A654" s="109"/>
      <c r="B654" s="104"/>
      <c r="C654" s="104"/>
      <c r="D654" s="105"/>
      <c r="E654" s="106"/>
      <c r="F654" s="107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6"/>
    </row>
    <row r="655" ht="15.75" customHeight="1">
      <c r="A655" s="109"/>
      <c r="B655" s="104"/>
      <c r="C655" s="104"/>
      <c r="D655" s="105"/>
      <c r="E655" s="106"/>
      <c r="F655" s="107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6"/>
    </row>
    <row r="656" ht="15.75" customHeight="1">
      <c r="A656" s="109"/>
      <c r="B656" s="104"/>
      <c r="C656" s="104"/>
      <c r="D656" s="105"/>
      <c r="E656" s="106"/>
      <c r="F656" s="107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6"/>
    </row>
    <row r="657" ht="15.75" customHeight="1">
      <c r="A657" s="109"/>
      <c r="B657" s="104"/>
      <c r="C657" s="104"/>
      <c r="D657" s="105"/>
      <c r="E657" s="106"/>
      <c r="F657" s="107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6"/>
    </row>
    <row r="658" ht="15.75" customHeight="1">
      <c r="A658" s="109"/>
      <c r="B658" s="104"/>
      <c r="C658" s="104"/>
      <c r="D658" s="105"/>
      <c r="E658" s="106"/>
      <c r="F658" s="107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6"/>
    </row>
    <row r="659" ht="15.75" customHeight="1">
      <c r="A659" s="109"/>
      <c r="B659" s="104"/>
      <c r="C659" s="104"/>
      <c r="D659" s="105"/>
      <c r="E659" s="106"/>
      <c r="F659" s="107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6"/>
    </row>
    <row r="660" ht="15.75" customHeight="1">
      <c r="A660" s="109"/>
      <c r="B660" s="104"/>
      <c r="C660" s="104"/>
      <c r="D660" s="105"/>
      <c r="E660" s="106"/>
      <c r="F660" s="107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6"/>
    </row>
    <row r="661" ht="15.75" customHeight="1">
      <c r="A661" s="109"/>
      <c r="B661" s="104"/>
      <c r="C661" s="104"/>
      <c r="D661" s="105"/>
      <c r="E661" s="106"/>
      <c r="F661" s="107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6"/>
    </row>
    <row r="662" ht="15.75" customHeight="1">
      <c r="A662" s="109"/>
      <c r="B662" s="104"/>
      <c r="C662" s="104"/>
      <c r="D662" s="105"/>
      <c r="E662" s="106"/>
      <c r="F662" s="107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6"/>
    </row>
    <row r="663" ht="15.75" customHeight="1">
      <c r="A663" s="109"/>
      <c r="B663" s="104"/>
      <c r="C663" s="104"/>
      <c r="D663" s="105"/>
      <c r="E663" s="106"/>
      <c r="F663" s="107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6"/>
    </row>
    <row r="664" ht="15.75" customHeight="1">
      <c r="A664" s="109"/>
      <c r="B664" s="104"/>
      <c r="C664" s="104"/>
      <c r="D664" s="105"/>
      <c r="E664" s="106"/>
      <c r="F664" s="107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6"/>
    </row>
    <row r="665" ht="15.75" customHeight="1">
      <c r="A665" s="109"/>
      <c r="B665" s="104"/>
      <c r="C665" s="104"/>
      <c r="D665" s="105"/>
      <c r="E665" s="106"/>
      <c r="F665" s="107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6"/>
    </row>
    <row r="666" ht="15.75" customHeight="1">
      <c r="A666" s="109"/>
      <c r="B666" s="104"/>
      <c r="C666" s="104"/>
      <c r="D666" s="105"/>
      <c r="E666" s="106"/>
      <c r="F666" s="107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6"/>
    </row>
    <row r="667" ht="15.75" customHeight="1">
      <c r="A667" s="109"/>
      <c r="B667" s="104"/>
      <c r="C667" s="104"/>
      <c r="D667" s="105"/>
      <c r="E667" s="106"/>
      <c r="F667" s="107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6"/>
    </row>
    <row r="668" ht="15.75" customHeight="1">
      <c r="A668" s="109"/>
      <c r="B668" s="104"/>
      <c r="C668" s="104"/>
      <c r="D668" s="105"/>
      <c r="E668" s="106"/>
      <c r="F668" s="107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6"/>
    </row>
    <row r="669" ht="15.75" customHeight="1">
      <c r="A669" s="109"/>
      <c r="B669" s="104"/>
      <c r="C669" s="104"/>
      <c r="D669" s="105"/>
      <c r="E669" s="106"/>
      <c r="F669" s="107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6"/>
    </row>
    <row r="670" ht="15.75" customHeight="1">
      <c r="A670" s="109"/>
      <c r="B670" s="104"/>
      <c r="C670" s="104"/>
      <c r="D670" s="105"/>
      <c r="E670" s="106"/>
      <c r="F670" s="107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6"/>
    </row>
    <row r="671" ht="15.75" customHeight="1">
      <c r="A671" s="109"/>
      <c r="B671" s="104"/>
      <c r="C671" s="104"/>
      <c r="D671" s="105"/>
      <c r="E671" s="106"/>
      <c r="F671" s="107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6"/>
    </row>
    <row r="672" ht="15.75" customHeight="1">
      <c r="A672" s="109"/>
      <c r="B672" s="104"/>
      <c r="C672" s="104"/>
      <c r="D672" s="105"/>
      <c r="E672" s="106"/>
      <c r="F672" s="107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6"/>
    </row>
    <row r="673" ht="15.75" customHeight="1">
      <c r="A673" s="109"/>
      <c r="B673" s="104"/>
      <c r="C673" s="104"/>
      <c r="D673" s="105"/>
      <c r="E673" s="106"/>
      <c r="F673" s="107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6"/>
    </row>
    <row r="674" ht="15.75" customHeight="1">
      <c r="A674" s="109"/>
      <c r="B674" s="104"/>
      <c r="C674" s="104"/>
      <c r="D674" s="105"/>
      <c r="E674" s="106"/>
      <c r="F674" s="107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6"/>
    </row>
    <row r="675" ht="15.75" customHeight="1">
      <c r="A675" s="109"/>
      <c r="B675" s="104"/>
      <c r="C675" s="104"/>
      <c r="D675" s="105"/>
      <c r="E675" s="106"/>
      <c r="F675" s="107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6"/>
    </row>
    <row r="676" ht="15.75" customHeight="1">
      <c r="A676" s="109"/>
      <c r="B676" s="104"/>
      <c r="C676" s="104"/>
      <c r="D676" s="105"/>
      <c r="E676" s="106"/>
      <c r="F676" s="107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6"/>
    </row>
    <row r="677" ht="15.75" customHeight="1">
      <c r="A677" s="109"/>
      <c r="B677" s="104"/>
      <c r="C677" s="104"/>
      <c r="D677" s="105"/>
      <c r="E677" s="106"/>
      <c r="F677" s="107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6"/>
    </row>
    <row r="678" ht="15.75" customHeight="1">
      <c r="A678" s="109"/>
      <c r="B678" s="104"/>
      <c r="C678" s="104"/>
      <c r="D678" s="105"/>
      <c r="E678" s="106"/>
      <c r="F678" s="107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6"/>
    </row>
    <row r="679" ht="15.75" customHeight="1">
      <c r="A679" s="109"/>
      <c r="B679" s="104"/>
      <c r="C679" s="104"/>
      <c r="D679" s="105"/>
      <c r="E679" s="106"/>
      <c r="F679" s="107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6"/>
    </row>
    <row r="680" ht="15.75" customHeight="1">
      <c r="A680" s="109"/>
      <c r="B680" s="104"/>
      <c r="C680" s="104"/>
      <c r="D680" s="105"/>
      <c r="E680" s="106"/>
      <c r="F680" s="107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6"/>
    </row>
    <row r="681" ht="15.75" customHeight="1">
      <c r="A681" s="109"/>
      <c r="B681" s="104"/>
      <c r="C681" s="104"/>
      <c r="D681" s="105"/>
      <c r="E681" s="106"/>
      <c r="F681" s="107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6"/>
    </row>
    <row r="682" ht="15.75" customHeight="1">
      <c r="A682" s="109"/>
      <c r="B682" s="104"/>
      <c r="C682" s="104"/>
      <c r="D682" s="105"/>
      <c r="E682" s="106"/>
      <c r="F682" s="107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6"/>
    </row>
    <row r="683" ht="15.75" customHeight="1">
      <c r="A683" s="109"/>
      <c r="B683" s="104"/>
      <c r="C683" s="104"/>
      <c r="D683" s="105"/>
      <c r="E683" s="106"/>
      <c r="F683" s="107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6"/>
    </row>
    <row r="684" ht="15.75" customHeight="1">
      <c r="A684" s="109"/>
      <c r="B684" s="104"/>
      <c r="C684" s="104"/>
      <c r="D684" s="105"/>
      <c r="E684" s="106"/>
      <c r="F684" s="107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6"/>
    </row>
    <row r="685" ht="15.75" customHeight="1">
      <c r="A685" s="109"/>
      <c r="B685" s="104"/>
      <c r="C685" s="104"/>
      <c r="D685" s="105"/>
      <c r="E685" s="106"/>
      <c r="F685" s="107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6"/>
    </row>
    <row r="686" ht="15.75" customHeight="1">
      <c r="A686" s="109"/>
      <c r="B686" s="104"/>
      <c r="C686" s="104"/>
      <c r="D686" s="105"/>
      <c r="E686" s="106"/>
      <c r="F686" s="107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6"/>
    </row>
    <row r="687" ht="15.75" customHeight="1">
      <c r="A687" s="109"/>
      <c r="B687" s="104"/>
      <c r="C687" s="104"/>
      <c r="D687" s="105"/>
      <c r="E687" s="106"/>
      <c r="F687" s="107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6"/>
    </row>
    <row r="688" ht="15.75" customHeight="1">
      <c r="A688" s="109"/>
      <c r="B688" s="104"/>
      <c r="C688" s="104"/>
      <c r="D688" s="105"/>
      <c r="E688" s="106"/>
      <c r="F688" s="107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6"/>
    </row>
    <row r="689" ht="15.75" customHeight="1">
      <c r="A689" s="109"/>
      <c r="B689" s="104"/>
      <c r="C689" s="104"/>
      <c r="D689" s="105"/>
      <c r="E689" s="106"/>
      <c r="F689" s="107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6"/>
    </row>
    <row r="690" ht="15.75" customHeight="1">
      <c r="A690" s="109"/>
      <c r="B690" s="104"/>
      <c r="C690" s="104"/>
      <c r="D690" s="105"/>
      <c r="E690" s="106"/>
      <c r="F690" s="107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6"/>
    </row>
    <row r="691" ht="15.75" customHeight="1">
      <c r="A691" s="109"/>
      <c r="B691" s="104"/>
      <c r="C691" s="104"/>
      <c r="D691" s="105"/>
      <c r="E691" s="106"/>
      <c r="F691" s="107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6"/>
    </row>
    <row r="692" ht="15.75" customHeight="1">
      <c r="A692" s="109"/>
      <c r="B692" s="104"/>
      <c r="C692" s="104"/>
      <c r="D692" s="105"/>
      <c r="E692" s="106"/>
      <c r="F692" s="107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6"/>
    </row>
    <row r="693" ht="15.75" customHeight="1">
      <c r="A693" s="109"/>
      <c r="B693" s="104"/>
      <c r="C693" s="104"/>
      <c r="D693" s="105"/>
      <c r="E693" s="106"/>
      <c r="F693" s="107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6"/>
    </row>
    <row r="694" ht="15.75" customHeight="1">
      <c r="A694" s="109"/>
      <c r="B694" s="104"/>
      <c r="C694" s="104"/>
      <c r="D694" s="105"/>
      <c r="E694" s="106"/>
      <c r="F694" s="107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6"/>
    </row>
    <row r="695" ht="15.75" customHeight="1">
      <c r="A695" s="109"/>
      <c r="B695" s="104"/>
      <c r="C695" s="104"/>
      <c r="D695" s="105"/>
      <c r="E695" s="106"/>
      <c r="F695" s="107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6"/>
    </row>
    <row r="696" ht="15.75" customHeight="1">
      <c r="A696" s="109"/>
      <c r="B696" s="104"/>
      <c r="C696" s="104"/>
      <c r="D696" s="105"/>
      <c r="E696" s="106"/>
      <c r="F696" s="107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6"/>
    </row>
    <row r="697" ht="15.75" customHeight="1">
      <c r="A697" s="109"/>
      <c r="B697" s="104"/>
      <c r="C697" s="104"/>
      <c r="D697" s="105"/>
      <c r="E697" s="106"/>
      <c r="F697" s="107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6"/>
    </row>
    <row r="698" ht="15.75" customHeight="1">
      <c r="A698" s="109"/>
      <c r="B698" s="104"/>
      <c r="C698" s="104"/>
      <c r="D698" s="105"/>
      <c r="E698" s="106"/>
      <c r="F698" s="107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6"/>
    </row>
    <row r="699" ht="15.75" customHeight="1">
      <c r="A699" s="109"/>
      <c r="B699" s="104"/>
      <c r="C699" s="104"/>
      <c r="D699" s="105"/>
      <c r="E699" s="106"/>
      <c r="F699" s="107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6"/>
    </row>
    <row r="700" ht="15.75" customHeight="1">
      <c r="A700" s="109"/>
      <c r="B700" s="104"/>
      <c r="C700" s="104"/>
      <c r="D700" s="105"/>
      <c r="E700" s="106"/>
      <c r="F700" s="107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6"/>
    </row>
    <row r="701" ht="15.75" customHeight="1">
      <c r="A701" s="109"/>
      <c r="B701" s="104"/>
      <c r="C701" s="104"/>
      <c r="D701" s="105"/>
      <c r="E701" s="106"/>
      <c r="F701" s="107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6"/>
    </row>
    <row r="702" ht="15.75" customHeight="1">
      <c r="A702" s="109"/>
      <c r="B702" s="104"/>
      <c r="C702" s="104"/>
      <c r="D702" s="105"/>
      <c r="E702" s="106"/>
      <c r="F702" s="107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6"/>
    </row>
    <row r="703" ht="15.75" customHeight="1">
      <c r="A703" s="109"/>
      <c r="B703" s="104"/>
      <c r="C703" s="104"/>
      <c r="D703" s="105"/>
      <c r="E703" s="106"/>
      <c r="F703" s="107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6"/>
    </row>
    <row r="704" ht="15.75" customHeight="1">
      <c r="A704" s="109"/>
      <c r="B704" s="104"/>
      <c r="C704" s="104"/>
      <c r="D704" s="105"/>
      <c r="E704" s="106"/>
      <c r="F704" s="107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6"/>
    </row>
    <row r="705" ht="15.75" customHeight="1">
      <c r="A705" s="109"/>
      <c r="B705" s="104"/>
      <c r="C705" s="104"/>
      <c r="D705" s="105"/>
      <c r="E705" s="106"/>
      <c r="F705" s="107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6"/>
    </row>
    <row r="706" ht="15.75" customHeight="1">
      <c r="A706" s="109"/>
      <c r="B706" s="104"/>
      <c r="C706" s="104"/>
      <c r="D706" s="105"/>
      <c r="E706" s="106"/>
      <c r="F706" s="107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6"/>
    </row>
    <row r="707" ht="15.75" customHeight="1">
      <c r="A707" s="109"/>
      <c r="B707" s="104"/>
      <c r="C707" s="104"/>
      <c r="D707" s="105"/>
      <c r="E707" s="106"/>
      <c r="F707" s="107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6"/>
    </row>
    <row r="708" ht="15.75" customHeight="1">
      <c r="A708" s="109"/>
      <c r="B708" s="104"/>
      <c r="C708" s="104"/>
      <c r="D708" s="105"/>
      <c r="E708" s="106"/>
      <c r="F708" s="107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6"/>
    </row>
    <row r="709" ht="15.75" customHeight="1">
      <c r="A709" s="109"/>
      <c r="B709" s="104"/>
      <c r="C709" s="104"/>
      <c r="D709" s="105"/>
      <c r="E709" s="106"/>
      <c r="F709" s="107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6"/>
    </row>
    <row r="710" ht="15.75" customHeight="1">
      <c r="A710" s="109"/>
      <c r="B710" s="104"/>
      <c r="C710" s="104"/>
      <c r="D710" s="105"/>
      <c r="E710" s="106"/>
      <c r="F710" s="107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6"/>
    </row>
    <row r="711" ht="15.75" customHeight="1">
      <c r="A711" s="109"/>
      <c r="B711" s="104"/>
      <c r="C711" s="104"/>
      <c r="D711" s="105"/>
      <c r="E711" s="106"/>
      <c r="F711" s="107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6"/>
    </row>
    <row r="712" ht="15.75" customHeight="1">
      <c r="A712" s="109"/>
      <c r="B712" s="104"/>
      <c r="C712" s="104"/>
      <c r="D712" s="105"/>
      <c r="E712" s="106"/>
      <c r="F712" s="107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6"/>
    </row>
    <row r="713" ht="15.75" customHeight="1">
      <c r="A713" s="109"/>
      <c r="B713" s="104"/>
      <c r="C713" s="104"/>
      <c r="D713" s="105"/>
      <c r="E713" s="106"/>
      <c r="F713" s="107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6"/>
    </row>
    <row r="714" ht="15.75" customHeight="1">
      <c r="A714" s="109"/>
      <c r="B714" s="104"/>
      <c r="C714" s="104"/>
      <c r="D714" s="105"/>
      <c r="E714" s="106"/>
      <c r="F714" s="107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6"/>
    </row>
    <row r="715" ht="15.75" customHeight="1">
      <c r="A715" s="109"/>
      <c r="B715" s="104"/>
      <c r="C715" s="104"/>
      <c r="D715" s="105"/>
      <c r="E715" s="106"/>
      <c r="F715" s="107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6"/>
    </row>
    <row r="716" ht="15.75" customHeight="1">
      <c r="A716" s="109"/>
      <c r="B716" s="104"/>
      <c r="C716" s="104"/>
      <c r="D716" s="105"/>
      <c r="E716" s="106"/>
      <c r="F716" s="107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6"/>
    </row>
    <row r="717" ht="15.75" customHeight="1">
      <c r="A717" s="109"/>
      <c r="B717" s="104"/>
      <c r="C717" s="104"/>
      <c r="D717" s="105"/>
      <c r="E717" s="106"/>
      <c r="F717" s="107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6"/>
    </row>
    <row r="718" ht="15.75" customHeight="1">
      <c r="A718" s="109"/>
      <c r="B718" s="104"/>
      <c r="C718" s="104"/>
      <c r="D718" s="105"/>
      <c r="E718" s="106"/>
      <c r="F718" s="107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6"/>
    </row>
    <row r="719" ht="15.75" customHeight="1">
      <c r="A719" s="109"/>
      <c r="B719" s="104"/>
      <c r="C719" s="104"/>
      <c r="D719" s="105"/>
      <c r="E719" s="106"/>
      <c r="F719" s="107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6"/>
    </row>
    <row r="720" ht="15.75" customHeight="1">
      <c r="A720" s="109"/>
      <c r="B720" s="104"/>
      <c r="C720" s="104"/>
      <c r="D720" s="105"/>
      <c r="E720" s="106"/>
      <c r="F720" s="107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6"/>
    </row>
    <row r="721" ht="15.75" customHeight="1">
      <c r="A721" s="109"/>
      <c r="B721" s="104"/>
      <c r="C721" s="104"/>
      <c r="D721" s="105"/>
      <c r="E721" s="106"/>
      <c r="F721" s="107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6"/>
    </row>
    <row r="722" ht="15.75" customHeight="1">
      <c r="A722" s="109"/>
      <c r="B722" s="104"/>
      <c r="C722" s="104"/>
      <c r="D722" s="105"/>
      <c r="E722" s="106"/>
      <c r="F722" s="107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6"/>
    </row>
    <row r="723" ht="15.75" customHeight="1">
      <c r="A723" s="109"/>
      <c r="B723" s="104"/>
      <c r="C723" s="104"/>
      <c r="D723" s="105"/>
      <c r="E723" s="106"/>
      <c r="F723" s="107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6"/>
    </row>
    <row r="724" ht="15.75" customHeight="1">
      <c r="A724" s="109"/>
      <c r="B724" s="104"/>
      <c r="C724" s="104"/>
      <c r="D724" s="105"/>
      <c r="E724" s="106"/>
      <c r="F724" s="107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6"/>
    </row>
    <row r="725" ht="15.75" customHeight="1">
      <c r="A725" s="109"/>
      <c r="B725" s="104"/>
      <c r="C725" s="104"/>
      <c r="D725" s="105"/>
      <c r="E725" s="106"/>
      <c r="F725" s="107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6"/>
    </row>
    <row r="726" ht="15.75" customHeight="1">
      <c r="A726" s="109"/>
      <c r="B726" s="104"/>
      <c r="C726" s="104"/>
      <c r="D726" s="105"/>
      <c r="E726" s="106"/>
      <c r="F726" s="107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6"/>
    </row>
    <row r="727" ht="15.75" customHeight="1">
      <c r="A727" s="109"/>
      <c r="B727" s="104"/>
      <c r="C727" s="104"/>
      <c r="D727" s="105"/>
      <c r="E727" s="106"/>
      <c r="F727" s="107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6"/>
    </row>
    <row r="728" ht="15.75" customHeight="1">
      <c r="A728" s="109"/>
      <c r="B728" s="104"/>
      <c r="C728" s="104"/>
      <c r="D728" s="105"/>
      <c r="E728" s="106"/>
      <c r="F728" s="107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6"/>
    </row>
    <row r="729" ht="15.75" customHeight="1">
      <c r="A729" s="109"/>
      <c r="B729" s="104"/>
      <c r="C729" s="104"/>
      <c r="D729" s="105"/>
      <c r="E729" s="106"/>
      <c r="F729" s="107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6"/>
    </row>
    <row r="730" ht="15.75" customHeight="1">
      <c r="A730" s="109"/>
      <c r="B730" s="104"/>
      <c r="C730" s="104"/>
      <c r="D730" s="105"/>
      <c r="E730" s="106"/>
      <c r="F730" s="107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6"/>
    </row>
    <row r="731" ht="15.75" customHeight="1">
      <c r="A731" s="109"/>
      <c r="B731" s="104"/>
      <c r="C731" s="104"/>
      <c r="D731" s="105"/>
      <c r="E731" s="106"/>
      <c r="F731" s="107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6"/>
    </row>
    <row r="732" ht="15.75" customHeight="1">
      <c r="A732" s="109"/>
      <c r="B732" s="104"/>
      <c r="C732" s="104"/>
      <c r="D732" s="105"/>
      <c r="E732" s="106"/>
      <c r="F732" s="107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6"/>
    </row>
    <row r="733" ht="15.75" customHeight="1">
      <c r="A733" s="109"/>
      <c r="B733" s="104"/>
      <c r="C733" s="104"/>
      <c r="D733" s="105"/>
      <c r="E733" s="106"/>
      <c r="F733" s="107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6"/>
    </row>
    <row r="734" ht="15.75" customHeight="1">
      <c r="A734" s="109"/>
      <c r="B734" s="104"/>
      <c r="C734" s="104"/>
      <c r="D734" s="105"/>
      <c r="E734" s="106"/>
      <c r="F734" s="107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6"/>
    </row>
    <row r="735" ht="15.75" customHeight="1">
      <c r="A735" s="109"/>
      <c r="B735" s="104"/>
      <c r="C735" s="104"/>
      <c r="D735" s="105"/>
      <c r="E735" s="106"/>
      <c r="F735" s="107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6"/>
    </row>
    <row r="736" ht="15.75" customHeight="1">
      <c r="A736" s="109"/>
      <c r="B736" s="104"/>
      <c r="C736" s="104"/>
      <c r="D736" s="105"/>
      <c r="E736" s="106"/>
      <c r="F736" s="107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6"/>
    </row>
    <row r="737" ht="15.75" customHeight="1">
      <c r="A737" s="109"/>
      <c r="B737" s="104"/>
      <c r="C737" s="104"/>
      <c r="D737" s="105"/>
      <c r="E737" s="106"/>
      <c r="F737" s="107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6"/>
    </row>
    <row r="738" ht="15.75" customHeight="1">
      <c r="A738" s="109"/>
      <c r="B738" s="104"/>
      <c r="C738" s="104"/>
      <c r="D738" s="105"/>
      <c r="E738" s="106"/>
      <c r="F738" s="107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6"/>
    </row>
    <row r="739" ht="15.75" customHeight="1">
      <c r="A739" s="109"/>
      <c r="B739" s="104"/>
      <c r="C739" s="104"/>
      <c r="D739" s="105"/>
      <c r="E739" s="106"/>
      <c r="F739" s="107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6"/>
    </row>
    <row r="740" ht="15.75" customHeight="1">
      <c r="A740" s="109"/>
      <c r="B740" s="104"/>
      <c r="C740" s="104"/>
      <c r="D740" s="105"/>
      <c r="E740" s="106"/>
      <c r="F740" s="107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6"/>
    </row>
    <row r="741" ht="15.75" customHeight="1">
      <c r="A741" s="109"/>
      <c r="B741" s="104"/>
      <c r="C741" s="104"/>
      <c r="D741" s="105"/>
      <c r="E741" s="106"/>
      <c r="F741" s="107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6"/>
    </row>
    <row r="742" ht="15.75" customHeight="1">
      <c r="A742" s="109"/>
      <c r="B742" s="104"/>
      <c r="C742" s="104"/>
      <c r="D742" s="105"/>
      <c r="E742" s="106"/>
      <c r="F742" s="107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6"/>
    </row>
    <row r="743" ht="15.75" customHeight="1">
      <c r="A743" s="109"/>
      <c r="B743" s="104"/>
      <c r="C743" s="104"/>
      <c r="D743" s="105"/>
      <c r="E743" s="106"/>
      <c r="F743" s="107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6"/>
    </row>
    <row r="744" ht="15.75" customHeight="1">
      <c r="A744" s="109"/>
      <c r="B744" s="104"/>
      <c r="C744" s="104"/>
      <c r="D744" s="105"/>
      <c r="E744" s="106"/>
      <c r="F744" s="107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6"/>
    </row>
    <row r="745" ht="15.75" customHeight="1">
      <c r="A745" s="109"/>
      <c r="B745" s="104"/>
      <c r="C745" s="104"/>
      <c r="D745" s="105"/>
      <c r="E745" s="106"/>
      <c r="F745" s="107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6"/>
    </row>
    <row r="746" ht="15.75" customHeight="1">
      <c r="A746" s="109"/>
      <c r="B746" s="104"/>
      <c r="C746" s="104"/>
      <c r="D746" s="105"/>
      <c r="E746" s="106"/>
      <c r="F746" s="107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6"/>
    </row>
    <row r="747" ht="15.75" customHeight="1">
      <c r="A747" s="109"/>
      <c r="B747" s="104"/>
      <c r="C747" s="104"/>
      <c r="D747" s="105"/>
      <c r="E747" s="106"/>
      <c r="F747" s="107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6"/>
    </row>
    <row r="748" ht="15.75" customHeight="1">
      <c r="A748" s="109"/>
      <c r="B748" s="104"/>
      <c r="C748" s="104"/>
      <c r="D748" s="105"/>
      <c r="E748" s="106"/>
      <c r="F748" s="107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6"/>
    </row>
    <row r="749" ht="15.75" customHeight="1">
      <c r="A749" s="109"/>
      <c r="B749" s="104"/>
      <c r="C749" s="104"/>
      <c r="D749" s="105"/>
      <c r="E749" s="106"/>
      <c r="F749" s="107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6"/>
    </row>
    <row r="750" ht="15.75" customHeight="1">
      <c r="A750" s="109"/>
      <c r="B750" s="104"/>
      <c r="C750" s="104"/>
      <c r="D750" s="105"/>
      <c r="E750" s="106"/>
      <c r="F750" s="107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6"/>
    </row>
    <row r="751" ht="15.75" customHeight="1">
      <c r="A751" s="109"/>
      <c r="B751" s="104"/>
      <c r="C751" s="104"/>
      <c r="D751" s="105"/>
      <c r="E751" s="106"/>
      <c r="F751" s="107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6"/>
    </row>
    <row r="752" ht="15.75" customHeight="1">
      <c r="A752" s="109"/>
      <c r="B752" s="104"/>
      <c r="C752" s="104"/>
      <c r="D752" s="105"/>
      <c r="E752" s="106"/>
      <c r="F752" s="107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6"/>
    </row>
    <row r="753" ht="15.75" customHeight="1">
      <c r="A753" s="109"/>
      <c r="B753" s="104"/>
      <c r="C753" s="104"/>
      <c r="D753" s="105"/>
      <c r="E753" s="106"/>
      <c r="F753" s="107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6"/>
    </row>
    <row r="754" ht="15.75" customHeight="1">
      <c r="A754" s="109"/>
      <c r="B754" s="104"/>
      <c r="C754" s="104"/>
      <c r="D754" s="105"/>
      <c r="E754" s="106"/>
      <c r="F754" s="107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6"/>
    </row>
    <row r="755" ht="15.75" customHeight="1">
      <c r="A755" s="109"/>
      <c r="B755" s="104"/>
      <c r="C755" s="104"/>
      <c r="D755" s="105"/>
      <c r="E755" s="106"/>
      <c r="F755" s="107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6"/>
    </row>
    <row r="756" ht="15.75" customHeight="1">
      <c r="A756" s="109"/>
      <c r="B756" s="104"/>
      <c r="C756" s="104"/>
      <c r="D756" s="105"/>
      <c r="E756" s="106"/>
      <c r="F756" s="107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6"/>
    </row>
    <row r="757" ht="15.75" customHeight="1">
      <c r="A757" s="109"/>
      <c r="B757" s="104"/>
      <c r="C757" s="104"/>
      <c r="D757" s="105"/>
      <c r="E757" s="106"/>
      <c r="F757" s="107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6"/>
    </row>
    <row r="758" ht="15.75" customHeight="1">
      <c r="A758" s="109"/>
      <c r="B758" s="104"/>
      <c r="C758" s="104"/>
      <c r="D758" s="105"/>
      <c r="E758" s="106"/>
      <c r="F758" s="107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6"/>
    </row>
    <row r="759" ht="15.75" customHeight="1">
      <c r="A759" s="109"/>
      <c r="B759" s="104"/>
      <c r="C759" s="104"/>
      <c r="D759" s="105"/>
      <c r="E759" s="106"/>
      <c r="F759" s="107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6"/>
    </row>
    <row r="760" ht="15.75" customHeight="1">
      <c r="A760" s="109"/>
      <c r="B760" s="104"/>
      <c r="C760" s="104"/>
      <c r="D760" s="105"/>
      <c r="E760" s="106"/>
      <c r="F760" s="107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6"/>
    </row>
    <row r="761" ht="15.75" customHeight="1">
      <c r="A761" s="109"/>
      <c r="B761" s="104"/>
      <c r="C761" s="104"/>
      <c r="D761" s="105"/>
      <c r="E761" s="106"/>
      <c r="F761" s="107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6"/>
    </row>
    <row r="762" ht="15.75" customHeight="1">
      <c r="A762" s="109"/>
      <c r="B762" s="104"/>
      <c r="C762" s="104"/>
      <c r="D762" s="105"/>
      <c r="E762" s="106"/>
      <c r="F762" s="107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6"/>
    </row>
    <row r="763" ht="15.75" customHeight="1">
      <c r="A763" s="109"/>
      <c r="B763" s="104"/>
      <c r="C763" s="104"/>
      <c r="D763" s="105"/>
      <c r="E763" s="106"/>
      <c r="F763" s="107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6"/>
    </row>
    <row r="764" ht="15.75" customHeight="1">
      <c r="A764" s="109"/>
      <c r="B764" s="104"/>
      <c r="C764" s="104"/>
      <c r="D764" s="105"/>
      <c r="E764" s="106"/>
      <c r="F764" s="107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6"/>
    </row>
    <row r="765" ht="15.75" customHeight="1">
      <c r="A765" s="109"/>
      <c r="B765" s="104"/>
      <c r="C765" s="104"/>
      <c r="D765" s="105"/>
      <c r="E765" s="106"/>
      <c r="F765" s="107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6"/>
    </row>
    <row r="766" ht="15.75" customHeight="1">
      <c r="A766" s="109"/>
      <c r="B766" s="104"/>
      <c r="C766" s="104"/>
      <c r="D766" s="105"/>
      <c r="E766" s="106"/>
      <c r="F766" s="107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6"/>
    </row>
    <row r="767" ht="15.75" customHeight="1">
      <c r="A767" s="109"/>
      <c r="B767" s="104"/>
      <c r="C767" s="104"/>
      <c r="D767" s="105"/>
      <c r="E767" s="106"/>
      <c r="F767" s="107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6"/>
    </row>
    <row r="768" ht="15.75" customHeight="1">
      <c r="A768" s="109"/>
      <c r="B768" s="104"/>
      <c r="C768" s="104"/>
      <c r="D768" s="105"/>
      <c r="E768" s="106"/>
      <c r="F768" s="107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6"/>
    </row>
    <row r="769" ht="15.75" customHeight="1">
      <c r="A769" s="109"/>
      <c r="B769" s="104"/>
      <c r="C769" s="104"/>
      <c r="D769" s="105"/>
      <c r="E769" s="106"/>
      <c r="F769" s="107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6"/>
    </row>
    <row r="770" ht="15.75" customHeight="1">
      <c r="A770" s="109"/>
      <c r="B770" s="104"/>
      <c r="C770" s="104"/>
      <c r="D770" s="105"/>
      <c r="E770" s="106"/>
      <c r="F770" s="107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6"/>
    </row>
    <row r="771" ht="15.75" customHeight="1">
      <c r="A771" s="109"/>
      <c r="B771" s="104"/>
      <c r="C771" s="104"/>
      <c r="D771" s="105"/>
      <c r="E771" s="106"/>
      <c r="F771" s="107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6"/>
    </row>
    <row r="772" ht="15.75" customHeight="1">
      <c r="A772" s="109"/>
      <c r="B772" s="104"/>
      <c r="C772" s="104"/>
      <c r="D772" s="105"/>
      <c r="E772" s="106"/>
      <c r="F772" s="107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6"/>
    </row>
    <row r="773" ht="15.75" customHeight="1">
      <c r="A773" s="109"/>
      <c r="B773" s="104"/>
      <c r="C773" s="104"/>
      <c r="D773" s="105"/>
      <c r="E773" s="106"/>
      <c r="F773" s="107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6"/>
    </row>
    <row r="774" ht="15.75" customHeight="1">
      <c r="A774" s="109"/>
      <c r="B774" s="104"/>
      <c r="C774" s="104"/>
      <c r="D774" s="105"/>
      <c r="E774" s="106"/>
      <c r="F774" s="107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6"/>
    </row>
    <row r="775" ht="15.75" customHeight="1">
      <c r="A775" s="109"/>
      <c r="B775" s="104"/>
      <c r="C775" s="104"/>
      <c r="D775" s="105"/>
      <c r="E775" s="106"/>
      <c r="F775" s="107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6"/>
    </row>
    <row r="776" ht="15.75" customHeight="1">
      <c r="A776" s="109"/>
      <c r="B776" s="104"/>
      <c r="C776" s="104"/>
      <c r="D776" s="105"/>
      <c r="E776" s="106"/>
      <c r="F776" s="107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6"/>
    </row>
    <row r="777" ht="15.75" customHeight="1">
      <c r="A777" s="109"/>
      <c r="B777" s="104"/>
      <c r="C777" s="104"/>
      <c r="D777" s="105"/>
      <c r="E777" s="106"/>
      <c r="F777" s="107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6"/>
    </row>
    <row r="778" ht="15.75" customHeight="1">
      <c r="A778" s="109"/>
      <c r="B778" s="104"/>
      <c r="C778" s="104"/>
      <c r="D778" s="105"/>
      <c r="E778" s="106"/>
      <c r="F778" s="107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6"/>
    </row>
    <row r="779" ht="15.75" customHeight="1">
      <c r="A779" s="109"/>
      <c r="B779" s="104"/>
      <c r="C779" s="104"/>
      <c r="D779" s="105"/>
      <c r="E779" s="106"/>
      <c r="F779" s="107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6"/>
    </row>
    <row r="780" ht="15.75" customHeight="1">
      <c r="A780" s="109"/>
      <c r="B780" s="104"/>
      <c r="C780" s="104"/>
      <c r="D780" s="105"/>
      <c r="E780" s="106"/>
      <c r="F780" s="107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6"/>
    </row>
    <row r="781" ht="15.75" customHeight="1">
      <c r="A781" s="109"/>
      <c r="B781" s="104"/>
      <c r="C781" s="104"/>
      <c r="D781" s="105"/>
      <c r="E781" s="106"/>
      <c r="F781" s="107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6"/>
    </row>
    <row r="782" ht="15.75" customHeight="1">
      <c r="A782" s="109"/>
      <c r="B782" s="104"/>
      <c r="C782" s="104"/>
      <c r="D782" s="105"/>
      <c r="E782" s="106"/>
      <c r="F782" s="107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6"/>
    </row>
    <row r="783" ht="15.75" customHeight="1">
      <c r="A783" s="109"/>
      <c r="B783" s="104"/>
      <c r="C783" s="104"/>
      <c r="D783" s="105"/>
      <c r="E783" s="106"/>
      <c r="F783" s="107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6"/>
    </row>
    <row r="784" ht="15.75" customHeight="1">
      <c r="A784" s="109"/>
      <c r="B784" s="104"/>
      <c r="C784" s="104"/>
      <c r="D784" s="105"/>
      <c r="E784" s="106"/>
      <c r="F784" s="107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6"/>
    </row>
    <row r="785" ht="15.75" customHeight="1">
      <c r="A785" s="109"/>
      <c r="B785" s="104"/>
      <c r="C785" s="104"/>
      <c r="D785" s="105"/>
      <c r="E785" s="106"/>
      <c r="F785" s="107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6"/>
    </row>
    <row r="786" ht="15.75" customHeight="1">
      <c r="A786" s="109"/>
      <c r="B786" s="104"/>
      <c r="C786" s="104"/>
      <c r="D786" s="105"/>
      <c r="E786" s="106"/>
      <c r="F786" s="107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6"/>
    </row>
    <row r="787" ht="15.75" customHeight="1">
      <c r="A787" s="109"/>
      <c r="B787" s="104"/>
      <c r="C787" s="104"/>
      <c r="D787" s="105"/>
      <c r="E787" s="106"/>
      <c r="F787" s="107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6"/>
    </row>
    <row r="788" ht="15.75" customHeight="1">
      <c r="A788" s="109"/>
      <c r="B788" s="104"/>
      <c r="C788" s="104"/>
      <c r="D788" s="105"/>
      <c r="E788" s="106"/>
      <c r="F788" s="107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6"/>
    </row>
    <row r="789" ht="15.75" customHeight="1">
      <c r="A789" s="109"/>
      <c r="B789" s="104"/>
      <c r="C789" s="104"/>
      <c r="D789" s="105"/>
      <c r="E789" s="106"/>
      <c r="F789" s="107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6"/>
    </row>
    <row r="790" ht="15.75" customHeight="1">
      <c r="A790" s="109"/>
      <c r="B790" s="104"/>
      <c r="C790" s="104"/>
      <c r="D790" s="105"/>
      <c r="E790" s="106"/>
      <c r="F790" s="107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6"/>
    </row>
    <row r="791" ht="15.75" customHeight="1">
      <c r="A791" s="109"/>
      <c r="B791" s="104"/>
      <c r="C791" s="104"/>
      <c r="D791" s="105"/>
      <c r="E791" s="106"/>
      <c r="F791" s="107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6"/>
    </row>
    <row r="792" ht="15.75" customHeight="1">
      <c r="A792" s="109"/>
      <c r="B792" s="104"/>
      <c r="C792" s="104"/>
      <c r="D792" s="105"/>
      <c r="E792" s="106"/>
      <c r="F792" s="107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6"/>
    </row>
    <row r="793" ht="15.75" customHeight="1">
      <c r="A793" s="109"/>
      <c r="B793" s="104"/>
      <c r="C793" s="104"/>
      <c r="D793" s="105"/>
      <c r="E793" s="106"/>
      <c r="F793" s="107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6"/>
    </row>
    <row r="794" ht="15.75" customHeight="1">
      <c r="A794" s="109"/>
      <c r="B794" s="104"/>
      <c r="C794" s="104"/>
      <c r="D794" s="105"/>
      <c r="E794" s="106"/>
      <c r="F794" s="107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6"/>
    </row>
    <row r="795" ht="15.75" customHeight="1">
      <c r="A795" s="109"/>
      <c r="B795" s="104"/>
      <c r="C795" s="104"/>
      <c r="D795" s="105"/>
      <c r="E795" s="106"/>
      <c r="F795" s="107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6"/>
    </row>
    <row r="796" ht="15.75" customHeight="1">
      <c r="A796" s="109"/>
      <c r="B796" s="104"/>
      <c r="C796" s="104"/>
      <c r="D796" s="105"/>
      <c r="E796" s="106"/>
      <c r="F796" s="107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6"/>
    </row>
    <row r="797" ht="15.75" customHeight="1">
      <c r="A797" s="109"/>
      <c r="B797" s="104"/>
      <c r="C797" s="104"/>
      <c r="D797" s="105"/>
      <c r="E797" s="106"/>
      <c r="F797" s="107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6"/>
    </row>
    <row r="798" ht="15.75" customHeight="1">
      <c r="A798" s="109"/>
      <c r="B798" s="104"/>
      <c r="C798" s="104"/>
      <c r="D798" s="105"/>
      <c r="E798" s="106"/>
      <c r="F798" s="107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6"/>
    </row>
    <row r="799" ht="15.75" customHeight="1">
      <c r="A799" s="109"/>
      <c r="B799" s="104"/>
      <c r="C799" s="104"/>
      <c r="D799" s="105"/>
      <c r="E799" s="106"/>
      <c r="F799" s="107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6"/>
    </row>
    <row r="800" ht="15.75" customHeight="1">
      <c r="A800" s="109"/>
      <c r="B800" s="104"/>
      <c r="C800" s="104"/>
      <c r="D800" s="105"/>
      <c r="E800" s="106"/>
      <c r="F800" s="107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6"/>
    </row>
    <row r="801" ht="15.75" customHeight="1">
      <c r="A801" s="109"/>
      <c r="B801" s="104"/>
      <c r="C801" s="104"/>
      <c r="D801" s="105"/>
      <c r="E801" s="106"/>
      <c r="F801" s="107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6"/>
    </row>
    <row r="802" ht="15.75" customHeight="1">
      <c r="A802" s="109"/>
      <c r="B802" s="104"/>
      <c r="C802" s="104"/>
      <c r="D802" s="105"/>
      <c r="E802" s="106"/>
      <c r="F802" s="107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6"/>
    </row>
    <row r="803" ht="15.75" customHeight="1">
      <c r="A803" s="109"/>
      <c r="B803" s="104"/>
      <c r="C803" s="104"/>
      <c r="D803" s="105"/>
      <c r="E803" s="106"/>
      <c r="F803" s="107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6"/>
    </row>
    <row r="804" ht="15.75" customHeight="1">
      <c r="A804" s="109"/>
      <c r="B804" s="104"/>
      <c r="C804" s="104"/>
      <c r="D804" s="105"/>
      <c r="E804" s="106"/>
      <c r="F804" s="107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6"/>
    </row>
    <row r="805" ht="15.75" customHeight="1">
      <c r="A805" s="109"/>
      <c r="B805" s="104"/>
      <c r="C805" s="104"/>
      <c r="D805" s="105"/>
      <c r="E805" s="106"/>
      <c r="F805" s="107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6"/>
    </row>
    <row r="806" ht="15.75" customHeight="1">
      <c r="A806" s="109"/>
      <c r="B806" s="104"/>
      <c r="C806" s="104"/>
      <c r="D806" s="105"/>
      <c r="E806" s="106"/>
      <c r="F806" s="107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6"/>
    </row>
    <row r="807" ht="15.75" customHeight="1">
      <c r="A807" s="109"/>
      <c r="B807" s="104"/>
      <c r="C807" s="104"/>
      <c r="D807" s="105"/>
      <c r="E807" s="106"/>
      <c r="F807" s="107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6"/>
    </row>
    <row r="808" ht="15.75" customHeight="1">
      <c r="A808" s="109"/>
      <c r="B808" s="104"/>
      <c r="C808" s="104"/>
      <c r="D808" s="105"/>
      <c r="E808" s="106"/>
      <c r="F808" s="107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6"/>
    </row>
    <row r="809" ht="15.75" customHeight="1">
      <c r="A809" s="109"/>
      <c r="B809" s="104"/>
      <c r="C809" s="104"/>
      <c r="D809" s="105"/>
      <c r="E809" s="106"/>
      <c r="F809" s="107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6"/>
    </row>
    <row r="810" ht="15.75" customHeight="1">
      <c r="A810" s="109"/>
      <c r="B810" s="104"/>
      <c r="C810" s="104"/>
      <c r="D810" s="105"/>
      <c r="E810" s="106"/>
      <c r="F810" s="107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6"/>
    </row>
    <row r="811" ht="15.75" customHeight="1">
      <c r="A811" s="109"/>
      <c r="B811" s="104"/>
      <c r="C811" s="104"/>
      <c r="D811" s="105"/>
      <c r="E811" s="106"/>
      <c r="F811" s="107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6"/>
    </row>
    <row r="812" ht="15.75" customHeight="1">
      <c r="A812" s="109"/>
      <c r="B812" s="104"/>
      <c r="C812" s="104"/>
      <c r="D812" s="105"/>
      <c r="E812" s="106"/>
      <c r="F812" s="107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6"/>
    </row>
    <row r="813" ht="15.75" customHeight="1">
      <c r="A813" s="109"/>
      <c r="B813" s="104"/>
      <c r="C813" s="104"/>
      <c r="D813" s="105"/>
      <c r="E813" s="106"/>
      <c r="F813" s="107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6"/>
    </row>
    <row r="814" ht="15.75" customHeight="1">
      <c r="A814" s="109"/>
      <c r="B814" s="104"/>
      <c r="C814" s="104"/>
      <c r="D814" s="105"/>
      <c r="E814" s="106"/>
      <c r="F814" s="107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6"/>
    </row>
    <row r="815" ht="15.75" customHeight="1">
      <c r="A815" s="109"/>
      <c r="B815" s="104"/>
      <c r="C815" s="104"/>
      <c r="D815" s="105"/>
      <c r="E815" s="106"/>
      <c r="F815" s="107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6"/>
    </row>
    <row r="816" ht="15.75" customHeight="1">
      <c r="A816" s="109"/>
      <c r="B816" s="104"/>
      <c r="C816" s="104"/>
      <c r="D816" s="105"/>
      <c r="E816" s="106"/>
      <c r="F816" s="107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6"/>
    </row>
    <row r="817" ht="15.75" customHeight="1">
      <c r="A817" s="109"/>
      <c r="B817" s="104"/>
      <c r="C817" s="104"/>
      <c r="D817" s="105"/>
      <c r="E817" s="106"/>
      <c r="F817" s="107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6"/>
    </row>
    <row r="818" ht="15.75" customHeight="1">
      <c r="A818" s="109"/>
      <c r="B818" s="104"/>
      <c r="C818" s="104"/>
      <c r="D818" s="105"/>
      <c r="E818" s="106"/>
      <c r="F818" s="107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6"/>
    </row>
    <row r="819" ht="15.75" customHeight="1">
      <c r="A819" s="109"/>
      <c r="B819" s="104"/>
      <c r="C819" s="104"/>
      <c r="D819" s="105"/>
      <c r="E819" s="106"/>
      <c r="F819" s="107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6"/>
    </row>
    <row r="820" ht="15.75" customHeight="1">
      <c r="A820" s="109"/>
      <c r="B820" s="104"/>
      <c r="C820" s="104"/>
      <c r="D820" s="105"/>
      <c r="E820" s="106"/>
      <c r="F820" s="107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6"/>
    </row>
    <row r="821" ht="15.75" customHeight="1">
      <c r="A821" s="109"/>
      <c r="B821" s="104"/>
      <c r="C821" s="104"/>
      <c r="D821" s="105"/>
      <c r="E821" s="106"/>
      <c r="F821" s="107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6"/>
    </row>
    <row r="822" ht="15.75" customHeight="1">
      <c r="A822" s="109"/>
      <c r="B822" s="104"/>
      <c r="C822" s="104"/>
      <c r="D822" s="105"/>
      <c r="E822" s="106"/>
      <c r="F822" s="107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6"/>
    </row>
    <row r="823" ht="15.75" customHeight="1">
      <c r="A823" s="109"/>
      <c r="B823" s="104"/>
      <c r="C823" s="104"/>
      <c r="D823" s="105"/>
      <c r="E823" s="106"/>
      <c r="F823" s="107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6"/>
    </row>
    <row r="824" ht="15.75" customHeight="1">
      <c r="A824" s="109"/>
      <c r="B824" s="104"/>
      <c r="C824" s="104"/>
      <c r="D824" s="105"/>
      <c r="E824" s="106"/>
      <c r="F824" s="107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6"/>
    </row>
    <row r="825" ht="15.75" customHeight="1">
      <c r="A825" s="109"/>
      <c r="B825" s="104"/>
      <c r="C825" s="104"/>
      <c r="D825" s="105"/>
      <c r="E825" s="106"/>
      <c r="F825" s="107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6"/>
    </row>
    <row r="826" ht="15.75" customHeight="1">
      <c r="A826" s="109"/>
      <c r="B826" s="104"/>
      <c r="C826" s="104"/>
      <c r="D826" s="105"/>
      <c r="E826" s="106"/>
      <c r="F826" s="107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6"/>
    </row>
    <row r="827" ht="15.75" customHeight="1">
      <c r="A827" s="109"/>
      <c r="B827" s="104"/>
      <c r="C827" s="104"/>
      <c r="D827" s="105"/>
      <c r="E827" s="106"/>
      <c r="F827" s="107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6"/>
    </row>
    <row r="828" ht="15.75" customHeight="1">
      <c r="A828" s="109"/>
      <c r="B828" s="104"/>
      <c r="C828" s="104"/>
      <c r="D828" s="105"/>
      <c r="E828" s="106"/>
      <c r="F828" s="107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6"/>
    </row>
    <row r="829" ht="15.75" customHeight="1">
      <c r="A829" s="109"/>
      <c r="B829" s="104"/>
      <c r="C829" s="104"/>
      <c r="D829" s="105"/>
      <c r="E829" s="106"/>
      <c r="F829" s="107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6"/>
    </row>
    <row r="830" ht="15.75" customHeight="1">
      <c r="A830" s="109"/>
      <c r="B830" s="104"/>
      <c r="C830" s="104"/>
      <c r="D830" s="105"/>
      <c r="E830" s="106"/>
      <c r="F830" s="107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6"/>
    </row>
    <row r="831" ht="15.75" customHeight="1">
      <c r="A831" s="109"/>
      <c r="B831" s="104"/>
      <c r="C831" s="104"/>
      <c r="D831" s="105"/>
      <c r="E831" s="106"/>
      <c r="F831" s="107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6"/>
    </row>
    <row r="832" ht="15.75" customHeight="1">
      <c r="A832" s="109"/>
      <c r="B832" s="104"/>
      <c r="C832" s="104"/>
      <c r="D832" s="105"/>
      <c r="E832" s="106"/>
      <c r="F832" s="107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6"/>
    </row>
    <row r="833" ht="15.75" customHeight="1">
      <c r="A833" s="109"/>
      <c r="B833" s="104"/>
      <c r="C833" s="104"/>
      <c r="D833" s="105"/>
      <c r="E833" s="106"/>
      <c r="F833" s="107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6"/>
    </row>
    <row r="834" ht="15.75" customHeight="1">
      <c r="A834" s="109"/>
      <c r="B834" s="104"/>
      <c r="C834" s="104"/>
      <c r="D834" s="105"/>
      <c r="E834" s="106"/>
      <c r="F834" s="107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6"/>
    </row>
    <row r="835" ht="15.75" customHeight="1">
      <c r="A835" s="109"/>
      <c r="B835" s="104"/>
      <c r="C835" s="104"/>
      <c r="D835" s="105"/>
      <c r="E835" s="106"/>
      <c r="F835" s="107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6"/>
    </row>
    <row r="836" ht="15.75" customHeight="1">
      <c r="A836" s="109"/>
      <c r="B836" s="104"/>
      <c r="C836" s="104"/>
      <c r="D836" s="105"/>
      <c r="E836" s="106"/>
      <c r="F836" s="107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6"/>
    </row>
    <row r="837" ht="15.75" customHeight="1">
      <c r="A837" s="109"/>
      <c r="B837" s="104"/>
      <c r="C837" s="104"/>
      <c r="D837" s="105"/>
      <c r="E837" s="106"/>
      <c r="F837" s="107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6"/>
    </row>
    <row r="838" ht="15.75" customHeight="1">
      <c r="A838" s="109"/>
      <c r="B838" s="104"/>
      <c r="C838" s="104"/>
      <c r="D838" s="105"/>
      <c r="E838" s="106"/>
      <c r="F838" s="107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6"/>
    </row>
    <row r="839" ht="15.75" customHeight="1">
      <c r="A839" s="109"/>
      <c r="B839" s="104"/>
      <c r="C839" s="104"/>
      <c r="D839" s="105"/>
      <c r="E839" s="106"/>
      <c r="F839" s="107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6"/>
    </row>
    <row r="840" ht="15.75" customHeight="1">
      <c r="A840" s="109"/>
      <c r="B840" s="104"/>
      <c r="C840" s="104"/>
      <c r="D840" s="105"/>
      <c r="E840" s="106"/>
      <c r="F840" s="107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6"/>
    </row>
    <row r="841" ht="15.75" customHeight="1">
      <c r="A841" s="109"/>
      <c r="B841" s="104"/>
      <c r="C841" s="104"/>
      <c r="D841" s="105"/>
      <c r="E841" s="106"/>
      <c r="F841" s="107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6"/>
    </row>
    <row r="842" ht="15.75" customHeight="1">
      <c r="A842" s="109"/>
      <c r="B842" s="104"/>
      <c r="C842" s="104"/>
      <c r="D842" s="105"/>
      <c r="E842" s="106"/>
      <c r="F842" s="107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6"/>
    </row>
    <row r="843" ht="15.75" customHeight="1">
      <c r="A843" s="109"/>
      <c r="B843" s="104"/>
      <c r="C843" s="104"/>
      <c r="D843" s="105"/>
      <c r="E843" s="106"/>
      <c r="F843" s="107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6"/>
    </row>
    <row r="844" ht="15.75" customHeight="1">
      <c r="A844" s="109"/>
      <c r="B844" s="104"/>
      <c r="C844" s="104"/>
      <c r="D844" s="105"/>
      <c r="E844" s="106"/>
      <c r="F844" s="107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6"/>
    </row>
    <row r="845" ht="15.75" customHeight="1">
      <c r="A845" s="109"/>
      <c r="B845" s="104"/>
      <c r="C845" s="104"/>
      <c r="D845" s="105"/>
      <c r="E845" s="106"/>
      <c r="F845" s="107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6"/>
    </row>
    <row r="846" ht="15.75" customHeight="1">
      <c r="A846" s="109"/>
      <c r="B846" s="104"/>
      <c r="C846" s="104"/>
      <c r="D846" s="105"/>
      <c r="E846" s="106"/>
      <c r="F846" s="107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6"/>
    </row>
    <row r="847" ht="15.75" customHeight="1">
      <c r="A847" s="109"/>
      <c r="B847" s="104"/>
      <c r="C847" s="104"/>
      <c r="D847" s="105"/>
      <c r="E847" s="106"/>
      <c r="F847" s="107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6"/>
    </row>
    <row r="848" ht="15.75" customHeight="1">
      <c r="A848" s="109"/>
      <c r="B848" s="104"/>
      <c r="C848" s="104"/>
      <c r="D848" s="105"/>
      <c r="E848" s="106"/>
      <c r="F848" s="107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6"/>
    </row>
    <row r="849" ht="15.75" customHeight="1">
      <c r="A849" s="109"/>
      <c r="B849" s="104"/>
      <c r="C849" s="104"/>
      <c r="D849" s="105"/>
      <c r="E849" s="106"/>
      <c r="F849" s="107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6"/>
    </row>
    <row r="850" ht="15.75" customHeight="1">
      <c r="A850" s="109"/>
      <c r="B850" s="104"/>
      <c r="C850" s="104"/>
      <c r="D850" s="105"/>
      <c r="E850" s="106"/>
      <c r="F850" s="107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6"/>
    </row>
    <row r="851" ht="15.75" customHeight="1">
      <c r="A851" s="109"/>
      <c r="B851" s="104"/>
      <c r="C851" s="104"/>
      <c r="D851" s="105"/>
      <c r="E851" s="106"/>
      <c r="F851" s="107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6"/>
    </row>
    <row r="852" ht="15.75" customHeight="1">
      <c r="A852" s="109"/>
      <c r="B852" s="104"/>
      <c r="C852" s="104"/>
      <c r="D852" s="105"/>
      <c r="E852" s="106"/>
      <c r="F852" s="107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6"/>
    </row>
    <row r="853" ht="15.75" customHeight="1">
      <c r="A853" s="109"/>
      <c r="B853" s="104"/>
      <c r="C853" s="104"/>
      <c r="D853" s="105"/>
      <c r="E853" s="106"/>
      <c r="F853" s="107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6"/>
    </row>
    <row r="854" ht="15.75" customHeight="1">
      <c r="A854" s="109"/>
      <c r="B854" s="104"/>
      <c r="C854" s="104"/>
      <c r="D854" s="105"/>
      <c r="E854" s="106"/>
      <c r="F854" s="107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6"/>
    </row>
    <row r="855" ht="15.75" customHeight="1">
      <c r="A855" s="109"/>
      <c r="B855" s="104"/>
      <c r="C855" s="104"/>
      <c r="D855" s="105"/>
      <c r="E855" s="106"/>
      <c r="F855" s="107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6"/>
    </row>
    <row r="856" ht="15.75" customHeight="1">
      <c r="A856" s="109"/>
      <c r="B856" s="104"/>
      <c r="C856" s="104"/>
      <c r="D856" s="105"/>
      <c r="E856" s="106"/>
      <c r="F856" s="107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6"/>
    </row>
    <row r="857" ht="15.75" customHeight="1">
      <c r="A857" s="109"/>
      <c r="B857" s="104"/>
      <c r="C857" s="104"/>
      <c r="D857" s="105"/>
      <c r="E857" s="106"/>
      <c r="F857" s="107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6"/>
    </row>
    <row r="858" ht="15.75" customHeight="1">
      <c r="A858" s="109"/>
      <c r="B858" s="104"/>
      <c r="C858" s="104"/>
      <c r="D858" s="105"/>
      <c r="E858" s="106"/>
      <c r="F858" s="107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6"/>
    </row>
    <row r="859" ht="15.75" customHeight="1">
      <c r="A859" s="109"/>
      <c r="B859" s="104"/>
      <c r="C859" s="104"/>
      <c r="D859" s="105"/>
      <c r="E859" s="106"/>
      <c r="F859" s="107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6"/>
    </row>
    <row r="860" ht="15.75" customHeight="1">
      <c r="A860" s="109"/>
      <c r="B860" s="104"/>
      <c r="C860" s="104"/>
      <c r="D860" s="105"/>
      <c r="E860" s="106"/>
      <c r="F860" s="107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6"/>
    </row>
    <row r="861" ht="15.75" customHeight="1">
      <c r="A861" s="109"/>
      <c r="B861" s="104"/>
      <c r="C861" s="104"/>
      <c r="D861" s="105"/>
      <c r="E861" s="106"/>
      <c r="F861" s="107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6"/>
    </row>
    <row r="862" ht="15.75" customHeight="1">
      <c r="A862" s="109"/>
      <c r="B862" s="104"/>
      <c r="C862" s="104"/>
      <c r="D862" s="105"/>
      <c r="E862" s="106"/>
      <c r="F862" s="107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6"/>
    </row>
    <row r="863" ht="15.75" customHeight="1">
      <c r="A863" s="109"/>
      <c r="B863" s="104"/>
      <c r="C863" s="104"/>
      <c r="D863" s="105"/>
      <c r="E863" s="106"/>
      <c r="F863" s="107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6"/>
    </row>
    <row r="864" ht="15.75" customHeight="1">
      <c r="A864" s="109"/>
      <c r="B864" s="104"/>
      <c r="C864" s="104"/>
      <c r="D864" s="105"/>
      <c r="E864" s="106"/>
      <c r="F864" s="107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6"/>
    </row>
    <row r="865" ht="15.75" customHeight="1">
      <c r="A865" s="109"/>
      <c r="B865" s="104"/>
      <c r="C865" s="104"/>
      <c r="D865" s="105"/>
      <c r="E865" s="106"/>
      <c r="F865" s="107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6"/>
    </row>
    <row r="866" ht="15.75" customHeight="1">
      <c r="A866" s="109"/>
      <c r="B866" s="104"/>
      <c r="C866" s="104"/>
      <c r="D866" s="105"/>
      <c r="E866" s="106"/>
      <c r="F866" s="107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6"/>
    </row>
    <row r="867" ht="15.75" customHeight="1">
      <c r="A867" s="109"/>
      <c r="B867" s="104"/>
      <c r="C867" s="104"/>
      <c r="D867" s="105"/>
      <c r="E867" s="106"/>
      <c r="F867" s="107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6"/>
    </row>
    <row r="868" ht="15.75" customHeight="1">
      <c r="A868" s="109"/>
      <c r="B868" s="104"/>
      <c r="C868" s="104"/>
      <c r="D868" s="105"/>
      <c r="E868" s="106"/>
      <c r="F868" s="107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6"/>
    </row>
    <row r="869" ht="15.75" customHeight="1">
      <c r="A869" s="109"/>
      <c r="B869" s="104"/>
      <c r="C869" s="104"/>
      <c r="D869" s="105"/>
      <c r="E869" s="106"/>
      <c r="F869" s="107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6"/>
    </row>
    <row r="870" ht="15.75" customHeight="1">
      <c r="A870" s="109"/>
      <c r="B870" s="104"/>
      <c r="C870" s="104"/>
      <c r="D870" s="105"/>
      <c r="E870" s="106"/>
      <c r="F870" s="107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6"/>
    </row>
    <row r="871" ht="15.75" customHeight="1">
      <c r="A871" s="109"/>
      <c r="B871" s="104"/>
      <c r="C871" s="104"/>
      <c r="D871" s="105"/>
      <c r="E871" s="106"/>
      <c r="F871" s="107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6"/>
    </row>
    <row r="872" ht="15.75" customHeight="1">
      <c r="A872" s="109"/>
      <c r="B872" s="104"/>
      <c r="C872" s="104"/>
      <c r="D872" s="105"/>
      <c r="E872" s="106"/>
      <c r="F872" s="107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6"/>
    </row>
    <row r="873" ht="15.75" customHeight="1">
      <c r="A873" s="109"/>
      <c r="B873" s="104"/>
      <c r="C873" s="104"/>
      <c r="D873" s="105"/>
      <c r="E873" s="106"/>
      <c r="F873" s="107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6"/>
    </row>
    <row r="874" ht="15.75" customHeight="1">
      <c r="A874" s="109"/>
      <c r="B874" s="104"/>
      <c r="C874" s="104"/>
      <c r="D874" s="105"/>
      <c r="E874" s="106"/>
      <c r="F874" s="107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6"/>
    </row>
    <row r="875" ht="15.75" customHeight="1">
      <c r="A875" s="109"/>
      <c r="B875" s="104"/>
      <c r="C875" s="104"/>
      <c r="D875" s="105"/>
      <c r="E875" s="106"/>
      <c r="F875" s="107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6"/>
    </row>
    <row r="876" ht="15.75" customHeight="1">
      <c r="A876" s="109"/>
      <c r="B876" s="104"/>
      <c r="C876" s="104"/>
      <c r="D876" s="105"/>
      <c r="E876" s="106"/>
      <c r="F876" s="107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6"/>
    </row>
    <row r="877" ht="15.75" customHeight="1">
      <c r="A877" s="109"/>
      <c r="B877" s="104"/>
      <c r="C877" s="104"/>
      <c r="D877" s="105"/>
      <c r="E877" s="106"/>
      <c r="F877" s="107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6"/>
    </row>
    <row r="878" ht="15.75" customHeight="1">
      <c r="A878" s="109"/>
      <c r="B878" s="104"/>
      <c r="C878" s="104"/>
      <c r="D878" s="105"/>
      <c r="E878" s="106"/>
      <c r="F878" s="107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6"/>
    </row>
    <row r="879" ht="15.75" customHeight="1">
      <c r="A879" s="109"/>
      <c r="B879" s="104"/>
      <c r="C879" s="104"/>
      <c r="D879" s="105"/>
      <c r="E879" s="106"/>
      <c r="F879" s="107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6"/>
    </row>
    <row r="880" ht="15.75" customHeight="1">
      <c r="A880" s="109"/>
      <c r="B880" s="104"/>
      <c r="C880" s="104"/>
      <c r="D880" s="105"/>
      <c r="E880" s="106"/>
      <c r="F880" s="107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6"/>
    </row>
    <row r="881" ht="15.75" customHeight="1">
      <c r="A881" s="109"/>
      <c r="B881" s="104"/>
      <c r="C881" s="104"/>
      <c r="D881" s="105"/>
      <c r="E881" s="106"/>
      <c r="F881" s="107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6"/>
    </row>
    <row r="882" ht="15.75" customHeight="1">
      <c r="A882" s="109"/>
      <c r="B882" s="104"/>
      <c r="C882" s="104"/>
      <c r="D882" s="105"/>
      <c r="E882" s="106"/>
      <c r="F882" s="107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6"/>
    </row>
    <row r="883" ht="15.75" customHeight="1">
      <c r="A883" s="109"/>
      <c r="B883" s="104"/>
      <c r="C883" s="104"/>
      <c r="D883" s="105"/>
      <c r="E883" s="106"/>
      <c r="F883" s="107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6"/>
    </row>
    <row r="884" ht="15.75" customHeight="1">
      <c r="A884" s="109"/>
      <c r="B884" s="104"/>
      <c r="C884" s="104"/>
      <c r="D884" s="105"/>
      <c r="E884" s="106"/>
      <c r="F884" s="107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6"/>
    </row>
    <row r="885" ht="15.75" customHeight="1">
      <c r="A885" s="109"/>
      <c r="B885" s="104"/>
      <c r="C885" s="104"/>
      <c r="D885" s="105"/>
      <c r="E885" s="106"/>
      <c r="F885" s="107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6"/>
    </row>
    <row r="886" ht="15.75" customHeight="1">
      <c r="A886" s="109"/>
      <c r="B886" s="104"/>
      <c r="C886" s="104"/>
      <c r="D886" s="105"/>
      <c r="E886" s="106"/>
      <c r="F886" s="107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6"/>
    </row>
    <row r="887" ht="15.75" customHeight="1">
      <c r="A887" s="109"/>
      <c r="B887" s="104"/>
      <c r="C887" s="104"/>
      <c r="D887" s="105"/>
      <c r="E887" s="106"/>
      <c r="F887" s="107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6"/>
    </row>
    <row r="888" ht="15.75" customHeight="1">
      <c r="A888" s="109"/>
      <c r="B888" s="104"/>
      <c r="C888" s="104"/>
      <c r="D888" s="105"/>
      <c r="E888" s="106"/>
      <c r="F888" s="107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6"/>
    </row>
    <row r="889" ht="15.75" customHeight="1">
      <c r="A889" s="109"/>
      <c r="B889" s="104"/>
      <c r="C889" s="104"/>
      <c r="D889" s="105"/>
      <c r="E889" s="106"/>
      <c r="F889" s="107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6"/>
    </row>
    <row r="890" ht="15.75" customHeight="1">
      <c r="A890" s="109"/>
      <c r="B890" s="104"/>
      <c r="C890" s="104"/>
      <c r="D890" s="105"/>
      <c r="E890" s="106"/>
      <c r="F890" s="107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6"/>
    </row>
    <row r="891" ht="15.75" customHeight="1">
      <c r="A891" s="109"/>
      <c r="B891" s="104"/>
      <c r="C891" s="104"/>
      <c r="D891" s="105"/>
      <c r="E891" s="106"/>
      <c r="F891" s="107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6"/>
    </row>
    <row r="892" ht="15.75" customHeight="1">
      <c r="A892" s="109"/>
      <c r="B892" s="104"/>
      <c r="C892" s="104"/>
      <c r="D892" s="105"/>
      <c r="E892" s="106"/>
      <c r="F892" s="107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6"/>
    </row>
    <row r="893" ht="15.75" customHeight="1">
      <c r="A893" s="109"/>
      <c r="B893" s="104"/>
      <c r="C893" s="104"/>
      <c r="D893" s="105"/>
      <c r="E893" s="106"/>
      <c r="F893" s="107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6"/>
    </row>
    <row r="894" ht="15.75" customHeight="1">
      <c r="A894" s="109"/>
      <c r="B894" s="104"/>
      <c r="C894" s="104"/>
      <c r="D894" s="105"/>
      <c r="E894" s="106"/>
      <c r="F894" s="107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6"/>
    </row>
    <row r="895" ht="15.75" customHeight="1">
      <c r="A895" s="109"/>
      <c r="B895" s="104"/>
      <c r="C895" s="104"/>
      <c r="D895" s="105"/>
      <c r="E895" s="106"/>
      <c r="F895" s="107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6"/>
    </row>
    <row r="896" ht="15.75" customHeight="1">
      <c r="A896" s="109"/>
      <c r="B896" s="104"/>
      <c r="C896" s="104"/>
      <c r="D896" s="105"/>
      <c r="E896" s="106"/>
      <c r="F896" s="107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6"/>
    </row>
    <row r="897" ht="15.75" customHeight="1">
      <c r="A897" s="109"/>
      <c r="B897" s="104"/>
      <c r="C897" s="104"/>
      <c r="D897" s="105"/>
      <c r="E897" s="106"/>
      <c r="F897" s="107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6"/>
    </row>
    <row r="898" ht="15.75" customHeight="1">
      <c r="A898" s="109"/>
      <c r="B898" s="104"/>
      <c r="C898" s="104"/>
      <c r="D898" s="105"/>
      <c r="E898" s="106"/>
      <c r="F898" s="107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6"/>
    </row>
    <row r="899" ht="15.75" customHeight="1">
      <c r="A899" s="109"/>
      <c r="B899" s="104"/>
      <c r="C899" s="104"/>
      <c r="D899" s="105"/>
      <c r="E899" s="106"/>
      <c r="F899" s="107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6"/>
    </row>
    <row r="900" ht="15.75" customHeight="1">
      <c r="A900" s="109"/>
      <c r="B900" s="104"/>
      <c r="C900" s="104"/>
      <c r="D900" s="105"/>
      <c r="E900" s="106"/>
      <c r="F900" s="107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6"/>
    </row>
    <row r="901" ht="15.75" customHeight="1">
      <c r="A901" s="109"/>
      <c r="B901" s="104"/>
      <c r="C901" s="104"/>
      <c r="D901" s="105"/>
      <c r="E901" s="106"/>
      <c r="F901" s="107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6"/>
    </row>
    <row r="902" ht="15.75" customHeight="1">
      <c r="A902" s="109"/>
      <c r="B902" s="104"/>
      <c r="C902" s="104"/>
      <c r="D902" s="105"/>
      <c r="E902" s="106"/>
      <c r="F902" s="107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6"/>
    </row>
    <row r="903" ht="15.75" customHeight="1">
      <c r="A903" s="109"/>
      <c r="B903" s="104"/>
      <c r="C903" s="104"/>
      <c r="D903" s="105"/>
      <c r="E903" s="106"/>
      <c r="F903" s="107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6"/>
    </row>
    <row r="904" ht="15.75" customHeight="1">
      <c r="A904" s="109"/>
      <c r="B904" s="104"/>
      <c r="C904" s="104"/>
      <c r="D904" s="105"/>
      <c r="E904" s="106"/>
      <c r="F904" s="107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6"/>
    </row>
    <row r="905" ht="15.75" customHeight="1">
      <c r="A905" s="109"/>
      <c r="B905" s="104"/>
      <c r="C905" s="104"/>
      <c r="D905" s="105"/>
      <c r="E905" s="106"/>
      <c r="F905" s="107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6"/>
    </row>
    <row r="906" ht="15.75" customHeight="1">
      <c r="A906" s="109"/>
      <c r="B906" s="104"/>
      <c r="C906" s="104"/>
      <c r="D906" s="105"/>
      <c r="E906" s="106"/>
      <c r="F906" s="107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6"/>
    </row>
    <row r="907" ht="15.75" customHeight="1">
      <c r="A907" s="109"/>
      <c r="B907" s="104"/>
      <c r="C907" s="104"/>
      <c r="D907" s="105"/>
      <c r="E907" s="106"/>
      <c r="F907" s="107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6"/>
    </row>
    <row r="908" ht="15.75" customHeight="1">
      <c r="A908" s="109"/>
      <c r="B908" s="104"/>
      <c r="C908" s="104"/>
      <c r="D908" s="105"/>
      <c r="E908" s="106"/>
      <c r="F908" s="107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6"/>
    </row>
    <row r="909" ht="15.75" customHeight="1">
      <c r="A909" s="109"/>
      <c r="B909" s="104"/>
      <c r="C909" s="104"/>
      <c r="D909" s="105"/>
      <c r="E909" s="106"/>
      <c r="F909" s="107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6"/>
    </row>
    <row r="910" ht="15.75" customHeight="1">
      <c r="A910" s="109"/>
      <c r="B910" s="104"/>
      <c r="C910" s="104"/>
      <c r="D910" s="105"/>
      <c r="E910" s="106"/>
      <c r="F910" s="107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6"/>
    </row>
    <row r="911" ht="15.75" customHeight="1">
      <c r="A911" s="109"/>
      <c r="B911" s="104"/>
      <c r="C911" s="104"/>
      <c r="D911" s="105"/>
      <c r="E911" s="106"/>
      <c r="F911" s="107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6"/>
    </row>
    <row r="912" ht="15.75" customHeight="1">
      <c r="A912" s="109"/>
      <c r="B912" s="104"/>
      <c r="C912" s="104"/>
      <c r="D912" s="105"/>
      <c r="E912" s="106"/>
      <c r="F912" s="107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6"/>
    </row>
    <row r="913" ht="15.75" customHeight="1">
      <c r="A913" s="109"/>
      <c r="B913" s="104"/>
      <c r="C913" s="104"/>
      <c r="D913" s="105"/>
      <c r="E913" s="106"/>
      <c r="F913" s="107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6"/>
    </row>
    <row r="914" ht="15.75" customHeight="1">
      <c r="A914" s="109"/>
      <c r="B914" s="104"/>
      <c r="C914" s="104"/>
      <c r="D914" s="105"/>
      <c r="E914" s="106"/>
      <c r="F914" s="107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6"/>
    </row>
    <row r="915" ht="15.75" customHeight="1">
      <c r="A915" s="109"/>
      <c r="B915" s="104"/>
      <c r="C915" s="104"/>
      <c r="D915" s="105"/>
      <c r="E915" s="106"/>
      <c r="F915" s="107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6"/>
    </row>
    <row r="916" ht="15.75" customHeight="1">
      <c r="A916" s="109"/>
      <c r="B916" s="104"/>
      <c r="C916" s="104"/>
      <c r="D916" s="105"/>
      <c r="E916" s="106"/>
      <c r="F916" s="107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6"/>
    </row>
    <row r="917" ht="15.75" customHeight="1">
      <c r="A917" s="109"/>
      <c r="B917" s="104"/>
      <c r="C917" s="104"/>
      <c r="D917" s="105"/>
      <c r="E917" s="106"/>
      <c r="F917" s="107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6"/>
    </row>
    <row r="918" ht="15.75" customHeight="1">
      <c r="A918" s="109"/>
      <c r="B918" s="104"/>
      <c r="C918" s="104"/>
      <c r="D918" s="105"/>
      <c r="E918" s="106"/>
      <c r="F918" s="107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6"/>
    </row>
    <row r="919" ht="15.75" customHeight="1">
      <c r="A919" s="109"/>
      <c r="B919" s="104"/>
      <c r="C919" s="104"/>
      <c r="D919" s="105"/>
      <c r="E919" s="106"/>
      <c r="F919" s="107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6"/>
    </row>
    <row r="920" ht="15.75" customHeight="1">
      <c r="A920" s="109"/>
      <c r="B920" s="104"/>
      <c r="C920" s="104"/>
      <c r="D920" s="105"/>
      <c r="E920" s="106"/>
      <c r="F920" s="107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6"/>
    </row>
    <row r="921" ht="15.75" customHeight="1">
      <c r="A921" s="109"/>
      <c r="B921" s="104"/>
      <c r="C921" s="104"/>
      <c r="D921" s="105"/>
      <c r="E921" s="106"/>
      <c r="F921" s="107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6"/>
    </row>
    <row r="922" ht="15.75" customHeight="1">
      <c r="A922" s="109"/>
      <c r="B922" s="104"/>
      <c r="C922" s="104"/>
      <c r="D922" s="105"/>
      <c r="E922" s="106"/>
      <c r="F922" s="107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6"/>
    </row>
    <row r="923" ht="15.75" customHeight="1">
      <c r="A923" s="109"/>
      <c r="B923" s="104"/>
      <c r="C923" s="104"/>
      <c r="D923" s="105"/>
      <c r="E923" s="106"/>
      <c r="F923" s="107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6"/>
    </row>
    <row r="924" ht="15.75" customHeight="1">
      <c r="A924" s="109"/>
      <c r="B924" s="104"/>
      <c r="C924" s="104"/>
      <c r="D924" s="105"/>
      <c r="E924" s="106"/>
      <c r="F924" s="107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6"/>
    </row>
    <row r="925" ht="15.75" customHeight="1">
      <c r="A925" s="109"/>
      <c r="B925" s="104"/>
      <c r="C925" s="104"/>
      <c r="D925" s="105"/>
      <c r="E925" s="106"/>
      <c r="F925" s="107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6"/>
    </row>
    <row r="926" ht="15.75" customHeight="1">
      <c r="A926" s="109"/>
      <c r="B926" s="104"/>
      <c r="C926" s="104"/>
      <c r="D926" s="105"/>
      <c r="E926" s="106"/>
      <c r="F926" s="107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6"/>
    </row>
    <row r="927" ht="15.75" customHeight="1">
      <c r="A927" s="109"/>
      <c r="B927" s="104"/>
      <c r="C927" s="104"/>
      <c r="D927" s="105"/>
      <c r="E927" s="106"/>
      <c r="F927" s="107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6"/>
    </row>
    <row r="928" ht="15.75" customHeight="1">
      <c r="A928" s="109"/>
      <c r="B928" s="104"/>
      <c r="C928" s="104"/>
      <c r="D928" s="105"/>
      <c r="E928" s="106"/>
      <c r="F928" s="107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6"/>
    </row>
    <row r="929" ht="15.75" customHeight="1">
      <c r="A929" s="109"/>
      <c r="B929" s="104"/>
      <c r="C929" s="104"/>
      <c r="D929" s="105"/>
      <c r="E929" s="106"/>
      <c r="F929" s="107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6"/>
    </row>
    <row r="930" ht="15.75" customHeight="1">
      <c r="A930" s="109"/>
      <c r="B930" s="104"/>
      <c r="C930" s="104"/>
      <c r="D930" s="105"/>
      <c r="E930" s="106"/>
      <c r="F930" s="107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6"/>
    </row>
    <row r="931" ht="15.75" customHeight="1">
      <c r="A931" s="109"/>
      <c r="B931" s="104"/>
      <c r="C931" s="104"/>
      <c r="D931" s="105"/>
      <c r="E931" s="106"/>
      <c r="F931" s="107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6"/>
    </row>
    <row r="932" ht="15.75" customHeight="1">
      <c r="A932" s="109"/>
      <c r="B932" s="104"/>
      <c r="C932" s="104"/>
      <c r="D932" s="105"/>
      <c r="E932" s="106"/>
      <c r="F932" s="107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6"/>
    </row>
    <row r="933" ht="15.75" customHeight="1">
      <c r="A933" s="109"/>
      <c r="B933" s="104"/>
      <c r="C933" s="104"/>
      <c r="D933" s="105"/>
      <c r="E933" s="106"/>
      <c r="F933" s="107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6"/>
    </row>
    <row r="934" ht="15.75" customHeight="1">
      <c r="A934" s="109"/>
      <c r="B934" s="104"/>
      <c r="C934" s="104"/>
      <c r="D934" s="105"/>
      <c r="E934" s="106"/>
      <c r="F934" s="107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6"/>
    </row>
    <row r="935" ht="15.75" customHeight="1">
      <c r="A935" s="109"/>
      <c r="B935" s="104"/>
      <c r="C935" s="104"/>
      <c r="D935" s="105"/>
      <c r="E935" s="106"/>
      <c r="F935" s="107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6"/>
    </row>
    <row r="936" ht="15.75" customHeight="1">
      <c r="A936" s="109"/>
      <c r="B936" s="104"/>
      <c r="C936" s="104"/>
      <c r="D936" s="105"/>
      <c r="E936" s="106"/>
      <c r="F936" s="107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6"/>
    </row>
    <row r="937" ht="15.75" customHeight="1">
      <c r="A937" s="109"/>
      <c r="B937" s="104"/>
      <c r="C937" s="104"/>
      <c r="D937" s="105"/>
      <c r="E937" s="106"/>
      <c r="F937" s="107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6"/>
    </row>
    <row r="938" ht="15.75" customHeight="1">
      <c r="A938" s="109"/>
      <c r="B938" s="104"/>
      <c r="C938" s="104"/>
      <c r="D938" s="105"/>
      <c r="E938" s="106"/>
      <c r="F938" s="107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6"/>
    </row>
    <row r="939" ht="15.75" customHeight="1">
      <c r="A939" s="109"/>
      <c r="B939" s="104"/>
      <c r="C939" s="104"/>
      <c r="D939" s="105"/>
      <c r="E939" s="106"/>
      <c r="F939" s="107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6"/>
    </row>
    <row r="940" ht="15.75" customHeight="1">
      <c r="A940" s="109"/>
      <c r="B940" s="104"/>
      <c r="C940" s="104"/>
      <c r="D940" s="105"/>
      <c r="E940" s="106"/>
      <c r="F940" s="107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6"/>
    </row>
    <row r="941" ht="15.75" customHeight="1">
      <c r="A941" s="109"/>
      <c r="B941" s="104"/>
      <c r="C941" s="104"/>
      <c r="D941" s="105"/>
      <c r="E941" s="106"/>
      <c r="F941" s="107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6"/>
    </row>
    <row r="942" ht="15.75" customHeight="1">
      <c r="A942" s="109"/>
      <c r="B942" s="104"/>
      <c r="C942" s="104"/>
      <c r="D942" s="105"/>
      <c r="E942" s="106"/>
      <c r="F942" s="107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6"/>
    </row>
    <row r="943" ht="15.75" customHeight="1">
      <c r="A943" s="109"/>
      <c r="B943" s="104"/>
      <c r="C943" s="104"/>
      <c r="D943" s="105"/>
      <c r="E943" s="106"/>
      <c r="F943" s="107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6"/>
    </row>
    <row r="944" ht="15.75" customHeight="1">
      <c r="A944" s="109"/>
      <c r="B944" s="104"/>
      <c r="C944" s="104"/>
      <c r="D944" s="105"/>
      <c r="E944" s="106"/>
      <c r="F944" s="107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6"/>
    </row>
    <row r="945" ht="15.75" customHeight="1">
      <c r="A945" s="109"/>
      <c r="B945" s="104"/>
      <c r="C945" s="104"/>
      <c r="D945" s="105"/>
      <c r="E945" s="106"/>
      <c r="F945" s="107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6"/>
    </row>
    <row r="946" ht="15.75" customHeight="1">
      <c r="A946" s="109"/>
      <c r="B946" s="104"/>
      <c r="C946" s="104"/>
      <c r="D946" s="105"/>
      <c r="E946" s="106"/>
      <c r="F946" s="107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6"/>
    </row>
    <row r="947" ht="15.75" customHeight="1">
      <c r="A947" s="109"/>
      <c r="B947" s="104"/>
      <c r="C947" s="104"/>
      <c r="D947" s="105"/>
      <c r="E947" s="106"/>
      <c r="F947" s="107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6"/>
    </row>
    <row r="948" ht="15.75" customHeight="1">
      <c r="A948" s="109"/>
      <c r="B948" s="104"/>
      <c r="C948" s="104"/>
      <c r="D948" s="105"/>
      <c r="E948" s="106"/>
      <c r="F948" s="107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6"/>
    </row>
    <row r="949" ht="15.75" customHeight="1">
      <c r="A949" s="109"/>
      <c r="B949" s="104"/>
      <c r="C949" s="104"/>
      <c r="D949" s="105"/>
      <c r="E949" s="106"/>
      <c r="F949" s="107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6"/>
    </row>
    <row r="950" ht="15.75" customHeight="1">
      <c r="A950" s="109"/>
      <c r="B950" s="104"/>
      <c r="C950" s="104"/>
      <c r="D950" s="105"/>
      <c r="E950" s="106"/>
      <c r="F950" s="107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6"/>
    </row>
    <row r="951" ht="15.75" customHeight="1">
      <c r="A951" s="109"/>
      <c r="B951" s="104"/>
      <c r="C951" s="104"/>
      <c r="D951" s="105"/>
      <c r="E951" s="106"/>
      <c r="F951" s="107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6"/>
    </row>
    <row r="952" ht="15.75" customHeight="1">
      <c r="A952" s="109"/>
      <c r="B952" s="104"/>
      <c r="C952" s="104"/>
      <c r="D952" s="105"/>
      <c r="E952" s="106"/>
      <c r="F952" s="107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6"/>
    </row>
    <row r="953" ht="15.75" customHeight="1">
      <c r="A953" s="109"/>
      <c r="B953" s="104"/>
      <c r="C953" s="104"/>
      <c r="D953" s="105"/>
      <c r="E953" s="106"/>
      <c r="F953" s="107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6"/>
    </row>
    <row r="954" ht="15.75" customHeight="1">
      <c r="A954" s="109"/>
      <c r="B954" s="104"/>
      <c r="C954" s="104"/>
      <c r="D954" s="105"/>
      <c r="E954" s="106"/>
      <c r="F954" s="107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6"/>
    </row>
    <row r="955" ht="15.75" customHeight="1">
      <c r="A955" s="109"/>
      <c r="B955" s="104"/>
      <c r="C955" s="104"/>
      <c r="D955" s="105"/>
      <c r="E955" s="106"/>
      <c r="F955" s="107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6"/>
    </row>
    <row r="956" ht="15.75" customHeight="1">
      <c r="A956" s="109"/>
      <c r="B956" s="104"/>
      <c r="C956" s="104"/>
      <c r="D956" s="105"/>
      <c r="E956" s="106"/>
      <c r="F956" s="107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6"/>
    </row>
    <row r="957" ht="15.75" customHeight="1">
      <c r="A957" s="109"/>
      <c r="B957" s="104"/>
      <c r="C957" s="104"/>
      <c r="D957" s="105"/>
      <c r="E957" s="106"/>
      <c r="F957" s="107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6"/>
    </row>
    <row r="958" ht="15.75" customHeight="1">
      <c r="A958" s="109"/>
      <c r="B958" s="104"/>
      <c r="C958" s="104"/>
      <c r="D958" s="105"/>
      <c r="E958" s="106"/>
      <c r="F958" s="107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6"/>
    </row>
    <row r="959" ht="15.75" customHeight="1">
      <c r="A959" s="109"/>
      <c r="B959" s="104"/>
      <c r="C959" s="104"/>
      <c r="D959" s="105"/>
      <c r="E959" s="106"/>
      <c r="F959" s="107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6"/>
    </row>
    <row r="960" ht="15.75" customHeight="1">
      <c r="A960" s="109"/>
      <c r="B960" s="104"/>
      <c r="C960" s="104"/>
      <c r="D960" s="105"/>
      <c r="E960" s="106"/>
      <c r="F960" s="107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6"/>
    </row>
    <row r="961" ht="15.75" customHeight="1">
      <c r="A961" s="109"/>
      <c r="B961" s="104"/>
      <c r="C961" s="104"/>
      <c r="D961" s="105"/>
      <c r="E961" s="106"/>
      <c r="F961" s="107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6"/>
    </row>
    <row r="962" ht="15.75" customHeight="1">
      <c r="A962" s="109"/>
      <c r="B962" s="104"/>
      <c r="C962" s="104"/>
      <c r="D962" s="105"/>
      <c r="E962" s="106"/>
      <c r="F962" s="107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6"/>
    </row>
    <row r="963" ht="15.75" customHeight="1">
      <c r="A963" s="109"/>
      <c r="B963" s="104"/>
      <c r="C963" s="104"/>
      <c r="D963" s="105"/>
      <c r="E963" s="106"/>
      <c r="F963" s="107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6"/>
    </row>
    <row r="964" ht="15.75" customHeight="1">
      <c r="A964" s="109"/>
      <c r="B964" s="104"/>
      <c r="C964" s="104"/>
      <c r="D964" s="105"/>
      <c r="E964" s="106"/>
      <c r="F964" s="107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6"/>
    </row>
    <row r="965" ht="15.75" customHeight="1">
      <c r="A965" s="109"/>
      <c r="B965" s="104"/>
      <c r="C965" s="104"/>
      <c r="D965" s="105"/>
      <c r="E965" s="106"/>
      <c r="F965" s="107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6"/>
    </row>
    <row r="966" ht="15.75" customHeight="1">
      <c r="A966" s="109"/>
      <c r="B966" s="104"/>
      <c r="C966" s="104"/>
      <c r="D966" s="105"/>
      <c r="E966" s="106"/>
      <c r="F966" s="107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6"/>
    </row>
    <row r="967" ht="15.75" customHeight="1">
      <c r="A967" s="109"/>
      <c r="B967" s="104"/>
      <c r="C967" s="104"/>
      <c r="D967" s="105"/>
      <c r="E967" s="106"/>
      <c r="F967" s="107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6"/>
    </row>
    <row r="968" ht="15.75" customHeight="1">
      <c r="A968" s="109"/>
      <c r="B968" s="104"/>
      <c r="C968" s="104"/>
      <c r="D968" s="105"/>
      <c r="E968" s="106"/>
      <c r="F968" s="107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6"/>
    </row>
    <row r="969" ht="15.75" customHeight="1">
      <c r="A969" s="109"/>
      <c r="B969" s="104"/>
      <c r="C969" s="104"/>
      <c r="D969" s="105"/>
      <c r="E969" s="106"/>
      <c r="F969" s="107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6"/>
    </row>
    <row r="970" ht="15.75" customHeight="1">
      <c r="A970" s="109"/>
      <c r="B970" s="104"/>
      <c r="C970" s="104"/>
      <c r="D970" s="105"/>
      <c r="E970" s="106"/>
      <c r="F970" s="107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6"/>
    </row>
    <row r="971" ht="15.75" customHeight="1">
      <c r="A971" s="109"/>
      <c r="B971" s="104"/>
      <c r="C971" s="104"/>
      <c r="D971" s="105"/>
      <c r="E971" s="106"/>
      <c r="F971" s="107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6"/>
    </row>
    <row r="972" ht="15.75" customHeight="1">
      <c r="A972" s="109"/>
      <c r="B972" s="104"/>
      <c r="C972" s="104"/>
      <c r="D972" s="105"/>
      <c r="E972" s="106"/>
      <c r="F972" s="107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6"/>
    </row>
    <row r="973" ht="15.75" customHeight="1">
      <c r="A973" s="109"/>
      <c r="B973" s="104"/>
      <c r="C973" s="104"/>
      <c r="D973" s="105"/>
      <c r="E973" s="106"/>
      <c r="F973" s="107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6"/>
    </row>
    <row r="974" ht="15.75" customHeight="1">
      <c r="A974" s="109"/>
      <c r="B974" s="104"/>
      <c r="C974" s="104"/>
      <c r="D974" s="105"/>
      <c r="E974" s="106"/>
      <c r="F974" s="107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6"/>
    </row>
    <row r="975" ht="15.75" customHeight="1">
      <c r="A975" s="109"/>
      <c r="B975" s="104"/>
      <c r="C975" s="104"/>
      <c r="D975" s="105"/>
      <c r="E975" s="106"/>
      <c r="F975" s="107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6"/>
    </row>
    <row r="976" ht="15.75" customHeight="1">
      <c r="A976" s="109"/>
      <c r="B976" s="104"/>
      <c r="C976" s="104"/>
      <c r="D976" s="105"/>
      <c r="E976" s="106"/>
      <c r="F976" s="107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6"/>
    </row>
    <row r="977" ht="15.75" customHeight="1">
      <c r="A977" s="109"/>
      <c r="B977" s="104"/>
      <c r="C977" s="104"/>
      <c r="D977" s="105"/>
      <c r="E977" s="106"/>
      <c r="F977" s="107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6"/>
    </row>
    <row r="978" ht="15.75" customHeight="1">
      <c r="A978" s="109"/>
      <c r="B978" s="104"/>
      <c r="C978" s="104"/>
      <c r="D978" s="105"/>
      <c r="E978" s="106"/>
      <c r="F978" s="107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6"/>
    </row>
    <row r="979" ht="15.75" customHeight="1">
      <c r="A979" s="109"/>
      <c r="B979" s="104"/>
      <c r="C979" s="104"/>
      <c r="D979" s="105"/>
      <c r="E979" s="106"/>
      <c r="F979" s="107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6"/>
    </row>
    <row r="980" ht="15.75" customHeight="1">
      <c r="A980" s="109"/>
      <c r="B980" s="104"/>
      <c r="C980" s="104"/>
      <c r="D980" s="105"/>
      <c r="E980" s="106"/>
      <c r="F980" s="107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6"/>
    </row>
    <row r="981" ht="15.75" customHeight="1">
      <c r="A981" s="109"/>
      <c r="B981" s="104"/>
      <c r="C981" s="104"/>
      <c r="D981" s="105"/>
      <c r="E981" s="106"/>
      <c r="F981" s="107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6"/>
    </row>
    <row r="982" ht="15.75" customHeight="1">
      <c r="A982" s="109"/>
      <c r="B982" s="104"/>
      <c r="C982" s="104"/>
      <c r="D982" s="105"/>
      <c r="E982" s="106"/>
      <c r="F982" s="107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6"/>
    </row>
    <row r="983" ht="15.75" customHeight="1">
      <c r="A983" s="109"/>
      <c r="B983" s="104"/>
      <c r="C983" s="104"/>
      <c r="D983" s="105"/>
      <c r="E983" s="106"/>
      <c r="F983" s="107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6"/>
    </row>
    <row r="984" ht="15.75" customHeight="1">
      <c r="A984" s="109"/>
      <c r="B984" s="104"/>
      <c r="C984" s="104"/>
      <c r="D984" s="105"/>
      <c r="E984" s="106"/>
      <c r="F984" s="107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6"/>
    </row>
    <row r="985" ht="15.75" customHeight="1">
      <c r="A985" s="109"/>
      <c r="B985" s="104"/>
      <c r="C985" s="104"/>
      <c r="D985" s="105"/>
      <c r="E985" s="106"/>
      <c r="F985" s="107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6"/>
    </row>
    <row r="986" ht="15.75" customHeight="1">
      <c r="A986" s="109"/>
      <c r="B986" s="104"/>
      <c r="C986" s="104"/>
      <c r="D986" s="105"/>
      <c r="E986" s="106"/>
      <c r="F986" s="107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6"/>
    </row>
    <row r="987" ht="15.75" customHeight="1">
      <c r="A987" s="109"/>
      <c r="B987" s="104"/>
      <c r="C987" s="104"/>
      <c r="D987" s="105"/>
      <c r="E987" s="106"/>
      <c r="F987" s="107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6"/>
    </row>
    <row r="988" ht="15.75" customHeight="1">
      <c r="A988" s="109"/>
      <c r="B988" s="104"/>
      <c r="C988" s="104"/>
      <c r="D988" s="105"/>
      <c r="E988" s="106"/>
      <c r="F988" s="107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6"/>
    </row>
    <row r="989" ht="15.75" customHeight="1">
      <c r="A989" s="109"/>
      <c r="B989" s="104"/>
      <c r="C989" s="104"/>
      <c r="D989" s="105"/>
      <c r="E989" s="106"/>
      <c r="F989" s="107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6"/>
    </row>
    <row r="990" ht="15.75" customHeight="1">
      <c r="A990" s="109"/>
      <c r="B990" s="104"/>
      <c r="C990" s="104"/>
      <c r="D990" s="105"/>
      <c r="E990" s="106"/>
      <c r="F990" s="107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6"/>
    </row>
    <row r="991" ht="15.75" customHeight="1">
      <c r="A991" s="109"/>
      <c r="B991" s="104"/>
      <c r="C991" s="104"/>
      <c r="D991" s="105"/>
      <c r="E991" s="106"/>
      <c r="F991" s="107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6"/>
    </row>
    <row r="992" ht="15.75" customHeight="1">
      <c r="A992" s="109"/>
      <c r="B992" s="104"/>
      <c r="C992" s="104"/>
      <c r="D992" s="105"/>
      <c r="E992" s="106"/>
      <c r="F992" s="107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6"/>
    </row>
    <row r="993" ht="15.75" customHeight="1">
      <c r="A993" s="109"/>
      <c r="B993" s="104"/>
      <c r="C993" s="104"/>
      <c r="D993" s="105"/>
      <c r="E993" s="106"/>
      <c r="F993" s="107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6"/>
    </row>
    <row r="994" ht="15.75" customHeight="1">
      <c r="A994" s="109"/>
      <c r="B994" s="104"/>
      <c r="C994" s="104"/>
      <c r="D994" s="105"/>
      <c r="E994" s="106"/>
      <c r="F994" s="107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6"/>
    </row>
    <row r="995" ht="15.75" customHeight="1">
      <c r="A995" s="109"/>
      <c r="B995" s="104"/>
      <c r="C995" s="104"/>
      <c r="D995" s="105"/>
      <c r="E995" s="106"/>
      <c r="F995" s="107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6"/>
    </row>
    <row r="996" ht="15.75" customHeight="1">
      <c r="A996" s="109"/>
      <c r="B996" s="104"/>
      <c r="C996" s="104"/>
      <c r="D996" s="105"/>
      <c r="E996" s="106"/>
      <c r="F996" s="107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6"/>
    </row>
    <row r="997" ht="15.75" customHeight="1">
      <c r="A997" s="109"/>
      <c r="B997" s="104"/>
      <c r="C997" s="104"/>
      <c r="D997" s="105"/>
      <c r="E997" s="106"/>
      <c r="F997" s="107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6"/>
    </row>
    <row r="998" ht="15.75" customHeight="1">
      <c r="A998" s="109"/>
      <c r="B998" s="104"/>
      <c r="C998" s="104"/>
      <c r="D998" s="105"/>
      <c r="E998" s="106"/>
      <c r="F998" s="107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6"/>
    </row>
    <row r="999" ht="15.75" customHeight="1">
      <c r="A999" s="109"/>
      <c r="B999" s="104"/>
      <c r="C999" s="104"/>
      <c r="D999" s="105"/>
      <c r="E999" s="106"/>
      <c r="F999" s="107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6"/>
    </row>
    <row r="1000" ht="15.75" customHeight="1">
      <c r="A1000" s="109"/>
      <c r="B1000" s="104"/>
      <c r="C1000" s="104"/>
      <c r="D1000" s="105"/>
      <c r="E1000" s="106"/>
      <c r="F1000" s="107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6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1.22" defaultRowHeight="15.0"/>
  <cols>
    <col customWidth="1" min="1" max="1" width="22.78"/>
    <col customWidth="1" min="2" max="2" width="16.44"/>
    <col customWidth="1" min="3" max="3" width="13.44"/>
    <col customWidth="1" min="4" max="4" width="14.11"/>
    <col customWidth="1" min="5" max="7" width="16.78"/>
    <col customWidth="1" min="8" max="8" width="17.33"/>
    <col customWidth="1" min="9" max="11" width="16.78"/>
    <col customWidth="1" min="12" max="12" width="20.0"/>
    <col customWidth="1" min="13" max="15" width="16.78"/>
    <col customWidth="1" min="16" max="16" width="22.78"/>
    <col customWidth="1" min="17" max="17" width="22.33"/>
    <col customWidth="1" min="18" max="18" width="98.89"/>
  </cols>
  <sheetData>
    <row r="1" ht="15.75" customHeight="1">
      <c r="A1" s="25" t="s">
        <v>28</v>
      </c>
      <c r="B1" s="26"/>
      <c r="C1" s="26"/>
      <c r="D1" s="27"/>
      <c r="E1" s="28"/>
      <c r="F1" s="29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28"/>
    </row>
    <row r="2" ht="15.75" customHeight="1">
      <c r="A2" s="31" t="s">
        <v>29</v>
      </c>
      <c r="B2" s="26"/>
      <c r="C2" s="26"/>
      <c r="D2" s="27"/>
      <c r="E2" s="28"/>
      <c r="F2" s="29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28"/>
    </row>
    <row r="3" ht="15.75" customHeight="1">
      <c r="A3" s="32" t="s">
        <v>30</v>
      </c>
      <c r="B3" s="26"/>
      <c r="C3" s="26"/>
      <c r="D3" s="27"/>
      <c r="E3" s="28"/>
      <c r="F3" s="29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28"/>
    </row>
    <row r="4" ht="21.75" customHeight="1">
      <c r="A4" s="33" t="s">
        <v>31</v>
      </c>
      <c r="B4" s="136" t="s">
        <v>140</v>
      </c>
      <c r="C4" s="26"/>
      <c r="D4" s="27"/>
      <c r="E4" s="28"/>
      <c r="F4" s="29"/>
      <c r="G4" s="30"/>
      <c r="H4" s="30"/>
      <c r="I4" s="35"/>
      <c r="J4" s="30"/>
      <c r="K4" s="30"/>
      <c r="L4" s="30"/>
      <c r="M4" s="30"/>
      <c r="N4" s="30"/>
      <c r="O4" s="30"/>
      <c r="P4" s="30"/>
      <c r="Q4" s="30"/>
      <c r="R4" s="28"/>
    </row>
    <row r="5" ht="24.0" customHeight="1">
      <c r="A5" s="36"/>
      <c r="B5" s="37" t="s">
        <v>32</v>
      </c>
      <c r="C5" s="38">
        <v>51.0</v>
      </c>
      <c r="D5" s="27"/>
      <c r="E5" s="28"/>
      <c r="F5" s="29"/>
      <c r="G5" s="30"/>
      <c r="H5" s="39"/>
      <c r="I5" s="35" t="s">
        <v>33</v>
      </c>
      <c r="J5" s="30"/>
      <c r="K5" s="30"/>
      <c r="L5" s="30"/>
      <c r="M5" s="30"/>
      <c r="N5" s="30"/>
      <c r="O5" s="30"/>
      <c r="P5" s="30"/>
      <c r="Q5" s="30"/>
      <c r="R5" s="39"/>
    </row>
    <row r="6" ht="15.75" customHeight="1">
      <c r="A6" s="40"/>
      <c r="B6" s="26"/>
      <c r="C6" s="26"/>
      <c r="D6" s="27"/>
      <c r="E6" s="28"/>
      <c r="F6" s="29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28"/>
    </row>
    <row r="7" ht="15.75" customHeight="1">
      <c r="A7" s="40"/>
      <c r="B7" s="26"/>
      <c r="C7" s="26"/>
      <c r="D7" s="27"/>
      <c r="E7" s="28"/>
      <c r="F7" s="29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28"/>
    </row>
    <row r="8" ht="15.75" customHeight="1">
      <c r="A8" s="40"/>
      <c r="B8" s="26"/>
      <c r="C8" s="26"/>
      <c r="D8" s="27"/>
      <c r="E8" s="28"/>
      <c r="F8" s="29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28"/>
    </row>
    <row r="9" ht="15.75" customHeight="1">
      <c r="A9" s="40"/>
      <c r="B9" s="26"/>
      <c r="C9" s="26"/>
      <c r="D9" s="27"/>
      <c r="E9" s="28"/>
      <c r="F9" s="29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28"/>
    </row>
    <row r="10" ht="78.75" customHeight="1">
      <c r="A10" s="41" t="s">
        <v>34</v>
      </c>
      <c r="B10" s="42" t="s">
        <v>35</v>
      </c>
      <c r="C10" s="42" t="s">
        <v>36</v>
      </c>
      <c r="D10" s="42" t="s">
        <v>37</v>
      </c>
      <c r="E10" s="43" t="s">
        <v>38</v>
      </c>
      <c r="F10" s="44" t="s">
        <v>39</v>
      </c>
      <c r="G10" s="45" t="s">
        <v>40</v>
      </c>
      <c r="H10" s="45" t="s">
        <v>41</v>
      </c>
      <c r="I10" s="45" t="s">
        <v>42</v>
      </c>
      <c r="J10" s="45" t="s">
        <v>43</v>
      </c>
      <c r="K10" s="45" t="s">
        <v>44</v>
      </c>
      <c r="L10" s="45" t="s">
        <v>45</v>
      </c>
      <c r="M10" s="45" t="s">
        <v>46</v>
      </c>
      <c r="N10" s="45" t="s">
        <v>43</v>
      </c>
      <c r="O10" s="45" t="s">
        <v>44</v>
      </c>
      <c r="P10" s="46" t="s">
        <v>47</v>
      </c>
      <c r="Q10" s="46" t="s">
        <v>48</v>
      </c>
      <c r="R10" s="44" t="s">
        <v>49</v>
      </c>
    </row>
    <row r="11" ht="15.75" customHeight="1">
      <c r="A11" s="150">
        <v>45662.0</v>
      </c>
      <c r="B11" s="171"/>
      <c r="C11" s="152" t="str">
        <f t="shared" ref="C11:C75" si="1">IF(B11=0,"",B11/C$5)</f>
        <v/>
      </c>
      <c r="D11" s="154"/>
      <c r="E11" s="154" t="str">
        <f t="shared" ref="E11:E14" si="2">IFERROR(D11/B11,"")</f>
        <v/>
      </c>
      <c r="F11" s="154"/>
      <c r="G11" s="155" t="str">
        <f t="shared" ref="G11:G13" si="3">IFERROR(F11/D11,"")</f>
        <v/>
      </c>
      <c r="H11" s="156"/>
      <c r="I11" s="156"/>
      <c r="J11" s="154"/>
      <c r="K11" s="152"/>
      <c r="L11" s="156"/>
      <c r="M11" s="156"/>
      <c r="N11" s="152"/>
      <c r="O11" s="152"/>
      <c r="P11" s="156"/>
      <c r="Q11" s="156"/>
      <c r="R11" s="157" t="s">
        <v>50</v>
      </c>
    </row>
    <row r="12" ht="15.75" customHeight="1">
      <c r="A12" s="158">
        <f t="shared" ref="A12:A14" si="4">A11+7</f>
        <v>45669</v>
      </c>
      <c r="B12" s="171"/>
      <c r="C12" s="152" t="str">
        <f t="shared" si="1"/>
        <v/>
      </c>
      <c r="D12" s="154"/>
      <c r="E12" s="154" t="str">
        <f t="shared" si="2"/>
        <v/>
      </c>
      <c r="F12" s="154"/>
      <c r="G12" s="155" t="str">
        <f t="shared" si="3"/>
        <v/>
      </c>
      <c r="H12" s="159"/>
      <c r="I12" s="159"/>
      <c r="J12" s="154"/>
      <c r="K12" s="152"/>
      <c r="L12" s="159"/>
      <c r="M12" s="159"/>
      <c r="N12" s="152"/>
      <c r="O12" s="152"/>
      <c r="P12" s="159"/>
      <c r="Q12" s="159"/>
      <c r="R12" s="160"/>
    </row>
    <row r="13" ht="15.75" customHeight="1">
      <c r="A13" s="158">
        <f t="shared" si="4"/>
        <v>45676</v>
      </c>
      <c r="B13" s="171"/>
      <c r="C13" s="152" t="str">
        <f t="shared" si="1"/>
        <v/>
      </c>
      <c r="D13" s="154"/>
      <c r="E13" s="154" t="str">
        <f t="shared" si="2"/>
        <v/>
      </c>
      <c r="F13" s="154"/>
      <c r="G13" s="155" t="str">
        <f t="shared" si="3"/>
        <v/>
      </c>
      <c r="H13" s="159"/>
      <c r="I13" s="159"/>
      <c r="J13" s="154"/>
      <c r="K13" s="152"/>
      <c r="L13" s="159"/>
      <c r="M13" s="159"/>
      <c r="N13" s="152"/>
      <c r="O13" s="152"/>
      <c r="P13" s="159"/>
      <c r="Q13" s="159"/>
      <c r="R13" s="160"/>
    </row>
    <row r="14" ht="15.75" customHeight="1">
      <c r="A14" s="158">
        <f t="shared" si="4"/>
        <v>45683</v>
      </c>
      <c r="B14" s="171"/>
      <c r="C14" s="152" t="str">
        <f t="shared" si="1"/>
        <v/>
      </c>
      <c r="D14" s="154"/>
      <c r="E14" s="154" t="str">
        <f t="shared" si="2"/>
        <v/>
      </c>
      <c r="F14" s="154"/>
      <c r="G14" s="155"/>
      <c r="H14" s="161"/>
      <c r="I14" s="161"/>
      <c r="J14" s="154"/>
      <c r="K14" s="152"/>
      <c r="L14" s="159"/>
      <c r="M14" s="159"/>
      <c r="N14" s="152"/>
      <c r="O14" s="152"/>
      <c r="P14" s="159"/>
      <c r="Q14" s="159"/>
      <c r="R14" s="160"/>
    </row>
    <row r="15" ht="15.75" customHeight="1">
      <c r="A15" s="158" t="s">
        <v>51</v>
      </c>
      <c r="B15" s="151"/>
      <c r="C15" s="152" t="str">
        <f t="shared" si="1"/>
        <v/>
      </c>
      <c r="D15" s="153"/>
      <c r="E15" s="162"/>
      <c r="F15" s="153"/>
      <c r="G15" s="163" t="str">
        <f t="shared" ref="G15:G75" si="6">IFERROR(F15/D15,"")</f>
        <v/>
      </c>
      <c r="H15" s="154"/>
      <c r="I15" s="153"/>
      <c r="J15" s="154" t="str">
        <f>IF(H15=0,"",H15-I15)</f>
        <v/>
      </c>
      <c r="K15" s="152" t="str">
        <f>IFERROR((H15-I15)/H15,"")</f>
        <v/>
      </c>
      <c r="L15" s="154"/>
      <c r="M15" s="153"/>
      <c r="N15" s="154" t="str">
        <f>IF(L15=0,"",L15-M15)</f>
        <v/>
      </c>
      <c r="O15" s="152" t="str">
        <f>IFERROR((L15-M15)/L15,"")</f>
        <v/>
      </c>
      <c r="P15" s="154">
        <f t="shared" ref="P15:Q15" si="5">H15-L15</f>
        <v>0</v>
      </c>
      <c r="Q15" s="154">
        <f t="shared" si="5"/>
        <v>0</v>
      </c>
      <c r="R15" s="160"/>
    </row>
    <row r="16" ht="15.75" customHeight="1">
      <c r="A16" s="158">
        <f>A14+7</f>
        <v>45690</v>
      </c>
      <c r="B16" s="171"/>
      <c r="C16" s="152" t="str">
        <f t="shared" si="1"/>
        <v/>
      </c>
      <c r="D16" s="154"/>
      <c r="E16" s="154" t="str">
        <f t="shared" ref="E16:E19" si="7">IFERROR(D16/B16,"")</f>
        <v/>
      </c>
      <c r="F16" s="154"/>
      <c r="G16" s="164" t="str">
        <f t="shared" si="6"/>
        <v/>
      </c>
      <c r="H16" s="165"/>
      <c r="I16" s="166"/>
      <c r="J16" s="167"/>
      <c r="K16" s="168"/>
      <c r="L16" s="166"/>
      <c r="M16" s="166"/>
      <c r="N16" s="169"/>
      <c r="O16" s="152"/>
      <c r="P16" s="166"/>
      <c r="Q16" s="166"/>
      <c r="R16" s="160"/>
    </row>
    <row r="17" ht="15.75" customHeight="1">
      <c r="A17" s="158">
        <f t="shared" ref="A17:A19" si="8">A16+7</f>
        <v>45697</v>
      </c>
      <c r="B17" s="171"/>
      <c r="C17" s="152" t="str">
        <f t="shared" si="1"/>
        <v/>
      </c>
      <c r="D17" s="154"/>
      <c r="E17" s="154" t="str">
        <f t="shared" si="7"/>
        <v/>
      </c>
      <c r="F17" s="154"/>
      <c r="G17" s="155" t="str">
        <f t="shared" si="6"/>
        <v/>
      </c>
      <c r="H17" s="170"/>
      <c r="I17" s="170"/>
      <c r="J17" s="154"/>
      <c r="K17" s="152"/>
      <c r="L17" s="170"/>
      <c r="M17" s="170"/>
      <c r="N17" s="152"/>
      <c r="O17" s="152"/>
      <c r="P17" s="170"/>
      <c r="Q17" s="170"/>
      <c r="R17" s="160"/>
    </row>
    <row r="18" ht="15.75" customHeight="1">
      <c r="A18" s="158">
        <f t="shared" si="8"/>
        <v>45704</v>
      </c>
      <c r="B18" s="171"/>
      <c r="C18" s="152" t="str">
        <f t="shared" si="1"/>
        <v/>
      </c>
      <c r="D18" s="154"/>
      <c r="E18" s="154" t="str">
        <f t="shared" si="7"/>
        <v/>
      </c>
      <c r="F18" s="154"/>
      <c r="G18" s="155" t="str">
        <f t="shared" si="6"/>
        <v/>
      </c>
      <c r="H18" s="159"/>
      <c r="I18" s="159"/>
      <c r="J18" s="154"/>
      <c r="K18" s="152"/>
      <c r="L18" s="159"/>
      <c r="M18" s="159"/>
      <c r="N18" s="152"/>
      <c r="O18" s="152"/>
      <c r="P18" s="159"/>
      <c r="Q18" s="159"/>
      <c r="R18" s="160"/>
    </row>
    <row r="19" ht="15.75" customHeight="1">
      <c r="A19" s="158">
        <f t="shared" si="8"/>
        <v>45711</v>
      </c>
      <c r="B19" s="171"/>
      <c r="C19" s="152" t="str">
        <f t="shared" si="1"/>
        <v/>
      </c>
      <c r="D19" s="154"/>
      <c r="E19" s="154" t="str">
        <f t="shared" si="7"/>
        <v/>
      </c>
      <c r="F19" s="154"/>
      <c r="G19" s="155" t="str">
        <f t="shared" si="6"/>
        <v/>
      </c>
      <c r="H19" s="161"/>
      <c r="I19" s="161"/>
      <c r="J19" s="154"/>
      <c r="K19" s="152"/>
      <c r="L19" s="159"/>
      <c r="M19" s="159"/>
      <c r="N19" s="152"/>
      <c r="O19" s="152"/>
      <c r="P19" s="159"/>
      <c r="Q19" s="159"/>
      <c r="R19" s="160"/>
    </row>
    <row r="20" ht="15.75" customHeight="1">
      <c r="A20" s="158" t="s">
        <v>51</v>
      </c>
      <c r="B20" s="151"/>
      <c r="C20" s="152" t="str">
        <f t="shared" si="1"/>
        <v/>
      </c>
      <c r="D20" s="153"/>
      <c r="E20" s="154"/>
      <c r="F20" s="153"/>
      <c r="G20" s="163" t="str">
        <f t="shared" si="6"/>
        <v/>
      </c>
      <c r="H20" s="154"/>
      <c r="I20" s="153"/>
      <c r="J20" s="154" t="str">
        <f>IF(H20=0,"",H20-I20)</f>
        <v/>
      </c>
      <c r="K20" s="152" t="str">
        <f>IFERROR((H20-I20)/H20,"")</f>
        <v/>
      </c>
      <c r="L20" s="154"/>
      <c r="M20" s="153"/>
      <c r="N20" s="154" t="str">
        <f>IF(L20=0,"",L20-M20)</f>
        <v/>
      </c>
      <c r="O20" s="152" t="str">
        <f>IFERROR((L20-M20)/L20,"")</f>
        <v/>
      </c>
      <c r="P20" s="154">
        <f t="shared" ref="P20:Q20" si="9">H20-L20</f>
        <v>0</v>
      </c>
      <c r="Q20" s="154">
        <f t="shared" si="9"/>
        <v>0</v>
      </c>
      <c r="R20" s="160"/>
    </row>
    <row r="21" ht="15.75" customHeight="1">
      <c r="A21" s="158">
        <f>A19+7</f>
        <v>45718</v>
      </c>
      <c r="B21" s="171"/>
      <c r="C21" s="152" t="str">
        <f t="shared" si="1"/>
        <v/>
      </c>
      <c r="D21" s="154"/>
      <c r="E21" s="154" t="str">
        <f t="shared" ref="E21:E25" si="10">IFERROR(D21/B21,"")</f>
        <v/>
      </c>
      <c r="F21" s="154"/>
      <c r="G21" s="163" t="str">
        <f t="shared" si="6"/>
        <v/>
      </c>
      <c r="H21" s="172"/>
      <c r="I21" s="173"/>
      <c r="J21" s="154"/>
      <c r="K21" s="168"/>
      <c r="L21" s="165"/>
      <c r="M21" s="166"/>
      <c r="N21" s="169"/>
      <c r="O21" s="152"/>
      <c r="P21" s="165"/>
      <c r="Q21" s="166"/>
      <c r="R21" s="160"/>
    </row>
    <row r="22" ht="15.75" customHeight="1">
      <c r="A22" s="158">
        <f t="shared" ref="A22:A25" si="11">A21+7</f>
        <v>45725</v>
      </c>
      <c r="B22" s="171"/>
      <c r="C22" s="152" t="str">
        <f t="shared" si="1"/>
        <v/>
      </c>
      <c r="D22" s="154"/>
      <c r="E22" s="154" t="str">
        <f t="shared" si="10"/>
        <v/>
      </c>
      <c r="F22" s="154"/>
      <c r="G22" s="155" t="str">
        <f t="shared" si="6"/>
        <v/>
      </c>
      <c r="H22" s="170"/>
      <c r="I22" s="170"/>
      <c r="J22" s="154"/>
      <c r="K22" s="152"/>
      <c r="L22" s="170"/>
      <c r="M22" s="170"/>
      <c r="N22" s="152"/>
      <c r="O22" s="152"/>
      <c r="P22" s="170"/>
      <c r="Q22" s="170"/>
      <c r="R22" s="160"/>
    </row>
    <row r="23" ht="15.75" customHeight="1">
      <c r="A23" s="158">
        <f t="shared" si="11"/>
        <v>45732</v>
      </c>
      <c r="B23" s="171"/>
      <c r="C23" s="152" t="str">
        <f t="shared" si="1"/>
        <v/>
      </c>
      <c r="D23" s="154"/>
      <c r="E23" s="154" t="str">
        <f t="shared" si="10"/>
        <v/>
      </c>
      <c r="F23" s="154"/>
      <c r="G23" s="155" t="str">
        <f t="shared" si="6"/>
        <v/>
      </c>
      <c r="H23" s="159"/>
      <c r="I23" s="159"/>
      <c r="J23" s="154"/>
      <c r="K23" s="152"/>
      <c r="L23" s="159"/>
      <c r="M23" s="159"/>
      <c r="N23" s="152"/>
      <c r="O23" s="152"/>
      <c r="P23" s="159"/>
      <c r="Q23" s="159"/>
      <c r="R23" s="160"/>
    </row>
    <row r="24" ht="15.75" customHeight="1">
      <c r="A24" s="158">
        <f t="shared" si="11"/>
        <v>45739</v>
      </c>
      <c r="B24" s="171"/>
      <c r="C24" s="152" t="str">
        <f t="shared" si="1"/>
        <v/>
      </c>
      <c r="D24" s="154"/>
      <c r="E24" s="154" t="str">
        <f t="shared" si="10"/>
        <v/>
      </c>
      <c r="F24" s="154"/>
      <c r="G24" s="155" t="str">
        <f t="shared" si="6"/>
        <v/>
      </c>
      <c r="H24" s="159"/>
      <c r="I24" s="159"/>
      <c r="J24" s="154"/>
      <c r="K24" s="152"/>
      <c r="L24" s="159"/>
      <c r="M24" s="159"/>
      <c r="N24" s="152"/>
      <c r="O24" s="152"/>
      <c r="P24" s="159"/>
      <c r="Q24" s="159"/>
      <c r="R24" s="160"/>
    </row>
    <row r="25" ht="15.75" customHeight="1">
      <c r="A25" s="158">
        <f t="shared" si="11"/>
        <v>45746</v>
      </c>
      <c r="B25" s="171"/>
      <c r="C25" s="152" t="str">
        <f t="shared" si="1"/>
        <v/>
      </c>
      <c r="D25" s="154"/>
      <c r="E25" s="154" t="str">
        <f t="shared" si="10"/>
        <v/>
      </c>
      <c r="F25" s="154"/>
      <c r="G25" s="155" t="str">
        <f t="shared" si="6"/>
        <v/>
      </c>
      <c r="H25" s="174"/>
      <c r="I25" s="174"/>
      <c r="J25" s="154"/>
      <c r="K25" s="152"/>
      <c r="L25" s="174"/>
      <c r="M25" s="174"/>
      <c r="N25" s="152"/>
      <c r="O25" s="152"/>
      <c r="P25" s="174"/>
      <c r="Q25" s="174"/>
      <c r="R25" s="160"/>
    </row>
    <row r="26" ht="15.75" customHeight="1">
      <c r="A26" s="158" t="s">
        <v>51</v>
      </c>
      <c r="B26" s="151"/>
      <c r="C26" s="152" t="str">
        <f t="shared" si="1"/>
        <v/>
      </c>
      <c r="D26" s="153"/>
      <c r="E26" s="154"/>
      <c r="F26" s="153"/>
      <c r="G26" s="163" t="str">
        <f t="shared" si="6"/>
        <v/>
      </c>
      <c r="H26" s="159"/>
      <c r="I26" s="153"/>
      <c r="J26" s="154" t="str">
        <f>IF(H26=0,"",H26-I26)</f>
        <v/>
      </c>
      <c r="K26" s="152" t="str">
        <f>IFERROR((H26-I26)/H26,"")</f>
        <v/>
      </c>
      <c r="L26" s="159"/>
      <c r="M26" s="153"/>
      <c r="N26" s="154" t="str">
        <f>IF(L26=0,"",L26-M26)</f>
        <v/>
      </c>
      <c r="O26" s="152" t="str">
        <f>IFERROR((L26-M26)/L26,"")</f>
        <v/>
      </c>
      <c r="P26" s="159">
        <f t="shared" ref="P26:Q26" si="12">H26-L26</f>
        <v>0</v>
      </c>
      <c r="Q26" s="159">
        <f t="shared" si="12"/>
        <v>0</v>
      </c>
      <c r="R26" s="160"/>
    </row>
    <row r="27" ht="15.75" customHeight="1">
      <c r="A27" s="158">
        <f>A25+7</f>
        <v>45753</v>
      </c>
      <c r="B27" s="171"/>
      <c r="C27" s="152" t="str">
        <f t="shared" si="1"/>
        <v/>
      </c>
      <c r="D27" s="154"/>
      <c r="E27" s="154" t="str">
        <f t="shared" ref="E27:E30" si="13">IFERROR(D27/B27,"")</f>
        <v/>
      </c>
      <c r="F27" s="154"/>
      <c r="G27" s="155" t="str">
        <f t="shared" si="6"/>
        <v/>
      </c>
      <c r="H27" s="156"/>
      <c r="I27" s="156"/>
      <c r="J27" s="154"/>
      <c r="K27" s="152"/>
      <c r="L27" s="156"/>
      <c r="M27" s="156"/>
      <c r="N27" s="152"/>
      <c r="O27" s="152"/>
      <c r="P27" s="156"/>
      <c r="Q27" s="156"/>
      <c r="R27" s="160"/>
    </row>
    <row r="28" ht="15.75" customHeight="1">
      <c r="A28" s="158">
        <f t="shared" ref="A28:A30" si="14">A27+7</f>
        <v>45760</v>
      </c>
      <c r="B28" s="171"/>
      <c r="C28" s="152" t="str">
        <f t="shared" si="1"/>
        <v/>
      </c>
      <c r="D28" s="154"/>
      <c r="E28" s="154" t="str">
        <f t="shared" si="13"/>
        <v/>
      </c>
      <c r="F28" s="154"/>
      <c r="G28" s="155" t="str">
        <f t="shared" si="6"/>
        <v/>
      </c>
      <c r="H28" s="159"/>
      <c r="I28" s="159"/>
      <c r="J28" s="154"/>
      <c r="K28" s="152"/>
      <c r="L28" s="159"/>
      <c r="M28" s="159"/>
      <c r="N28" s="152"/>
      <c r="O28" s="152"/>
      <c r="P28" s="159"/>
      <c r="Q28" s="159"/>
      <c r="R28" s="160"/>
    </row>
    <row r="29" ht="15.75" customHeight="1">
      <c r="A29" s="158">
        <f t="shared" si="14"/>
        <v>45767</v>
      </c>
      <c r="B29" s="171"/>
      <c r="C29" s="152" t="str">
        <f t="shared" si="1"/>
        <v/>
      </c>
      <c r="D29" s="154"/>
      <c r="E29" s="154" t="str">
        <f t="shared" si="13"/>
        <v/>
      </c>
      <c r="F29" s="154"/>
      <c r="G29" s="155" t="str">
        <f t="shared" si="6"/>
        <v/>
      </c>
      <c r="H29" s="159"/>
      <c r="I29" s="159"/>
      <c r="J29" s="154"/>
      <c r="K29" s="152"/>
      <c r="L29" s="159"/>
      <c r="M29" s="159"/>
      <c r="N29" s="152"/>
      <c r="O29" s="152"/>
      <c r="P29" s="159"/>
      <c r="Q29" s="159"/>
      <c r="R29" s="160"/>
    </row>
    <row r="30" ht="15.75" customHeight="1">
      <c r="A30" s="158">
        <f t="shared" si="14"/>
        <v>45774</v>
      </c>
      <c r="B30" s="171"/>
      <c r="C30" s="152" t="str">
        <f t="shared" si="1"/>
        <v/>
      </c>
      <c r="D30" s="154"/>
      <c r="E30" s="154" t="str">
        <f t="shared" si="13"/>
        <v/>
      </c>
      <c r="F30" s="154"/>
      <c r="G30" s="155" t="str">
        <f t="shared" si="6"/>
        <v/>
      </c>
      <c r="H30" s="174"/>
      <c r="I30" s="174"/>
      <c r="J30" s="154"/>
      <c r="K30" s="152"/>
      <c r="L30" s="174"/>
      <c r="M30" s="174"/>
      <c r="N30" s="152"/>
      <c r="O30" s="152"/>
      <c r="P30" s="174"/>
      <c r="Q30" s="174"/>
      <c r="R30" s="160"/>
    </row>
    <row r="31" ht="15.75" customHeight="1">
      <c r="A31" s="158" t="s">
        <v>51</v>
      </c>
      <c r="B31" s="151"/>
      <c r="C31" s="152" t="str">
        <f t="shared" si="1"/>
        <v/>
      </c>
      <c r="D31" s="153"/>
      <c r="E31" s="154"/>
      <c r="F31" s="153"/>
      <c r="G31" s="163" t="str">
        <f t="shared" si="6"/>
        <v/>
      </c>
      <c r="H31" s="159"/>
      <c r="I31" s="153"/>
      <c r="J31" s="154" t="str">
        <f>IF(H31=0,"",H31-I31)</f>
        <v/>
      </c>
      <c r="K31" s="152" t="str">
        <f>IFERROR((H31-I31)/H31,"")</f>
        <v/>
      </c>
      <c r="L31" s="159"/>
      <c r="M31" s="153"/>
      <c r="N31" s="154" t="str">
        <f>IF(L31=0,"",L31-M31)</f>
        <v/>
      </c>
      <c r="O31" s="152" t="str">
        <f>IFERROR((L31-M31)/L31,"")</f>
        <v/>
      </c>
      <c r="P31" s="159">
        <f t="shared" ref="P31:Q31" si="15">H31-L31</f>
        <v>0</v>
      </c>
      <c r="Q31" s="159">
        <f t="shared" si="15"/>
        <v>0</v>
      </c>
      <c r="R31" s="160"/>
    </row>
    <row r="32" ht="15.75" customHeight="1">
      <c r="A32" s="158">
        <f>A30+7</f>
        <v>45781</v>
      </c>
      <c r="B32" s="171"/>
      <c r="C32" s="152" t="str">
        <f t="shared" si="1"/>
        <v/>
      </c>
      <c r="D32" s="154"/>
      <c r="E32" s="154" t="str">
        <f t="shared" ref="E32:E35" si="16">IFERROR(D32/B32,"")</f>
        <v/>
      </c>
      <c r="F32" s="154"/>
      <c r="G32" s="155" t="str">
        <f t="shared" si="6"/>
        <v/>
      </c>
      <c r="H32" s="156"/>
      <c r="I32" s="156"/>
      <c r="J32" s="154"/>
      <c r="K32" s="152"/>
      <c r="L32" s="156"/>
      <c r="M32" s="156"/>
      <c r="N32" s="152"/>
      <c r="O32" s="152"/>
      <c r="P32" s="156"/>
      <c r="Q32" s="156"/>
      <c r="R32" s="160"/>
    </row>
    <row r="33" ht="15.75" customHeight="1">
      <c r="A33" s="158">
        <f t="shared" ref="A33:A35" si="17">A32+7</f>
        <v>45788</v>
      </c>
      <c r="B33" s="171"/>
      <c r="C33" s="152" t="str">
        <f t="shared" si="1"/>
        <v/>
      </c>
      <c r="D33" s="154"/>
      <c r="E33" s="154" t="str">
        <f t="shared" si="16"/>
        <v/>
      </c>
      <c r="F33" s="154"/>
      <c r="G33" s="155" t="str">
        <f t="shared" si="6"/>
        <v/>
      </c>
      <c r="H33" s="159"/>
      <c r="I33" s="159"/>
      <c r="J33" s="154"/>
      <c r="K33" s="152"/>
      <c r="L33" s="159"/>
      <c r="M33" s="159"/>
      <c r="N33" s="152"/>
      <c r="O33" s="152"/>
      <c r="P33" s="159"/>
      <c r="Q33" s="159"/>
      <c r="R33" s="160"/>
    </row>
    <row r="34" ht="15.75" customHeight="1">
      <c r="A34" s="57">
        <f t="shared" si="17"/>
        <v>45795</v>
      </c>
      <c r="B34" s="48">
        <v>49.0</v>
      </c>
      <c r="C34" s="49">
        <f t="shared" si="1"/>
        <v>0.9607843137</v>
      </c>
      <c r="D34" s="50">
        <v>23941.0</v>
      </c>
      <c r="E34" s="51">
        <f t="shared" si="16"/>
        <v>488.5918367</v>
      </c>
      <c r="F34" s="50">
        <v>11888.0</v>
      </c>
      <c r="G34" s="52">
        <f t="shared" si="6"/>
        <v>0.4965540287</v>
      </c>
      <c r="H34" s="58"/>
      <c r="I34" s="58"/>
      <c r="J34" s="54"/>
      <c r="K34" s="55"/>
      <c r="L34" s="58"/>
      <c r="M34" s="58"/>
      <c r="N34" s="55"/>
      <c r="O34" s="55"/>
      <c r="P34" s="58"/>
      <c r="Q34" s="58"/>
      <c r="R34" s="86"/>
    </row>
    <row r="35" ht="15.75" customHeight="1">
      <c r="A35" s="57">
        <f t="shared" si="17"/>
        <v>45802</v>
      </c>
      <c r="B35" s="48">
        <v>48.0</v>
      </c>
      <c r="C35" s="49">
        <f t="shared" si="1"/>
        <v>0.9411764706</v>
      </c>
      <c r="D35" s="50">
        <v>23462.0</v>
      </c>
      <c r="E35" s="51">
        <f t="shared" si="16"/>
        <v>488.7916667</v>
      </c>
      <c r="F35" s="50">
        <v>11888.0</v>
      </c>
      <c r="G35" s="52">
        <f t="shared" si="6"/>
        <v>0.5066916716</v>
      </c>
      <c r="H35" s="60"/>
      <c r="I35" s="60"/>
      <c r="J35" s="54"/>
      <c r="K35" s="55"/>
      <c r="L35" s="58"/>
      <c r="M35" s="58"/>
      <c r="N35" s="55"/>
      <c r="O35" s="55"/>
      <c r="P35" s="58"/>
      <c r="Q35" s="58"/>
      <c r="R35" s="86"/>
    </row>
    <row r="36" ht="15.75" customHeight="1">
      <c r="A36" s="61" t="s">
        <v>51</v>
      </c>
      <c r="B36" s="62">
        <v>43.0</v>
      </c>
      <c r="C36" s="63">
        <f t="shared" si="1"/>
        <v>0.8431372549</v>
      </c>
      <c r="D36" s="64">
        <v>25850.0</v>
      </c>
      <c r="E36" s="70">
        <f>D36/B36</f>
        <v>601.1627907</v>
      </c>
      <c r="F36" s="64">
        <v>25850.0</v>
      </c>
      <c r="G36" s="66">
        <f t="shared" si="6"/>
        <v>1</v>
      </c>
      <c r="H36" s="67">
        <v>21516.0</v>
      </c>
      <c r="I36" s="67">
        <v>12925.0</v>
      </c>
      <c r="J36" s="68">
        <f>IF(H36=0,"",H36-I36)</f>
        <v>8591</v>
      </c>
      <c r="K36" s="69">
        <f>IFERROR((H36-I36)/H36,"")</f>
        <v>0.3992842536</v>
      </c>
      <c r="L36" s="67">
        <v>27028.0</v>
      </c>
      <c r="M36" s="67">
        <v>24704.0</v>
      </c>
      <c r="N36" s="68">
        <f>IF(L36=0,"",L36-M36)</f>
        <v>2324</v>
      </c>
      <c r="O36" s="69">
        <f>IFERROR((L36-M36)/L36,"")</f>
        <v>0.08598490454</v>
      </c>
      <c r="P36" s="70">
        <f t="shared" ref="P36:Q36" si="18">H36-L36</f>
        <v>-5512</v>
      </c>
      <c r="Q36" s="70">
        <f t="shared" si="18"/>
        <v>-11779</v>
      </c>
      <c r="R36" s="71" t="s">
        <v>141</v>
      </c>
    </row>
    <row r="37" ht="15.75" customHeight="1">
      <c r="A37" s="57">
        <f>A35+7</f>
        <v>45809</v>
      </c>
      <c r="B37" s="48">
        <v>47.0</v>
      </c>
      <c r="C37" s="49">
        <f t="shared" si="1"/>
        <v>0.9215686275</v>
      </c>
      <c r="D37" s="50">
        <v>22943.0</v>
      </c>
      <c r="E37" s="51">
        <f t="shared" ref="E37:E41" si="19">IFERROR(D37/B37,"")</f>
        <v>488.1489362</v>
      </c>
      <c r="F37" s="50">
        <v>11489.0</v>
      </c>
      <c r="G37" s="72">
        <f t="shared" si="6"/>
        <v>0.5007627599</v>
      </c>
      <c r="H37" s="74"/>
      <c r="I37" s="80"/>
      <c r="J37" s="75"/>
      <c r="K37" s="55"/>
      <c r="L37" s="60"/>
      <c r="M37" s="60"/>
      <c r="N37" s="55"/>
      <c r="O37" s="55"/>
      <c r="P37" s="60"/>
      <c r="Q37" s="60"/>
      <c r="R37" s="86"/>
    </row>
    <row r="38" ht="15.75" customHeight="1">
      <c r="A38" s="57">
        <f t="shared" ref="A38:A41" si="20">A37+7</f>
        <v>45816</v>
      </c>
      <c r="B38" s="48">
        <v>47.0</v>
      </c>
      <c r="C38" s="49">
        <f t="shared" si="1"/>
        <v>0.9215686275</v>
      </c>
      <c r="D38" s="50">
        <v>22943.0</v>
      </c>
      <c r="E38" s="51">
        <f t="shared" si="19"/>
        <v>488.1489362</v>
      </c>
      <c r="F38" s="50">
        <v>19530.0</v>
      </c>
      <c r="G38" s="52">
        <f t="shared" si="6"/>
        <v>0.8512400296</v>
      </c>
      <c r="H38" s="78"/>
      <c r="I38" s="78"/>
      <c r="J38" s="54"/>
      <c r="K38" s="76"/>
      <c r="L38" s="74"/>
      <c r="M38" s="74"/>
      <c r="N38" s="77"/>
      <c r="O38" s="55"/>
      <c r="P38" s="74"/>
      <c r="Q38" s="74"/>
      <c r="R38" s="86"/>
    </row>
    <row r="39" ht="15.75" customHeight="1">
      <c r="A39" s="57">
        <f t="shared" si="20"/>
        <v>45823</v>
      </c>
      <c r="B39" s="48">
        <v>47.0</v>
      </c>
      <c r="C39" s="49">
        <f t="shared" si="1"/>
        <v>0.9215686275</v>
      </c>
      <c r="D39" s="50">
        <v>22943.0</v>
      </c>
      <c r="E39" s="51">
        <f t="shared" si="19"/>
        <v>488.1489362</v>
      </c>
      <c r="F39" s="50">
        <v>20009.0</v>
      </c>
      <c r="G39" s="52">
        <f t="shared" si="6"/>
        <v>0.8721178573</v>
      </c>
      <c r="H39" s="58"/>
      <c r="I39" s="58"/>
      <c r="J39" s="54"/>
      <c r="K39" s="55"/>
      <c r="L39" s="78"/>
      <c r="M39" s="78"/>
      <c r="N39" s="55"/>
      <c r="O39" s="55"/>
      <c r="P39" s="78"/>
      <c r="Q39" s="78"/>
      <c r="R39" s="86"/>
    </row>
    <row r="40" ht="15.75" customHeight="1">
      <c r="A40" s="57">
        <f t="shared" si="20"/>
        <v>45830</v>
      </c>
      <c r="B40" s="48">
        <v>46.0</v>
      </c>
      <c r="C40" s="49">
        <f t="shared" si="1"/>
        <v>0.9019607843</v>
      </c>
      <c r="D40" s="50">
        <v>22464.0</v>
      </c>
      <c r="E40" s="51">
        <f t="shared" si="19"/>
        <v>488.3478261</v>
      </c>
      <c r="F40" s="50">
        <v>20627.0</v>
      </c>
      <c r="G40" s="52">
        <f t="shared" si="6"/>
        <v>0.9182247151</v>
      </c>
      <c r="H40" s="58"/>
      <c r="I40" s="58"/>
      <c r="J40" s="54"/>
      <c r="K40" s="55"/>
      <c r="L40" s="58"/>
      <c r="M40" s="58"/>
      <c r="N40" s="55"/>
      <c r="O40" s="55"/>
      <c r="P40" s="58"/>
      <c r="Q40" s="58"/>
      <c r="R40" s="86"/>
    </row>
    <row r="41" ht="15.75" customHeight="1">
      <c r="A41" s="57">
        <f t="shared" si="20"/>
        <v>45837</v>
      </c>
      <c r="B41" s="48">
        <v>46.0</v>
      </c>
      <c r="C41" s="49">
        <f t="shared" si="1"/>
        <v>0.9019607843</v>
      </c>
      <c r="D41" s="50">
        <v>22464.0</v>
      </c>
      <c r="E41" s="51">
        <f t="shared" si="19"/>
        <v>488.3478261</v>
      </c>
      <c r="F41" s="50">
        <v>21835.0</v>
      </c>
      <c r="G41" s="52">
        <f t="shared" si="6"/>
        <v>0.9719996439</v>
      </c>
      <c r="H41" s="82"/>
      <c r="I41" s="82"/>
      <c r="J41" s="54"/>
      <c r="K41" s="55"/>
      <c r="L41" s="82"/>
      <c r="M41" s="82"/>
      <c r="N41" s="55"/>
      <c r="O41" s="55"/>
      <c r="P41" s="82"/>
      <c r="Q41" s="82"/>
      <c r="R41" s="86"/>
    </row>
    <row r="42" ht="15.75" customHeight="1">
      <c r="A42" s="61" t="s">
        <v>51</v>
      </c>
      <c r="B42" s="62">
        <v>43.0</v>
      </c>
      <c r="C42" s="63">
        <f t="shared" si="1"/>
        <v>0.8431372549</v>
      </c>
      <c r="D42" s="64">
        <v>25850.0</v>
      </c>
      <c r="E42" s="70">
        <f>D42/B42</f>
        <v>601.1627907</v>
      </c>
      <c r="F42" s="64">
        <v>25850.0</v>
      </c>
      <c r="G42" s="66">
        <f t="shared" si="6"/>
        <v>1</v>
      </c>
      <c r="H42" s="83">
        <v>21381.0</v>
      </c>
      <c r="I42" s="67">
        <v>25850.0</v>
      </c>
      <c r="J42" s="68">
        <f>IF(H42=0,"",H42-I42)</f>
        <v>-4469</v>
      </c>
      <c r="K42" s="69">
        <f>IFERROR((H42-I42)/H42,"")</f>
        <v>-0.2090173519</v>
      </c>
      <c r="L42" s="83">
        <v>22246.0</v>
      </c>
      <c r="M42" s="67">
        <v>24704.0</v>
      </c>
      <c r="N42" s="68">
        <f>IF(L42=0,"",L42-M42)</f>
        <v>-2458</v>
      </c>
      <c r="O42" s="69">
        <f>IFERROR((L42-M42)/L42,"")</f>
        <v>-0.1104917738</v>
      </c>
      <c r="P42" s="84">
        <f t="shared" ref="P42:Q42" si="21">H42-L42</f>
        <v>-865</v>
      </c>
      <c r="Q42" s="84">
        <f t="shared" si="21"/>
        <v>1146</v>
      </c>
      <c r="R42" s="71" t="s">
        <v>142</v>
      </c>
    </row>
    <row r="43" ht="15.75" customHeight="1">
      <c r="A43" s="57">
        <f>A41+7</f>
        <v>45844</v>
      </c>
      <c r="B43" s="48">
        <v>42.0</v>
      </c>
      <c r="C43" s="49">
        <f t="shared" si="1"/>
        <v>0.8235294118</v>
      </c>
      <c r="D43" s="50">
        <v>21912.0</v>
      </c>
      <c r="E43" s="51">
        <f t="shared" ref="E43:E46" si="22">IFERROR(D43/B43,"")</f>
        <v>521.7142857</v>
      </c>
      <c r="F43" s="50">
        <v>21071.0</v>
      </c>
      <c r="G43" s="52">
        <f t="shared" si="6"/>
        <v>0.9616192041</v>
      </c>
      <c r="H43" s="53"/>
      <c r="I43" s="53"/>
      <c r="J43" s="54"/>
      <c r="K43" s="55"/>
      <c r="L43" s="53"/>
      <c r="M43" s="53"/>
      <c r="N43" s="55"/>
      <c r="O43" s="55"/>
      <c r="P43" s="53"/>
      <c r="Q43" s="53"/>
      <c r="R43" s="86"/>
    </row>
    <row r="44" ht="15.75" customHeight="1">
      <c r="A44" s="57">
        <f t="shared" ref="A44:A46" si="23">A43+7</f>
        <v>45851</v>
      </c>
      <c r="B44" s="48">
        <v>42.0</v>
      </c>
      <c r="C44" s="49">
        <f t="shared" si="1"/>
        <v>0.8235294118</v>
      </c>
      <c r="D44" s="50">
        <v>21912.0</v>
      </c>
      <c r="E44" s="51">
        <f t="shared" si="22"/>
        <v>521.7142857</v>
      </c>
      <c r="F44" s="50">
        <v>21577.0</v>
      </c>
      <c r="G44" s="52">
        <f t="shared" si="6"/>
        <v>0.9847115736</v>
      </c>
      <c r="H44" s="58"/>
      <c r="I44" s="58"/>
      <c r="J44" s="54"/>
      <c r="K44" s="55"/>
      <c r="L44" s="58"/>
      <c r="M44" s="58"/>
      <c r="N44" s="55"/>
      <c r="O44" s="55"/>
      <c r="P44" s="58"/>
      <c r="Q44" s="58"/>
      <c r="R44" s="86"/>
    </row>
    <row r="45" ht="15.75" customHeight="1">
      <c r="A45" s="57">
        <f t="shared" si="23"/>
        <v>45858</v>
      </c>
      <c r="B45" s="48">
        <v>42.0</v>
      </c>
      <c r="C45" s="49">
        <f t="shared" si="1"/>
        <v>0.8235294118</v>
      </c>
      <c r="D45" s="50">
        <v>21912.0</v>
      </c>
      <c r="E45" s="51">
        <f t="shared" si="22"/>
        <v>521.7142857</v>
      </c>
      <c r="F45" s="50">
        <v>21577.0</v>
      </c>
      <c r="G45" s="52">
        <f t="shared" si="6"/>
        <v>0.9847115736</v>
      </c>
      <c r="H45" s="58"/>
      <c r="I45" s="58"/>
      <c r="J45" s="54"/>
      <c r="K45" s="55"/>
      <c r="L45" s="58"/>
      <c r="M45" s="58"/>
      <c r="N45" s="55"/>
      <c r="O45" s="55"/>
      <c r="P45" s="58"/>
      <c r="Q45" s="58"/>
      <c r="R45" s="86"/>
    </row>
    <row r="46" ht="15.75" customHeight="1">
      <c r="A46" s="57">
        <f t="shared" si="23"/>
        <v>45865</v>
      </c>
      <c r="B46" s="48">
        <v>42.0</v>
      </c>
      <c r="C46" s="49">
        <f t="shared" si="1"/>
        <v>0.8235294118</v>
      </c>
      <c r="D46" s="50">
        <v>21912.0</v>
      </c>
      <c r="E46" s="51">
        <f t="shared" si="22"/>
        <v>521.7142857</v>
      </c>
      <c r="F46" s="50">
        <v>22077.0</v>
      </c>
      <c r="G46" s="52">
        <f t="shared" si="6"/>
        <v>1.00753012</v>
      </c>
      <c r="H46" s="82"/>
      <c r="I46" s="82"/>
      <c r="J46" s="54"/>
      <c r="K46" s="55"/>
      <c r="L46" s="82"/>
      <c r="M46" s="82"/>
      <c r="N46" s="55"/>
      <c r="O46" s="55"/>
      <c r="P46" s="82"/>
      <c r="Q46" s="82"/>
      <c r="R46" s="86"/>
    </row>
    <row r="47" ht="15.75" customHeight="1">
      <c r="A47" s="61" t="s">
        <v>51</v>
      </c>
      <c r="B47" s="62">
        <v>43.0</v>
      </c>
      <c r="C47" s="63">
        <f t="shared" si="1"/>
        <v>0.8431372549</v>
      </c>
      <c r="D47" s="64">
        <v>25850.0</v>
      </c>
      <c r="E47" s="70">
        <f>D47/B47</f>
        <v>601.1627907</v>
      </c>
      <c r="F47" s="64">
        <v>25850.0</v>
      </c>
      <c r="G47" s="66">
        <f t="shared" si="6"/>
        <v>1</v>
      </c>
      <c r="H47" s="83">
        <v>22956.0</v>
      </c>
      <c r="I47" s="67">
        <v>25850.0</v>
      </c>
      <c r="J47" s="68">
        <f>IF(H47=0,"",H47-I47)</f>
        <v>-2894</v>
      </c>
      <c r="K47" s="69">
        <f>IFERROR((H47-I47)/H47,"")</f>
        <v>-0.1260672591</v>
      </c>
      <c r="L47" s="83">
        <v>18831.0</v>
      </c>
      <c r="M47" s="67">
        <v>24704.0</v>
      </c>
      <c r="N47" s="68">
        <f>IF(L47=0,"",L47-M47)</f>
        <v>-5873</v>
      </c>
      <c r="O47" s="69">
        <f>IFERROR((L47-M47)/L47,"")</f>
        <v>-0.3118793479</v>
      </c>
      <c r="P47" s="84">
        <f t="shared" ref="P47:Q47" si="24">H47-L47</f>
        <v>4125</v>
      </c>
      <c r="Q47" s="84">
        <f t="shared" si="24"/>
        <v>1146</v>
      </c>
      <c r="R47" s="71" t="s">
        <v>143</v>
      </c>
    </row>
    <row r="48" ht="15.75" customHeight="1">
      <c r="A48" s="57">
        <f>A46+7</f>
        <v>45872</v>
      </c>
      <c r="B48" s="48">
        <v>40.0</v>
      </c>
      <c r="C48" s="49">
        <f t="shared" si="1"/>
        <v>0.7843137255</v>
      </c>
      <c r="D48" s="50">
        <v>21433.0</v>
      </c>
      <c r="E48" s="51">
        <f t="shared" ref="E48:E52" si="25">IFERROR(D48/B48,"")</f>
        <v>535.825</v>
      </c>
      <c r="F48" s="50">
        <v>18082.0</v>
      </c>
      <c r="G48" s="52">
        <f t="shared" si="6"/>
        <v>0.8436523119</v>
      </c>
      <c r="H48" s="53"/>
      <c r="I48" s="53"/>
      <c r="J48" s="54"/>
      <c r="K48" s="55"/>
      <c r="L48" s="53"/>
      <c r="M48" s="53"/>
      <c r="N48" s="55"/>
      <c r="O48" s="55"/>
      <c r="P48" s="53"/>
      <c r="Q48" s="53"/>
      <c r="R48" s="86"/>
    </row>
    <row r="49" ht="15.75" customHeight="1">
      <c r="A49" s="57">
        <f t="shared" ref="A49:A52" si="26">A48+7</f>
        <v>45879</v>
      </c>
      <c r="B49" s="48">
        <v>40.0</v>
      </c>
      <c r="C49" s="49">
        <f t="shared" si="1"/>
        <v>0.7843137255</v>
      </c>
      <c r="D49" s="50">
        <v>20908.0</v>
      </c>
      <c r="E49" s="51">
        <f t="shared" si="25"/>
        <v>522.7</v>
      </c>
      <c r="F49" s="50">
        <v>20182.0</v>
      </c>
      <c r="G49" s="52">
        <f t="shared" si="6"/>
        <v>0.9652764492</v>
      </c>
      <c r="H49" s="58"/>
      <c r="I49" s="58"/>
      <c r="J49" s="54"/>
      <c r="K49" s="55"/>
      <c r="L49" s="58"/>
      <c r="M49" s="58"/>
      <c r="N49" s="55"/>
      <c r="O49" s="55"/>
      <c r="P49" s="58"/>
      <c r="Q49" s="58"/>
      <c r="R49" s="86"/>
    </row>
    <row r="50" ht="15.75" customHeight="1">
      <c r="A50" s="57">
        <f t="shared" si="26"/>
        <v>45886</v>
      </c>
      <c r="B50" s="48">
        <v>40.0</v>
      </c>
      <c r="C50" s="49">
        <f t="shared" si="1"/>
        <v>0.7843137255</v>
      </c>
      <c r="D50" s="50">
        <v>20908.0</v>
      </c>
      <c r="E50" s="51">
        <f t="shared" si="25"/>
        <v>522.7</v>
      </c>
      <c r="F50" s="50">
        <v>20444.0</v>
      </c>
      <c r="G50" s="52">
        <f t="shared" si="6"/>
        <v>0.9778075378</v>
      </c>
      <c r="H50" s="58"/>
      <c r="I50" s="58"/>
      <c r="J50" s="54"/>
      <c r="K50" s="55"/>
      <c r="L50" s="58"/>
      <c r="M50" s="58"/>
      <c r="N50" s="55"/>
      <c r="O50" s="55"/>
      <c r="P50" s="58"/>
      <c r="Q50" s="58"/>
      <c r="R50" s="86"/>
    </row>
    <row r="51" ht="15.75" customHeight="1">
      <c r="A51" s="57">
        <f t="shared" si="26"/>
        <v>45893</v>
      </c>
      <c r="B51" s="48">
        <v>40.0</v>
      </c>
      <c r="C51" s="49">
        <f t="shared" si="1"/>
        <v>0.7843137255</v>
      </c>
      <c r="D51" s="50">
        <v>20908.0</v>
      </c>
      <c r="E51" s="51">
        <f t="shared" si="25"/>
        <v>522.7</v>
      </c>
      <c r="F51" s="50">
        <v>21168.0</v>
      </c>
      <c r="G51" s="52">
        <f t="shared" si="6"/>
        <v>1.012435431</v>
      </c>
      <c r="H51" s="60"/>
      <c r="I51" s="60"/>
      <c r="J51" s="54"/>
      <c r="K51" s="55"/>
      <c r="L51" s="58"/>
      <c r="M51" s="58"/>
      <c r="N51" s="55"/>
      <c r="O51" s="55"/>
      <c r="P51" s="58"/>
      <c r="Q51" s="58"/>
      <c r="R51" s="86"/>
    </row>
    <row r="52" ht="15.75" customHeight="1">
      <c r="A52" s="57">
        <f t="shared" si="26"/>
        <v>45900</v>
      </c>
      <c r="B52" s="48">
        <v>40.0</v>
      </c>
      <c r="C52" s="49">
        <f t="shared" si="1"/>
        <v>0.7843137255</v>
      </c>
      <c r="D52" s="50">
        <v>20908.0</v>
      </c>
      <c r="E52" s="51">
        <f t="shared" si="25"/>
        <v>522.7</v>
      </c>
      <c r="F52" s="50">
        <v>21168.0</v>
      </c>
      <c r="G52" s="72">
        <f t="shared" si="6"/>
        <v>1.012435431</v>
      </c>
      <c r="H52" s="74"/>
      <c r="I52" s="80"/>
      <c r="J52" s="75"/>
      <c r="K52" s="55"/>
      <c r="L52" s="60"/>
      <c r="M52" s="60"/>
      <c r="N52" s="55"/>
      <c r="O52" s="55"/>
      <c r="P52" s="60"/>
      <c r="Q52" s="60"/>
      <c r="R52" s="86"/>
    </row>
    <row r="53">
      <c r="A53" s="61" t="s">
        <v>51</v>
      </c>
      <c r="B53" s="62">
        <v>43.0</v>
      </c>
      <c r="C53" s="63">
        <f t="shared" si="1"/>
        <v>0.8431372549</v>
      </c>
      <c r="D53" s="64">
        <v>25850.0</v>
      </c>
      <c r="E53" s="70">
        <f>D53/B53</f>
        <v>601.1627907</v>
      </c>
      <c r="F53" s="64">
        <v>25850.0</v>
      </c>
      <c r="G53" s="66">
        <f t="shared" si="6"/>
        <v>1</v>
      </c>
      <c r="H53" s="67">
        <v>21549.0</v>
      </c>
      <c r="I53" s="67">
        <v>25850.0</v>
      </c>
      <c r="J53" s="68">
        <f>IF(H53=0,"",H53-I53)</f>
        <v>-4301</v>
      </c>
      <c r="K53" s="69">
        <f>IFERROR((H53-I53)/H53,"")</f>
        <v>-0.1995916284</v>
      </c>
      <c r="L53" s="67">
        <v>18551.0</v>
      </c>
      <c r="M53" s="67">
        <v>24704.0</v>
      </c>
      <c r="N53" s="68">
        <f>IF(L53=0,"",L53-M53)</f>
        <v>-6153</v>
      </c>
      <c r="O53" s="69">
        <f>IFERROR((L53-M53)/L53,"")</f>
        <v>-0.3316802329</v>
      </c>
      <c r="P53" s="70">
        <f t="shared" ref="P53:Q53" si="27">H53-L53</f>
        <v>2998</v>
      </c>
      <c r="Q53" s="70">
        <f t="shared" si="27"/>
        <v>1146</v>
      </c>
      <c r="R53" s="71" t="s">
        <v>144</v>
      </c>
    </row>
    <row r="54" ht="15.75" customHeight="1">
      <c r="A54" s="57">
        <f>A52+7</f>
        <v>45907</v>
      </c>
      <c r="B54" s="48">
        <v>38.0</v>
      </c>
      <c r="C54" s="49">
        <f t="shared" si="1"/>
        <v>0.7450980392</v>
      </c>
      <c r="D54" s="50">
        <v>19695.0</v>
      </c>
      <c r="E54" s="51">
        <f t="shared" ref="E54:E57" si="28">IFERROR(D54/B54,"")</f>
        <v>518.2894737</v>
      </c>
      <c r="F54" s="50">
        <v>18623.0</v>
      </c>
      <c r="G54" s="52">
        <f t="shared" si="6"/>
        <v>0.9455699416</v>
      </c>
      <c r="H54" s="78"/>
      <c r="I54" s="78"/>
      <c r="J54" s="54"/>
      <c r="K54" s="76"/>
      <c r="L54" s="74"/>
      <c r="M54" s="74"/>
      <c r="N54" s="77"/>
      <c r="O54" s="55"/>
      <c r="P54" s="74"/>
      <c r="Q54" s="74"/>
      <c r="R54" s="86"/>
    </row>
    <row r="55" ht="15.75" customHeight="1">
      <c r="A55" s="57">
        <f t="shared" ref="A55:A57" si="29">A54+7</f>
        <v>45914</v>
      </c>
      <c r="B55" s="48">
        <v>38.0</v>
      </c>
      <c r="C55" s="49">
        <f t="shared" si="1"/>
        <v>0.7450980392</v>
      </c>
      <c r="D55" s="50">
        <v>19695.0</v>
      </c>
      <c r="E55" s="51">
        <f t="shared" si="28"/>
        <v>518.2894737</v>
      </c>
      <c r="F55" s="50">
        <v>18623.0</v>
      </c>
      <c r="G55" s="52">
        <f t="shared" si="6"/>
        <v>0.9455699416</v>
      </c>
      <c r="H55" s="58"/>
      <c r="I55" s="58"/>
      <c r="J55" s="54"/>
      <c r="K55" s="55"/>
      <c r="L55" s="78"/>
      <c r="M55" s="78"/>
      <c r="N55" s="55"/>
      <c r="O55" s="55"/>
      <c r="P55" s="78"/>
      <c r="Q55" s="78"/>
      <c r="R55" s="86"/>
    </row>
    <row r="56" ht="15.75" customHeight="1">
      <c r="A56" s="57">
        <f t="shared" si="29"/>
        <v>45921</v>
      </c>
      <c r="B56" s="48">
        <v>38.0</v>
      </c>
      <c r="C56" s="49">
        <f t="shared" si="1"/>
        <v>0.7450980392</v>
      </c>
      <c r="D56" s="50">
        <v>20444.0</v>
      </c>
      <c r="E56" s="51">
        <f t="shared" si="28"/>
        <v>538</v>
      </c>
      <c r="F56" s="50">
        <v>19521.0</v>
      </c>
      <c r="G56" s="52">
        <f t="shared" si="6"/>
        <v>0.9548522794</v>
      </c>
      <c r="H56" s="58"/>
      <c r="I56" s="58"/>
      <c r="J56" s="54"/>
      <c r="K56" s="55"/>
      <c r="L56" s="58"/>
      <c r="M56" s="58"/>
      <c r="N56" s="55"/>
      <c r="O56" s="55"/>
      <c r="P56" s="58"/>
      <c r="Q56" s="58"/>
      <c r="R56" s="86"/>
    </row>
    <row r="57" ht="15.75" customHeight="1">
      <c r="A57" s="57">
        <f t="shared" si="29"/>
        <v>45928</v>
      </c>
      <c r="B57" s="48">
        <v>40.0</v>
      </c>
      <c r="C57" s="49">
        <f t="shared" si="1"/>
        <v>0.7843137255</v>
      </c>
      <c r="D57" s="50">
        <v>22034.0</v>
      </c>
      <c r="E57" s="51">
        <f t="shared" si="28"/>
        <v>550.85</v>
      </c>
      <c r="F57" s="50">
        <v>21111.0</v>
      </c>
      <c r="G57" s="52">
        <f t="shared" si="6"/>
        <v>0.9581101933</v>
      </c>
      <c r="H57" s="82"/>
      <c r="I57" s="82"/>
      <c r="J57" s="54"/>
      <c r="K57" s="55"/>
      <c r="L57" s="82"/>
      <c r="M57" s="82"/>
      <c r="N57" s="55"/>
      <c r="O57" s="55"/>
      <c r="P57" s="82"/>
      <c r="Q57" s="82"/>
      <c r="R57" s="86"/>
    </row>
    <row r="58" ht="15.75" customHeight="1">
      <c r="A58" s="61" t="s">
        <v>51</v>
      </c>
      <c r="B58" s="62">
        <v>43.0</v>
      </c>
      <c r="C58" s="63">
        <f t="shared" si="1"/>
        <v>0.8431372549</v>
      </c>
      <c r="D58" s="64">
        <v>25850.0</v>
      </c>
      <c r="E58" s="70">
        <f>D58/B58</f>
        <v>601.1627907</v>
      </c>
      <c r="F58" s="64">
        <v>25850.0</v>
      </c>
      <c r="G58" s="66">
        <f t="shared" si="6"/>
        <v>1</v>
      </c>
      <c r="H58" s="83">
        <v>22385.0</v>
      </c>
      <c r="I58" s="67">
        <v>25850.0</v>
      </c>
      <c r="J58" s="68">
        <f>IF(H58=0,"",H58-I58)</f>
        <v>-3465</v>
      </c>
      <c r="K58" s="69">
        <f>IFERROR((H58-I58)/H58,"")</f>
        <v>-0.1547911548</v>
      </c>
      <c r="L58" s="83">
        <v>18401.0</v>
      </c>
      <c r="M58" s="67">
        <v>24704.0</v>
      </c>
      <c r="N58" s="68">
        <f>IF(L58=0,"",L58-M58)</f>
        <v>-6303</v>
      </c>
      <c r="O58" s="69">
        <f>IFERROR((L58-M58)/L58,"")</f>
        <v>-0.3425357318</v>
      </c>
      <c r="P58" s="84">
        <f t="shared" ref="P58:Q58" si="30">H58-L58</f>
        <v>3984</v>
      </c>
      <c r="Q58" s="84">
        <f t="shared" si="30"/>
        <v>1146</v>
      </c>
      <c r="R58" s="71" t="s">
        <v>145</v>
      </c>
    </row>
    <row r="59" ht="15.75" customHeight="1">
      <c r="A59" s="57">
        <f>A57+7</f>
        <v>45935</v>
      </c>
      <c r="B59" s="48">
        <v>39.0</v>
      </c>
      <c r="C59" s="88">
        <f t="shared" si="1"/>
        <v>0.7647058824</v>
      </c>
      <c r="D59" s="50">
        <v>21779.0</v>
      </c>
      <c r="E59" s="51">
        <f t="shared" ref="E59:E62" si="31">IFERROR(D59/B59,"")</f>
        <v>558.4358974</v>
      </c>
      <c r="F59" s="50">
        <v>18345.0</v>
      </c>
      <c r="G59" s="52">
        <f t="shared" si="6"/>
        <v>0.8423251756</v>
      </c>
      <c r="H59" s="53"/>
      <c r="I59" s="53"/>
      <c r="J59" s="54"/>
      <c r="K59" s="55"/>
      <c r="L59" s="53"/>
      <c r="M59" s="53"/>
      <c r="N59" s="55"/>
      <c r="O59" s="55"/>
      <c r="P59" s="53"/>
      <c r="Q59" s="53"/>
      <c r="R59" s="86"/>
    </row>
    <row r="60" ht="15.75" customHeight="1">
      <c r="A60" s="57">
        <f t="shared" ref="A60:A62" si="32">A59+7</f>
        <v>45942</v>
      </c>
      <c r="B60" s="48">
        <v>40.0</v>
      </c>
      <c r="C60" s="88">
        <f t="shared" si="1"/>
        <v>0.7843137255</v>
      </c>
      <c r="D60" s="50">
        <v>22574.0</v>
      </c>
      <c r="E60" s="51">
        <f t="shared" si="31"/>
        <v>564.35</v>
      </c>
      <c r="F60" s="50">
        <v>19485.0</v>
      </c>
      <c r="G60" s="52">
        <f t="shared" si="6"/>
        <v>0.8631611589</v>
      </c>
      <c r="H60" s="58"/>
      <c r="I60" s="58"/>
      <c r="J60" s="54"/>
      <c r="K60" s="55"/>
      <c r="L60" s="58"/>
      <c r="M60" s="58"/>
      <c r="N60" s="55"/>
      <c r="O60" s="55"/>
      <c r="P60" s="58"/>
      <c r="Q60" s="58"/>
      <c r="R60" s="86"/>
    </row>
    <row r="61" ht="15.75" customHeight="1">
      <c r="A61" s="57">
        <f t="shared" si="32"/>
        <v>45949</v>
      </c>
      <c r="B61" s="48">
        <v>40.0</v>
      </c>
      <c r="C61" s="88">
        <f t="shared" si="1"/>
        <v>0.7843137255</v>
      </c>
      <c r="D61" s="50">
        <v>22574.0</v>
      </c>
      <c r="E61" s="51">
        <f t="shared" si="31"/>
        <v>564.35</v>
      </c>
      <c r="F61" s="50">
        <v>20280.0</v>
      </c>
      <c r="G61" s="52">
        <f t="shared" si="6"/>
        <v>0.8983786657</v>
      </c>
      <c r="H61" s="58"/>
      <c r="I61" s="58"/>
      <c r="J61" s="54"/>
      <c r="K61" s="55"/>
      <c r="L61" s="58"/>
      <c r="M61" s="58"/>
      <c r="N61" s="55"/>
      <c r="O61" s="55"/>
      <c r="P61" s="58"/>
      <c r="Q61" s="58"/>
      <c r="R61" s="86"/>
    </row>
    <row r="62" ht="15.75" customHeight="1">
      <c r="A62" s="57">
        <f t="shared" si="32"/>
        <v>45956</v>
      </c>
      <c r="B62" s="48">
        <v>41.0</v>
      </c>
      <c r="C62" s="88">
        <f t="shared" si="1"/>
        <v>0.8039215686</v>
      </c>
      <c r="D62" s="50">
        <v>23369.0</v>
      </c>
      <c r="E62" s="51">
        <f t="shared" si="31"/>
        <v>569.9756098</v>
      </c>
      <c r="F62" s="50">
        <v>20865.0</v>
      </c>
      <c r="G62" s="52">
        <f t="shared" si="6"/>
        <v>0.8928495015</v>
      </c>
      <c r="H62" s="60"/>
      <c r="I62" s="60"/>
      <c r="J62" s="54"/>
      <c r="K62" s="55"/>
      <c r="L62" s="58"/>
      <c r="M62" s="58"/>
      <c r="N62" s="55"/>
      <c r="O62" s="55"/>
      <c r="P62" s="58"/>
      <c r="Q62" s="58"/>
      <c r="R62" s="86"/>
    </row>
    <row r="63" ht="15.75" customHeight="1">
      <c r="A63" s="61" t="s">
        <v>51</v>
      </c>
      <c r="B63" s="62">
        <v>43.0</v>
      </c>
      <c r="C63" s="63">
        <f t="shared" si="1"/>
        <v>0.8431372549</v>
      </c>
      <c r="D63" s="64">
        <v>25850.0</v>
      </c>
      <c r="E63" s="70">
        <f>D63/B63</f>
        <v>601.1627907</v>
      </c>
      <c r="F63" s="64">
        <v>25850.0</v>
      </c>
      <c r="G63" s="66">
        <f t="shared" si="6"/>
        <v>1</v>
      </c>
      <c r="H63" s="67">
        <v>20786.0</v>
      </c>
      <c r="I63" s="67">
        <v>25850.0</v>
      </c>
      <c r="J63" s="68">
        <f>IF(H63=0,"",H63-I63)</f>
        <v>-5064</v>
      </c>
      <c r="K63" s="69">
        <f>IFERROR((H63-I63)/H63,"")</f>
        <v>-0.2436255172</v>
      </c>
      <c r="L63" s="67">
        <v>19275.0</v>
      </c>
      <c r="M63" s="67">
        <v>24704.0</v>
      </c>
      <c r="N63" s="68">
        <f>IF(L63=0,"",L63-M63)</f>
        <v>-5429</v>
      </c>
      <c r="O63" s="69">
        <f>IFERROR((L63-M63)/L63,"")</f>
        <v>-0.2816601816</v>
      </c>
      <c r="P63" s="70">
        <f t="shared" ref="P63:Q63" si="33">H63-L63</f>
        <v>1511</v>
      </c>
      <c r="Q63" s="70">
        <f t="shared" si="33"/>
        <v>1146</v>
      </c>
      <c r="R63" s="71" t="s">
        <v>146</v>
      </c>
    </row>
    <row r="64" ht="15.75" customHeight="1">
      <c r="A64" s="57">
        <f>A62+7</f>
        <v>45963</v>
      </c>
      <c r="B64" s="48">
        <v>41.0</v>
      </c>
      <c r="C64" s="88">
        <f t="shared" si="1"/>
        <v>0.8039215686</v>
      </c>
      <c r="D64" s="50">
        <v>23369.0</v>
      </c>
      <c r="E64" s="51">
        <f t="shared" ref="E64:E68" si="34">IFERROR(D64/B64,"")</f>
        <v>569.9756098</v>
      </c>
      <c r="F64" s="50">
        <v>17518.0</v>
      </c>
      <c r="G64" s="79">
        <f t="shared" si="6"/>
        <v>0.7496255723</v>
      </c>
      <c r="H64" s="81"/>
      <c r="I64" s="74"/>
      <c r="J64" s="75"/>
      <c r="K64" s="55"/>
      <c r="L64" s="60"/>
      <c r="M64" s="60"/>
      <c r="N64" s="55"/>
      <c r="O64" s="55"/>
      <c r="P64" s="60"/>
      <c r="Q64" s="60"/>
      <c r="R64" s="86"/>
    </row>
    <row r="65" ht="15.75" customHeight="1">
      <c r="A65" s="57">
        <f t="shared" ref="A65:A68" si="35">A64+7</f>
        <v>45970</v>
      </c>
      <c r="B65" s="48">
        <v>41.0</v>
      </c>
      <c r="C65" s="88">
        <f t="shared" si="1"/>
        <v>0.8039215686</v>
      </c>
      <c r="D65" s="50">
        <v>23369.0</v>
      </c>
      <c r="E65" s="51">
        <f t="shared" si="34"/>
        <v>569.9756098</v>
      </c>
      <c r="F65" s="50">
        <v>20624.0</v>
      </c>
      <c r="G65" s="52">
        <f t="shared" si="6"/>
        <v>0.8825366939</v>
      </c>
      <c r="H65" s="78"/>
      <c r="I65" s="78"/>
      <c r="J65" s="54"/>
      <c r="K65" s="55"/>
      <c r="L65" s="80"/>
      <c r="M65" s="81"/>
      <c r="N65" s="55"/>
      <c r="O65" s="55"/>
      <c r="P65" s="80"/>
      <c r="Q65" s="81"/>
      <c r="R65" s="86"/>
    </row>
    <row r="66" ht="15.75" customHeight="1">
      <c r="A66" s="57">
        <f t="shared" si="35"/>
        <v>45977</v>
      </c>
      <c r="B66" s="48">
        <v>40.0</v>
      </c>
      <c r="C66" s="88">
        <f t="shared" si="1"/>
        <v>0.7843137255</v>
      </c>
      <c r="D66" s="50">
        <v>22844.0</v>
      </c>
      <c r="E66" s="51">
        <f t="shared" si="34"/>
        <v>571.1</v>
      </c>
      <c r="F66" s="50">
        <v>20624.0</v>
      </c>
      <c r="G66" s="52">
        <f t="shared" si="6"/>
        <v>0.902819121</v>
      </c>
      <c r="H66" s="58"/>
      <c r="I66" s="58"/>
      <c r="J66" s="54"/>
      <c r="K66" s="55"/>
      <c r="L66" s="78"/>
      <c r="M66" s="78"/>
      <c r="N66" s="55"/>
      <c r="O66" s="55"/>
      <c r="P66" s="78"/>
      <c r="Q66" s="78"/>
      <c r="R66" s="86"/>
    </row>
    <row r="67" ht="15.75" customHeight="1">
      <c r="A67" s="57">
        <f t="shared" si="35"/>
        <v>45984</v>
      </c>
      <c r="B67" s="48">
        <v>40.0</v>
      </c>
      <c r="C67" s="88">
        <f t="shared" si="1"/>
        <v>0.7843137255</v>
      </c>
      <c r="D67" s="50">
        <v>22844.0</v>
      </c>
      <c r="E67" s="51">
        <f t="shared" si="34"/>
        <v>571.1</v>
      </c>
      <c r="F67" s="50">
        <v>21364.0</v>
      </c>
      <c r="G67" s="52">
        <f t="shared" si="6"/>
        <v>0.9352127473</v>
      </c>
      <c r="H67" s="60"/>
      <c r="I67" s="60"/>
      <c r="J67" s="54"/>
      <c r="K67" s="55"/>
      <c r="L67" s="58"/>
      <c r="M67" s="58"/>
      <c r="N67" s="55"/>
      <c r="O67" s="55"/>
      <c r="P67" s="58"/>
      <c r="Q67" s="58"/>
      <c r="R67" s="86"/>
    </row>
    <row r="68" ht="15.75" customHeight="1">
      <c r="A68" s="57">
        <f t="shared" si="35"/>
        <v>45991</v>
      </c>
      <c r="B68" s="48">
        <v>40.0</v>
      </c>
      <c r="C68" s="88">
        <f t="shared" si="1"/>
        <v>0.7843137255</v>
      </c>
      <c r="D68" s="50">
        <v>22844.0</v>
      </c>
      <c r="E68" s="51">
        <f t="shared" si="34"/>
        <v>571.1</v>
      </c>
      <c r="F68" s="50">
        <v>22493.0</v>
      </c>
      <c r="G68" s="79">
        <f t="shared" si="6"/>
        <v>0.9846349151</v>
      </c>
      <c r="H68" s="81"/>
      <c r="I68" s="74"/>
      <c r="J68" s="75"/>
      <c r="K68" s="55"/>
      <c r="L68" s="60"/>
      <c r="M68" s="60"/>
      <c r="N68" s="55"/>
      <c r="O68" s="55"/>
      <c r="P68" s="60"/>
      <c r="Q68" s="60"/>
      <c r="R68" s="86"/>
    </row>
    <row r="69" ht="15.75" customHeight="1">
      <c r="A69" s="61" t="s">
        <v>51</v>
      </c>
      <c r="B69" s="62">
        <v>43.0</v>
      </c>
      <c r="C69" s="63">
        <f t="shared" si="1"/>
        <v>0.8431372549</v>
      </c>
      <c r="D69" s="64">
        <v>25850.0</v>
      </c>
      <c r="E69" s="70">
        <f>D69/B69</f>
        <v>601.1627907</v>
      </c>
      <c r="F69" s="64">
        <v>25850.0</v>
      </c>
      <c r="G69" s="66">
        <f t="shared" si="6"/>
        <v>1</v>
      </c>
      <c r="H69" s="70"/>
      <c r="I69" s="67">
        <v>25850.0</v>
      </c>
      <c r="J69" s="68" t="str">
        <f>IF(H69=0,"",H69-I69)</f>
        <v/>
      </c>
      <c r="K69" s="69" t="str">
        <f>IFERROR((H69-I69)/H69,"")</f>
        <v/>
      </c>
      <c r="L69" s="70"/>
      <c r="M69" s="67">
        <v>24704.0</v>
      </c>
      <c r="N69" s="68" t="str">
        <f>IF(L69=0,"",L69-M69)</f>
        <v/>
      </c>
      <c r="O69" s="69" t="str">
        <f>IFERROR((L69-M69)/L69,"")</f>
        <v/>
      </c>
      <c r="P69" s="70">
        <f t="shared" ref="P69:Q69" si="36">H69-L69</f>
        <v>0</v>
      </c>
      <c r="Q69" s="70">
        <f t="shared" si="36"/>
        <v>1146</v>
      </c>
      <c r="R69" s="87"/>
    </row>
    <row r="70" ht="15.75" customHeight="1">
      <c r="A70" s="57">
        <f>A68+7</f>
        <v>45998</v>
      </c>
      <c r="B70" s="89" t="s">
        <v>147</v>
      </c>
      <c r="C70" s="88">
        <f t="shared" si="1"/>
        <v>0.7843137255</v>
      </c>
      <c r="D70" s="50">
        <v>22844.0</v>
      </c>
      <c r="E70" s="51">
        <f t="shared" ref="E70:E73" si="37">IFERROR(D70/B70,"")</f>
        <v>571.1</v>
      </c>
      <c r="F70" s="50">
        <v>20192.0</v>
      </c>
      <c r="G70" s="52">
        <f t="shared" si="6"/>
        <v>0.8839082472</v>
      </c>
      <c r="H70" s="78"/>
      <c r="I70" s="78"/>
      <c r="J70" s="54"/>
      <c r="K70" s="76"/>
      <c r="L70" s="74"/>
      <c r="M70" s="74"/>
      <c r="N70" s="77"/>
      <c r="O70" s="55"/>
      <c r="P70" s="74"/>
      <c r="Q70" s="74"/>
      <c r="R70" s="86"/>
    </row>
    <row r="71" ht="15.75" customHeight="1">
      <c r="A71" s="57">
        <f t="shared" ref="A71:A73" si="38">A70+7</f>
        <v>46005</v>
      </c>
      <c r="B71" s="89" t="s">
        <v>147</v>
      </c>
      <c r="C71" s="88">
        <f t="shared" si="1"/>
        <v>0.7843137255</v>
      </c>
      <c r="D71" s="50">
        <v>22844.0</v>
      </c>
      <c r="E71" s="51">
        <f t="shared" si="37"/>
        <v>571.1</v>
      </c>
      <c r="F71" s="50">
        <v>20412.0</v>
      </c>
      <c r="G71" s="52">
        <f t="shared" si="6"/>
        <v>0.8935387848</v>
      </c>
      <c r="H71" s="58"/>
      <c r="I71" s="58"/>
      <c r="J71" s="54"/>
      <c r="K71" s="55"/>
      <c r="L71" s="78"/>
      <c r="M71" s="78"/>
      <c r="N71" s="55"/>
      <c r="O71" s="55"/>
      <c r="P71" s="78"/>
      <c r="Q71" s="78"/>
      <c r="R71" s="86"/>
    </row>
    <row r="72" ht="15.75" customHeight="1">
      <c r="A72" s="57">
        <f t="shared" si="38"/>
        <v>46012</v>
      </c>
      <c r="B72" s="90"/>
      <c r="C72" s="88" t="str">
        <f t="shared" si="1"/>
        <v/>
      </c>
      <c r="D72" s="91"/>
      <c r="E72" s="51" t="str">
        <f t="shared" si="37"/>
        <v/>
      </c>
      <c r="F72" s="91"/>
      <c r="G72" s="52" t="str">
        <f t="shared" si="6"/>
        <v/>
      </c>
      <c r="H72" s="58"/>
      <c r="I72" s="58"/>
      <c r="J72" s="54"/>
      <c r="K72" s="55"/>
      <c r="L72" s="58"/>
      <c r="M72" s="58"/>
      <c r="N72" s="55"/>
      <c r="O72" s="55"/>
      <c r="P72" s="58"/>
      <c r="Q72" s="58"/>
      <c r="R72" s="86"/>
    </row>
    <row r="73" ht="15.75" customHeight="1">
      <c r="A73" s="57">
        <f t="shared" si="38"/>
        <v>46019</v>
      </c>
      <c r="B73" s="90"/>
      <c r="C73" s="88" t="str">
        <f t="shared" si="1"/>
        <v/>
      </c>
      <c r="D73" s="91"/>
      <c r="E73" s="51" t="str">
        <f t="shared" si="37"/>
        <v/>
      </c>
      <c r="F73" s="91"/>
      <c r="G73" s="52" t="str">
        <f t="shared" si="6"/>
        <v/>
      </c>
      <c r="H73" s="82"/>
      <c r="I73" s="82"/>
      <c r="J73" s="54"/>
      <c r="K73" s="55"/>
      <c r="L73" s="82"/>
      <c r="M73" s="82"/>
      <c r="N73" s="55"/>
      <c r="O73" s="55"/>
      <c r="P73" s="82"/>
      <c r="Q73" s="82"/>
      <c r="R73" s="86"/>
    </row>
    <row r="74" ht="15.75" customHeight="1">
      <c r="A74" s="61" t="s">
        <v>51</v>
      </c>
      <c r="B74" s="62">
        <v>43.0</v>
      </c>
      <c r="C74" s="63">
        <f t="shared" si="1"/>
        <v>0.8431372549</v>
      </c>
      <c r="D74" s="64">
        <v>25850.0</v>
      </c>
      <c r="E74" s="70">
        <f>D74/B74</f>
        <v>601.1627907</v>
      </c>
      <c r="F74" s="64">
        <v>25850.0</v>
      </c>
      <c r="G74" s="66">
        <f t="shared" si="6"/>
        <v>1</v>
      </c>
      <c r="H74" s="92"/>
      <c r="I74" s="67">
        <v>25850.0</v>
      </c>
      <c r="J74" s="68" t="str">
        <f t="shared" ref="J74:J75" si="41">IF(H74=0,"",H74-I74)</f>
        <v/>
      </c>
      <c r="K74" s="69" t="str">
        <f t="shared" ref="K74:K75" si="42">IFERROR((H74-I74)/H74,"")</f>
        <v/>
      </c>
      <c r="L74" s="92"/>
      <c r="M74" s="67">
        <v>24704.0</v>
      </c>
      <c r="N74" s="68" t="str">
        <f t="shared" ref="N74:N75" si="44">IF(L74=0,"",L74-M74)</f>
        <v/>
      </c>
      <c r="O74" s="69" t="str">
        <f t="shared" ref="O74:O75" si="45">IFERROR((L74-M74)/L74,"")</f>
        <v/>
      </c>
      <c r="P74" s="92">
        <f t="shared" ref="P74:Q74" si="39">H74-L74</f>
        <v>0</v>
      </c>
      <c r="Q74" s="92">
        <f t="shared" si="39"/>
        <v>1146</v>
      </c>
      <c r="R74" s="87"/>
    </row>
    <row r="75" ht="15.75" customHeight="1">
      <c r="A75" s="93" t="s">
        <v>61</v>
      </c>
      <c r="B75" s="94"/>
      <c r="C75" s="95" t="str">
        <f t="shared" si="1"/>
        <v/>
      </c>
      <c r="D75" s="96"/>
      <c r="E75" s="96" t="str">
        <f>IFERROR(D75/B75,"")</f>
        <v/>
      </c>
      <c r="F75" s="96"/>
      <c r="G75" s="97" t="str">
        <f t="shared" si="6"/>
        <v/>
      </c>
      <c r="H75" s="96">
        <f t="shared" ref="H75:I75" si="40">H15+H20+H26+H31+H36+H42+H47+H53+H58+H63+H69+H74</f>
        <v>130573</v>
      </c>
      <c r="I75" s="96">
        <f t="shared" si="40"/>
        <v>193875</v>
      </c>
      <c r="J75" s="96">
        <f t="shared" si="41"/>
        <v>-63302</v>
      </c>
      <c r="K75" s="95">
        <f t="shared" si="42"/>
        <v>-0.4848016052</v>
      </c>
      <c r="L75" s="96">
        <f t="shared" ref="L75:M75" si="43">L15+L20+L26+L31+L36+L42+L47+L53+L58+L63+L69+L74</f>
        <v>124332</v>
      </c>
      <c r="M75" s="96">
        <f t="shared" si="43"/>
        <v>197632</v>
      </c>
      <c r="N75" s="95">
        <f t="shared" si="44"/>
        <v>-73300</v>
      </c>
      <c r="O75" s="95">
        <f t="shared" si="45"/>
        <v>-0.5895505582</v>
      </c>
      <c r="P75" s="96">
        <f t="shared" ref="P75:Q75" si="46">P15+P20+P26+P31+P36+P42+P47+P53+P58+P63+P69+P74</f>
        <v>6241</v>
      </c>
      <c r="Q75" s="96">
        <f t="shared" si="46"/>
        <v>-3757</v>
      </c>
      <c r="R75" s="98"/>
    </row>
    <row r="76" ht="15.75" customHeight="1">
      <c r="A76" s="99" t="s">
        <v>62</v>
      </c>
      <c r="B76" s="100" t="s">
        <v>62</v>
      </c>
      <c r="C76" s="100" t="s">
        <v>62</v>
      </c>
      <c r="D76" s="101" t="s">
        <v>62</v>
      </c>
      <c r="E76" s="102" t="s">
        <v>62</v>
      </c>
      <c r="F76" s="101" t="s">
        <v>62</v>
      </c>
      <c r="G76" s="100" t="s">
        <v>62</v>
      </c>
      <c r="H76" s="102" t="s">
        <v>62</v>
      </c>
      <c r="I76" s="102" t="s">
        <v>62</v>
      </c>
      <c r="J76" s="102" t="s">
        <v>62</v>
      </c>
      <c r="K76" s="100" t="s">
        <v>62</v>
      </c>
      <c r="L76" s="102" t="s">
        <v>62</v>
      </c>
      <c r="M76" s="102" t="s">
        <v>62</v>
      </c>
      <c r="N76" s="100" t="s">
        <v>62</v>
      </c>
      <c r="O76" s="100" t="s">
        <v>62</v>
      </c>
      <c r="P76" s="102" t="s">
        <v>62</v>
      </c>
      <c r="Q76" s="102" t="s">
        <v>62</v>
      </c>
      <c r="R76" s="100" t="s">
        <v>62</v>
      </c>
    </row>
    <row r="77" ht="15.75" customHeight="1">
      <c r="A77" s="103"/>
      <c r="B77" s="104"/>
      <c r="C77" s="104"/>
      <c r="D77" s="105"/>
      <c r="E77" s="106"/>
      <c r="F77" s="107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6"/>
    </row>
    <row r="78" ht="15.75" customHeight="1">
      <c r="A78" s="103"/>
      <c r="B78" s="104"/>
      <c r="C78" s="104"/>
      <c r="D78" s="105"/>
      <c r="E78" s="106"/>
      <c r="F78" s="107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6"/>
    </row>
    <row r="79" ht="15.75" customHeight="1">
      <c r="A79" s="103"/>
      <c r="B79" s="104"/>
      <c r="C79" s="104"/>
      <c r="D79" s="105"/>
      <c r="E79" s="106"/>
      <c r="F79" s="107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6"/>
    </row>
    <row r="80" ht="15.75" customHeight="1">
      <c r="A80" s="103"/>
      <c r="B80" s="104"/>
      <c r="C80" s="104"/>
      <c r="D80" s="105"/>
      <c r="E80" s="106"/>
      <c r="F80" s="107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6"/>
    </row>
    <row r="81" ht="15.75" customHeight="1">
      <c r="A81" s="109"/>
      <c r="B81" s="104"/>
      <c r="C81" s="104"/>
      <c r="D81" s="105"/>
      <c r="E81" s="106"/>
      <c r="F81" s="107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6"/>
    </row>
    <row r="82" ht="15.75" customHeight="1">
      <c r="A82" s="109"/>
      <c r="B82" s="104"/>
      <c r="C82" s="104"/>
      <c r="D82" s="105"/>
      <c r="E82" s="106"/>
      <c r="F82" s="107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6"/>
    </row>
    <row r="83" ht="15.75" customHeight="1">
      <c r="A83" s="109"/>
      <c r="B83" s="104"/>
      <c r="C83" s="104"/>
      <c r="D83" s="105"/>
      <c r="E83" s="106"/>
      <c r="F83" s="107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6"/>
    </row>
    <row r="84" ht="15.75" customHeight="1">
      <c r="A84" s="109"/>
      <c r="B84" s="104"/>
      <c r="C84" s="104"/>
      <c r="D84" s="105"/>
      <c r="E84" s="106"/>
      <c r="F84" s="107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6"/>
    </row>
    <row r="85" ht="15.75" customHeight="1">
      <c r="A85" s="109"/>
      <c r="B85" s="104"/>
      <c r="C85" s="104"/>
      <c r="D85" s="105"/>
      <c r="E85" s="106"/>
      <c r="F85" s="107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6"/>
    </row>
    <row r="86" ht="15.75" customHeight="1">
      <c r="A86" s="109"/>
      <c r="B86" s="104"/>
      <c r="C86" s="104"/>
      <c r="D86" s="105"/>
      <c r="E86" s="106"/>
      <c r="F86" s="107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6"/>
    </row>
    <row r="87" ht="15.75" customHeight="1">
      <c r="A87" s="109"/>
      <c r="B87" s="104"/>
      <c r="C87" s="104"/>
      <c r="D87" s="105"/>
      <c r="E87" s="106"/>
      <c r="F87" s="107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6"/>
    </row>
    <row r="88" ht="15.75" customHeight="1">
      <c r="A88" s="109"/>
      <c r="B88" s="104"/>
      <c r="C88" s="104"/>
      <c r="D88" s="105"/>
      <c r="E88" s="106"/>
      <c r="F88" s="107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6"/>
    </row>
    <row r="89" ht="15.75" customHeight="1">
      <c r="A89" s="109"/>
      <c r="B89" s="104"/>
      <c r="C89" s="104"/>
      <c r="D89" s="105"/>
      <c r="E89" s="106"/>
      <c r="F89" s="107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6"/>
    </row>
    <row r="90" ht="15.75" customHeight="1">
      <c r="A90" s="109"/>
      <c r="B90" s="104"/>
      <c r="C90" s="104"/>
      <c r="D90" s="105"/>
      <c r="E90" s="106"/>
      <c r="F90" s="107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6"/>
    </row>
    <row r="91" ht="15.75" customHeight="1">
      <c r="A91" s="109"/>
      <c r="B91" s="104"/>
      <c r="C91" s="104"/>
      <c r="D91" s="105"/>
      <c r="E91" s="106"/>
      <c r="F91" s="107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6"/>
    </row>
    <row r="92" ht="15.75" customHeight="1">
      <c r="A92" s="109"/>
      <c r="B92" s="104"/>
      <c r="C92" s="104"/>
      <c r="D92" s="105"/>
      <c r="E92" s="106"/>
      <c r="F92" s="107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6"/>
    </row>
    <row r="93" ht="15.75" customHeight="1">
      <c r="A93" s="109"/>
      <c r="B93" s="104"/>
      <c r="C93" s="104"/>
      <c r="D93" s="105"/>
      <c r="E93" s="106"/>
      <c r="F93" s="107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6"/>
    </row>
    <row r="94" ht="15.75" customHeight="1">
      <c r="A94" s="109"/>
      <c r="B94" s="104"/>
      <c r="C94" s="104"/>
      <c r="D94" s="105"/>
      <c r="E94" s="106"/>
      <c r="F94" s="107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6"/>
    </row>
    <row r="95" ht="15.75" customHeight="1">
      <c r="A95" s="109"/>
      <c r="B95" s="104"/>
      <c r="C95" s="104"/>
      <c r="D95" s="105"/>
      <c r="E95" s="106"/>
      <c r="F95" s="107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6"/>
    </row>
    <row r="96" ht="15.75" customHeight="1">
      <c r="A96" s="109"/>
      <c r="B96" s="104"/>
      <c r="C96" s="104"/>
      <c r="D96" s="105"/>
      <c r="E96" s="106"/>
      <c r="F96" s="107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6"/>
    </row>
    <row r="97" ht="15.75" customHeight="1">
      <c r="A97" s="109"/>
      <c r="B97" s="104"/>
      <c r="C97" s="104"/>
      <c r="D97" s="105"/>
      <c r="E97" s="106"/>
      <c r="F97" s="107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6"/>
    </row>
    <row r="98" ht="15.75" customHeight="1">
      <c r="A98" s="109"/>
      <c r="B98" s="104"/>
      <c r="C98" s="104"/>
      <c r="D98" s="105"/>
      <c r="E98" s="106"/>
      <c r="F98" s="107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6"/>
    </row>
    <row r="99" ht="15.75" customHeight="1">
      <c r="A99" s="109"/>
      <c r="B99" s="104"/>
      <c r="C99" s="104"/>
      <c r="D99" s="105"/>
      <c r="E99" s="106"/>
      <c r="F99" s="107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6"/>
    </row>
    <row r="100" ht="15.75" customHeight="1">
      <c r="A100" s="109"/>
      <c r="B100" s="104"/>
      <c r="C100" s="104"/>
      <c r="D100" s="105"/>
      <c r="E100" s="106"/>
      <c r="F100" s="107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6"/>
    </row>
    <row r="101" ht="15.75" customHeight="1">
      <c r="A101" s="109"/>
      <c r="B101" s="104"/>
      <c r="C101" s="104"/>
      <c r="D101" s="105"/>
      <c r="E101" s="106"/>
      <c r="F101" s="107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6"/>
    </row>
    <row r="102" ht="15.75" customHeight="1">
      <c r="A102" s="109"/>
      <c r="B102" s="104"/>
      <c r="C102" s="104"/>
      <c r="D102" s="105"/>
      <c r="E102" s="106"/>
      <c r="F102" s="107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6"/>
    </row>
    <row r="103" ht="15.75" customHeight="1">
      <c r="A103" s="109"/>
      <c r="B103" s="104"/>
      <c r="C103" s="104"/>
      <c r="D103" s="105"/>
      <c r="E103" s="106"/>
      <c r="F103" s="107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6"/>
    </row>
    <row r="104" ht="15.75" customHeight="1">
      <c r="A104" s="109"/>
      <c r="B104" s="104"/>
      <c r="C104" s="104"/>
      <c r="D104" s="105"/>
      <c r="E104" s="106"/>
      <c r="F104" s="107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6"/>
    </row>
    <row r="105" ht="15.75" customHeight="1">
      <c r="A105" s="109"/>
      <c r="B105" s="104"/>
      <c r="C105" s="104"/>
      <c r="D105" s="105"/>
      <c r="E105" s="106"/>
      <c r="F105" s="107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6"/>
    </row>
    <row r="106" ht="15.75" customHeight="1">
      <c r="A106" s="109"/>
      <c r="B106" s="104"/>
      <c r="C106" s="104"/>
      <c r="D106" s="105"/>
      <c r="E106" s="106"/>
      <c r="F106" s="107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6"/>
    </row>
    <row r="107" ht="15.75" customHeight="1">
      <c r="A107" s="109"/>
      <c r="B107" s="104"/>
      <c r="C107" s="104"/>
      <c r="D107" s="105"/>
      <c r="E107" s="106"/>
      <c r="F107" s="107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6"/>
    </row>
    <row r="108" ht="15.75" customHeight="1">
      <c r="A108" s="109"/>
      <c r="B108" s="104"/>
      <c r="C108" s="104"/>
      <c r="D108" s="105"/>
      <c r="E108" s="106"/>
      <c r="F108" s="107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6"/>
    </row>
    <row r="109" ht="15.75" customHeight="1">
      <c r="A109" s="109"/>
      <c r="B109" s="104"/>
      <c r="C109" s="104"/>
      <c r="D109" s="105"/>
      <c r="E109" s="106"/>
      <c r="F109" s="107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6"/>
    </row>
    <row r="110" ht="15.75" customHeight="1">
      <c r="A110" s="109"/>
      <c r="B110" s="104"/>
      <c r="C110" s="104"/>
      <c r="D110" s="105"/>
      <c r="E110" s="106"/>
      <c r="F110" s="107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6"/>
    </row>
    <row r="111" ht="15.75" customHeight="1">
      <c r="A111" s="109"/>
      <c r="B111" s="104"/>
      <c r="C111" s="104"/>
      <c r="D111" s="105"/>
      <c r="E111" s="106"/>
      <c r="F111" s="107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6"/>
    </row>
    <row r="112" ht="15.75" customHeight="1">
      <c r="A112" s="109"/>
      <c r="B112" s="104"/>
      <c r="C112" s="104"/>
      <c r="D112" s="105"/>
      <c r="E112" s="106"/>
      <c r="F112" s="107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6"/>
    </row>
    <row r="113" ht="15.75" customHeight="1">
      <c r="A113" s="109"/>
      <c r="B113" s="104"/>
      <c r="C113" s="104"/>
      <c r="D113" s="105"/>
      <c r="E113" s="106"/>
      <c r="F113" s="107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6"/>
    </row>
    <row r="114" ht="15.75" customHeight="1">
      <c r="A114" s="109"/>
      <c r="B114" s="104"/>
      <c r="C114" s="104"/>
      <c r="D114" s="105"/>
      <c r="E114" s="106"/>
      <c r="F114" s="107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6"/>
    </row>
    <row r="115" ht="15.75" customHeight="1">
      <c r="A115" s="109"/>
      <c r="B115" s="104"/>
      <c r="C115" s="104"/>
      <c r="D115" s="105"/>
      <c r="E115" s="106"/>
      <c r="F115" s="107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6"/>
    </row>
    <row r="116" ht="15.75" customHeight="1">
      <c r="A116" s="109"/>
      <c r="B116" s="104"/>
      <c r="C116" s="104"/>
      <c r="D116" s="105"/>
      <c r="E116" s="106"/>
      <c r="F116" s="107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6"/>
    </row>
    <row r="117" ht="15.75" customHeight="1">
      <c r="A117" s="109"/>
      <c r="B117" s="104"/>
      <c r="C117" s="104"/>
      <c r="D117" s="105"/>
      <c r="E117" s="106"/>
      <c r="F117" s="107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6"/>
    </row>
    <row r="118" ht="15.75" customHeight="1">
      <c r="A118" s="109"/>
      <c r="B118" s="104"/>
      <c r="C118" s="104"/>
      <c r="D118" s="105"/>
      <c r="E118" s="106"/>
      <c r="F118" s="107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6"/>
    </row>
    <row r="119" ht="15.75" customHeight="1">
      <c r="A119" s="109"/>
      <c r="B119" s="104"/>
      <c r="C119" s="104"/>
      <c r="D119" s="105"/>
      <c r="E119" s="106"/>
      <c r="F119" s="107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6"/>
    </row>
    <row r="120" ht="15.75" customHeight="1">
      <c r="A120" s="109"/>
      <c r="B120" s="104"/>
      <c r="C120" s="104"/>
      <c r="D120" s="105"/>
      <c r="E120" s="106"/>
      <c r="F120" s="107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6"/>
    </row>
    <row r="121" ht="15.75" customHeight="1">
      <c r="A121" s="109"/>
      <c r="B121" s="104"/>
      <c r="C121" s="104"/>
      <c r="D121" s="105"/>
      <c r="E121" s="106"/>
      <c r="F121" s="107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6"/>
    </row>
    <row r="122" ht="15.75" customHeight="1">
      <c r="A122" s="109"/>
      <c r="B122" s="104"/>
      <c r="C122" s="104"/>
      <c r="D122" s="105"/>
      <c r="E122" s="106"/>
      <c r="F122" s="107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6"/>
    </row>
    <row r="123" ht="15.75" customHeight="1">
      <c r="A123" s="109"/>
      <c r="B123" s="104"/>
      <c r="C123" s="104"/>
      <c r="D123" s="105"/>
      <c r="E123" s="106"/>
      <c r="F123" s="107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6"/>
    </row>
    <row r="124" ht="15.75" customHeight="1">
      <c r="A124" s="109"/>
      <c r="B124" s="104"/>
      <c r="C124" s="104"/>
      <c r="D124" s="105"/>
      <c r="E124" s="106"/>
      <c r="F124" s="107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6"/>
    </row>
    <row r="125" ht="15.75" customHeight="1">
      <c r="A125" s="109"/>
      <c r="B125" s="104"/>
      <c r="C125" s="104"/>
      <c r="D125" s="105"/>
      <c r="E125" s="106"/>
      <c r="F125" s="107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6"/>
    </row>
    <row r="126" ht="15.75" customHeight="1">
      <c r="A126" s="109"/>
      <c r="B126" s="104"/>
      <c r="C126" s="104"/>
      <c r="D126" s="105"/>
      <c r="E126" s="106"/>
      <c r="F126" s="107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6"/>
    </row>
    <row r="127" ht="15.75" customHeight="1">
      <c r="A127" s="109"/>
      <c r="B127" s="104"/>
      <c r="C127" s="104"/>
      <c r="D127" s="105"/>
      <c r="E127" s="106"/>
      <c r="F127" s="107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6"/>
    </row>
    <row r="128" ht="15.75" customHeight="1">
      <c r="A128" s="109"/>
      <c r="B128" s="104"/>
      <c r="C128" s="104"/>
      <c r="D128" s="105"/>
      <c r="E128" s="106"/>
      <c r="F128" s="107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6"/>
    </row>
    <row r="129" ht="15.75" customHeight="1">
      <c r="A129" s="109"/>
      <c r="B129" s="104"/>
      <c r="C129" s="104"/>
      <c r="D129" s="105"/>
      <c r="E129" s="106"/>
      <c r="F129" s="107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6"/>
    </row>
    <row r="130" ht="15.75" customHeight="1">
      <c r="A130" s="109"/>
      <c r="B130" s="104"/>
      <c r="C130" s="104"/>
      <c r="D130" s="105"/>
      <c r="E130" s="106"/>
      <c r="F130" s="107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6"/>
    </row>
    <row r="131" ht="15.75" customHeight="1">
      <c r="A131" s="109"/>
      <c r="B131" s="104"/>
      <c r="C131" s="104"/>
      <c r="D131" s="105"/>
      <c r="E131" s="106"/>
      <c r="F131" s="107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6"/>
    </row>
    <row r="132" ht="15.75" customHeight="1">
      <c r="A132" s="109"/>
      <c r="B132" s="104"/>
      <c r="C132" s="104"/>
      <c r="D132" s="105"/>
      <c r="E132" s="106"/>
      <c r="F132" s="107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6"/>
    </row>
    <row r="133" ht="15.75" customHeight="1">
      <c r="A133" s="109"/>
      <c r="B133" s="104"/>
      <c r="C133" s="104"/>
      <c r="D133" s="105"/>
      <c r="E133" s="106"/>
      <c r="F133" s="107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6"/>
    </row>
    <row r="134" ht="15.75" customHeight="1">
      <c r="A134" s="109"/>
      <c r="B134" s="104"/>
      <c r="C134" s="104"/>
      <c r="D134" s="105"/>
      <c r="E134" s="106"/>
      <c r="F134" s="107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6"/>
    </row>
    <row r="135" ht="15.75" customHeight="1">
      <c r="A135" s="109"/>
      <c r="B135" s="104"/>
      <c r="C135" s="104"/>
      <c r="D135" s="105"/>
      <c r="E135" s="106"/>
      <c r="F135" s="107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6"/>
    </row>
    <row r="136" ht="15.75" customHeight="1">
      <c r="A136" s="109"/>
      <c r="B136" s="104"/>
      <c r="C136" s="104"/>
      <c r="D136" s="105"/>
      <c r="E136" s="106"/>
      <c r="F136" s="107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6"/>
    </row>
    <row r="137" ht="15.75" customHeight="1">
      <c r="A137" s="109"/>
      <c r="B137" s="104"/>
      <c r="C137" s="104"/>
      <c r="D137" s="105"/>
      <c r="E137" s="106"/>
      <c r="F137" s="107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6"/>
    </row>
    <row r="138" ht="15.75" customHeight="1">
      <c r="A138" s="109"/>
      <c r="B138" s="104"/>
      <c r="C138" s="104"/>
      <c r="D138" s="105"/>
      <c r="E138" s="106"/>
      <c r="F138" s="107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6"/>
    </row>
    <row r="139" ht="15.75" customHeight="1">
      <c r="A139" s="109"/>
      <c r="B139" s="104"/>
      <c r="C139" s="104"/>
      <c r="D139" s="105"/>
      <c r="E139" s="106"/>
      <c r="F139" s="107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6"/>
    </row>
    <row r="140" ht="15.75" customHeight="1">
      <c r="A140" s="109"/>
      <c r="B140" s="104"/>
      <c r="C140" s="104"/>
      <c r="D140" s="105"/>
      <c r="E140" s="106"/>
      <c r="F140" s="107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6"/>
    </row>
    <row r="141" ht="15.75" customHeight="1">
      <c r="A141" s="109"/>
      <c r="B141" s="104"/>
      <c r="C141" s="104"/>
      <c r="D141" s="105"/>
      <c r="E141" s="106"/>
      <c r="F141" s="107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6"/>
    </row>
    <row r="142" ht="15.75" customHeight="1">
      <c r="A142" s="109"/>
      <c r="B142" s="104"/>
      <c r="C142" s="104"/>
      <c r="D142" s="105"/>
      <c r="E142" s="106"/>
      <c r="F142" s="107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6"/>
    </row>
    <row r="143" ht="15.75" customHeight="1">
      <c r="A143" s="109"/>
      <c r="B143" s="104"/>
      <c r="C143" s="104"/>
      <c r="D143" s="105"/>
      <c r="E143" s="106"/>
      <c r="F143" s="107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6"/>
    </row>
    <row r="144" ht="15.75" customHeight="1">
      <c r="A144" s="109"/>
      <c r="B144" s="104"/>
      <c r="C144" s="104"/>
      <c r="D144" s="105"/>
      <c r="E144" s="106"/>
      <c r="F144" s="107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6"/>
    </row>
    <row r="145" ht="15.75" customHeight="1">
      <c r="A145" s="109"/>
      <c r="B145" s="104"/>
      <c r="C145" s="104"/>
      <c r="D145" s="105"/>
      <c r="E145" s="106"/>
      <c r="F145" s="107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6"/>
    </row>
    <row r="146" ht="15.75" customHeight="1">
      <c r="A146" s="109"/>
      <c r="B146" s="104"/>
      <c r="C146" s="104"/>
      <c r="D146" s="105"/>
      <c r="E146" s="106"/>
      <c r="F146" s="107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6"/>
    </row>
    <row r="147" ht="15.75" customHeight="1">
      <c r="A147" s="109"/>
      <c r="B147" s="104"/>
      <c r="C147" s="104"/>
      <c r="D147" s="105"/>
      <c r="E147" s="106"/>
      <c r="F147" s="107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6"/>
    </row>
    <row r="148" ht="15.75" customHeight="1">
      <c r="A148" s="109"/>
      <c r="B148" s="104"/>
      <c r="C148" s="104"/>
      <c r="D148" s="105"/>
      <c r="E148" s="106"/>
      <c r="F148" s="107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6"/>
    </row>
    <row r="149" ht="15.75" customHeight="1">
      <c r="A149" s="109"/>
      <c r="B149" s="104"/>
      <c r="C149" s="104"/>
      <c r="D149" s="105"/>
      <c r="E149" s="106"/>
      <c r="F149" s="107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6"/>
    </row>
    <row r="150" ht="15.75" customHeight="1">
      <c r="A150" s="109"/>
      <c r="B150" s="104"/>
      <c r="C150" s="104"/>
      <c r="D150" s="105"/>
      <c r="E150" s="106"/>
      <c r="F150" s="107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6"/>
    </row>
    <row r="151" ht="15.75" customHeight="1">
      <c r="A151" s="109"/>
      <c r="B151" s="104"/>
      <c r="C151" s="104"/>
      <c r="D151" s="105"/>
      <c r="E151" s="106"/>
      <c r="F151" s="107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6"/>
    </row>
    <row r="152" ht="15.75" customHeight="1">
      <c r="A152" s="109"/>
      <c r="B152" s="104"/>
      <c r="C152" s="104"/>
      <c r="D152" s="105"/>
      <c r="E152" s="106"/>
      <c r="F152" s="107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6"/>
    </row>
    <row r="153" ht="15.75" customHeight="1">
      <c r="A153" s="109"/>
      <c r="B153" s="104"/>
      <c r="C153" s="104"/>
      <c r="D153" s="105"/>
      <c r="E153" s="106"/>
      <c r="F153" s="107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6"/>
    </row>
    <row r="154" ht="15.75" customHeight="1">
      <c r="A154" s="109"/>
      <c r="B154" s="104"/>
      <c r="C154" s="104"/>
      <c r="D154" s="105"/>
      <c r="E154" s="106"/>
      <c r="F154" s="107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6"/>
    </row>
    <row r="155" ht="15.75" customHeight="1">
      <c r="A155" s="109"/>
      <c r="B155" s="104"/>
      <c r="C155" s="104"/>
      <c r="D155" s="105"/>
      <c r="E155" s="106"/>
      <c r="F155" s="107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6"/>
    </row>
    <row r="156" ht="15.75" customHeight="1">
      <c r="A156" s="109"/>
      <c r="B156" s="104"/>
      <c r="C156" s="104"/>
      <c r="D156" s="105"/>
      <c r="E156" s="106"/>
      <c r="F156" s="107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6"/>
    </row>
    <row r="157" ht="15.75" customHeight="1">
      <c r="A157" s="109"/>
      <c r="B157" s="104"/>
      <c r="C157" s="104"/>
      <c r="D157" s="105"/>
      <c r="E157" s="106"/>
      <c r="F157" s="107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6"/>
    </row>
    <row r="158" ht="15.75" customHeight="1">
      <c r="A158" s="109"/>
      <c r="B158" s="104"/>
      <c r="C158" s="104"/>
      <c r="D158" s="105"/>
      <c r="E158" s="106"/>
      <c r="F158" s="107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6"/>
    </row>
    <row r="159" ht="15.75" customHeight="1">
      <c r="A159" s="109"/>
      <c r="B159" s="104"/>
      <c r="C159" s="104"/>
      <c r="D159" s="105"/>
      <c r="E159" s="106"/>
      <c r="F159" s="107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6"/>
    </row>
    <row r="160" ht="15.75" customHeight="1">
      <c r="A160" s="109"/>
      <c r="B160" s="104"/>
      <c r="C160" s="104"/>
      <c r="D160" s="105"/>
      <c r="E160" s="106"/>
      <c r="F160" s="107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6"/>
    </row>
    <row r="161" ht="15.75" customHeight="1">
      <c r="A161" s="109"/>
      <c r="B161" s="104"/>
      <c r="C161" s="104"/>
      <c r="D161" s="105"/>
      <c r="E161" s="106"/>
      <c r="F161" s="107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6"/>
    </row>
    <row r="162" ht="15.75" customHeight="1">
      <c r="A162" s="109"/>
      <c r="B162" s="104"/>
      <c r="C162" s="104"/>
      <c r="D162" s="105"/>
      <c r="E162" s="106"/>
      <c r="F162" s="107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6"/>
    </row>
    <row r="163" ht="15.75" customHeight="1">
      <c r="A163" s="109"/>
      <c r="B163" s="104"/>
      <c r="C163" s="104"/>
      <c r="D163" s="105"/>
      <c r="E163" s="106"/>
      <c r="F163" s="107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6"/>
    </row>
    <row r="164" ht="15.75" customHeight="1">
      <c r="A164" s="109"/>
      <c r="B164" s="104"/>
      <c r="C164" s="104"/>
      <c r="D164" s="105"/>
      <c r="E164" s="106"/>
      <c r="F164" s="107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6"/>
    </row>
    <row r="165" ht="15.75" customHeight="1">
      <c r="A165" s="109"/>
      <c r="B165" s="104"/>
      <c r="C165" s="104"/>
      <c r="D165" s="105"/>
      <c r="E165" s="106"/>
      <c r="F165" s="107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6"/>
    </row>
    <row r="166" ht="15.75" customHeight="1">
      <c r="A166" s="109"/>
      <c r="B166" s="104"/>
      <c r="C166" s="104"/>
      <c r="D166" s="105"/>
      <c r="E166" s="106"/>
      <c r="F166" s="107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6"/>
    </row>
    <row r="167" ht="15.75" customHeight="1">
      <c r="A167" s="109"/>
      <c r="B167" s="104"/>
      <c r="C167" s="104"/>
      <c r="D167" s="105"/>
      <c r="E167" s="106"/>
      <c r="F167" s="107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6"/>
    </row>
    <row r="168" ht="15.75" customHeight="1">
      <c r="A168" s="109"/>
      <c r="B168" s="104"/>
      <c r="C168" s="104"/>
      <c r="D168" s="105"/>
      <c r="E168" s="106"/>
      <c r="F168" s="107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6"/>
    </row>
    <row r="169" ht="15.75" customHeight="1">
      <c r="A169" s="109"/>
      <c r="B169" s="104"/>
      <c r="C169" s="104"/>
      <c r="D169" s="105"/>
      <c r="E169" s="106"/>
      <c r="F169" s="107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6"/>
    </row>
    <row r="170" ht="15.75" customHeight="1">
      <c r="A170" s="109"/>
      <c r="B170" s="104"/>
      <c r="C170" s="104"/>
      <c r="D170" s="105"/>
      <c r="E170" s="106"/>
      <c r="F170" s="107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6"/>
    </row>
    <row r="171" ht="15.75" customHeight="1">
      <c r="A171" s="109"/>
      <c r="B171" s="104"/>
      <c r="C171" s="104"/>
      <c r="D171" s="105"/>
      <c r="E171" s="106"/>
      <c r="F171" s="107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6"/>
    </row>
    <row r="172" ht="15.75" customHeight="1">
      <c r="A172" s="109"/>
      <c r="B172" s="104"/>
      <c r="C172" s="104"/>
      <c r="D172" s="105"/>
      <c r="E172" s="106"/>
      <c r="F172" s="107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6"/>
    </row>
    <row r="173" ht="15.75" customHeight="1">
      <c r="A173" s="109"/>
      <c r="B173" s="104"/>
      <c r="C173" s="104"/>
      <c r="D173" s="105"/>
      <c r="E173" s="106"/>
      <c r="F173" s="107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6"/>
    </row>
    <row r="174" ht="15.75" customHeight="1">
      <c r="A174" s="109"/>
      <c r="B174" s="104"/>
      <c r="C174" s="104"/>
      <c r="D174" s="105"/>
      <c r="E174" s="106"/>
      <c r="F174" s="107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6"/>
    </row>
    <row r="175" ht="15.75" customHeight="1">
      <c r="A175" s="109"/>
      <c r="B175" s="104"/>
      <c r="C175" s="104"/>
      <c r="D175" s="105"/>
      <c r="E175" s="106"/>
      <c r="F175" s="107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6"/>
    </row>
    <row r="176" ht="15.75" customHeight="1">
      <c r="A176" s="109"/>
      <c r="B176" s="104"/>
      <c r="C176" s="104"/>
      <c r="D176" s="105"/>
      <c r="E176" s="106"/>
      <c r="F176" s="107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6"/>
    </row>
    <row r="177" ht="15.75" customHeight="1">
      <c r="A177" s="109"/>
      <c r="B177" s="104"/>
      <c r="C177" s="104"/>
      <c r="D177" s="105"/>
      <c r="E177" s="106"/>
      <c r="F177" s="107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6"/>
    </row>
    <row r="178" ht="15.75" customHeight="1">
      <c r="A178" s="109"/>
      <c r="B178" s="104"/>
      <c r="C178" s="104"/>
      <c r="D178" s="105"/>
      <c r="E178" s="106"/>
      <c r="F178" s="107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6"/>
    </row>
    <row r="179" ht="15.75" customHeight="1">
      <c r="A179" s="109"/>
      <c r="B179" s="104"/>
      <c r="C179" s="104"/>
      <c r="D179" s="105"/>
      <c r="E179" s="106"/>
      <c r="F179" s="107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6"/>
    </row>
    <row r="180" ht="15.75" customHeight="1">
      <c r="A180" s="109"/>
      <c r="B180" s="104"/>
      <c r="C180" s="104"/>
      <c r="D180" s="105"/>
      <c r="E180" s="106"/>
      <c r="F180" s="107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6"/>
    </row>
    <row r="181" ht="15.75" customHeight="1">
      <c r="A181" s="109"/>
      <c r="B181" s="104"/>
      <c r="C181" s="104"/>
      <c r="D181" s="105"/>
      <c r="E181" s="106"/>
      <c r="F181" s="107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6"/>
    </row>
    <row r="182" ht="15.75" customHeight="1">
      <c r="A182" s="109"/>
      <c r="B182" s="104"/>
      <c r="C182" s="104"/>
      <c r="D182" s="105"/>
      <c r="E182" s="106"/>
      <c r="F182" s="107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6"/>
    </row>
    <row r="183" ht="15.75" customHeight="1">
      <c r="A183" s="109"/>
      <c r="B183" s="104"/>
      <c r="C183" s="104"/>
      <c r="D183" s="105"/>
      <c r="E183" s="106"/>
      <c r="F183" s="107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6"/>
    </row>
    <row r="184" ht="15.75" customHeight="1">
      <c r="A184" s="109"/>
      <c r="B184" s="104"/>
      <c r="C184" s="104"/>
      <c r="D184" s="105"/>
      <c r="E184" s="106"/>
      <c r="F184" s="107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6"/>
    </row>
    <row r="185" ht="15.75" customHeight="1">
      <c r="A185" s="109"/>
      <c r="B185" s="104"/>
      <c r="C185" s="104"/>
      <c r="D185" s="105"/>
      <c r="E185" s="106"/>
      <c r="F185" s="107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6"/>
    </row>
    <row r="186" ht="15.75" customHeight="1">
      <c r="A186" s="109"/>
      <c r="B186" s="104"/>
      <c r="C186" s="104"/>
      <c r="D186" s="105"/>
      <c r="E186" s="106"/>
      <c r="F186" s="107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6"/>
    </row>
    <row r="187" ht="15.75" customHeight="1">
      <c r="A187" s="109"/>
      <c r="B187" s="104"/>
      <c r="C187" s="104"/>
      <c r="D187" s="105"/>
      <c r="E187" s="106"/>
      <c r="F187" s="107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6"/>
    </row>
    <row r="188" ht="15.75" customHeight="1">
      <c r="A188" s="109"/>
      <c r="B188" s="104"/>
      <c r="C188" s="104"/>
      <c r="D188" s="105"/>
      <c r="E188" s="106"/>
      <c r="F188" s="107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6"/>
    </row>
    <row r="189" ht="15.75" customHeight="1">
      <c r="A189" s="109"/>
      <c r="B189" s="104"/>
      <c r="C189" s="104"/>
      <c r="D189" s="105"/>
      <c r="E189" s="106"/>
      <c r="F189" s="107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6"/>
    </row>
    <row r="190" ht="15.75" customHeight="1">
      <c r="A190" s="109"/>
      <c r="B190" s="104"/>
      <c r="C190" s="104"/>
      <c r="D190" s="105"/>
      <c r="E190" s="106"/>
      <c r="F190" s="107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6"/>
    </row>
    <row r="191" ht="15.75" customHeight="1">
      <c r="A191" s="109"/>
      <c r="B191" s="104"/>
      <c r="C191" s="104"/>
      <c r="D191" s="105"/>
      <c r="E191" s="106"/>
      <c r="F191" s="107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6"/>
    </row>
    <row r="192" ht="15.75" customHeight="1">
      <c r="A192" s="109"/>
      <c r="B192" s="104"/>
      <c r="C192" s="104"/>
      <c r="D192" s="105"/>
      <c r="E192" s="106"/>
      <c r="F192" s="107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6"/>
    </row>
    <row r="193" ht="15.75" customHeight="1">
      <c r="A193" s="109"/>
      <c r="B193" s="104"/>
      <c r="C193" s="104"/>
      <c r="D193" s="105"/>
      <c r="E193" s="106"/>
      <c r="F193" s="107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6"/>
    </row>
    <row r="194" ht="15.75" customHeight="1">
      <c r="A194" s="109"/>
      <c r="B194" s="104"/>
      <c r="C194" s="104"/>
      <c r="D194" s="105"/>
      <c r="E194" s="106"/>
      <c r="F194" s="107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6"/>
    </row>
    <row r="195" ht="15.75" customHeight="1">
      <c r="A195" s="109"/>
      <c r="B195" s="104"/>
      <c r="C195" s="104"/>
      <c r="D195" s="105"/>
      <c r="E195" s="106"/>
      <c r="F195" s="107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6"/>
    </row>
    <row r="196" ht="15.75" customHeight="1">
      <c r="A196" s="109"/>
      <c r="B196" s="104"/>
      <c r="C196" s="104"/>
      <c r="D196" s="105"/>
      <c r="E196" s="106"/>
      <c r="F196" s="107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6"/>
    </row>
    <row r="197" ht="15.75" customHeight="1">
      <c r="A197" s="109"/>
      <c r="B197" s="104"/>
      <c r="C197" s="104"/>
      <c r="D197" s="105"/>
      <c r="E197" s="106"/>
      <c r="F197" s="107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6"/>
    </row>
    <row r="198" ht="15.75" customHeight="1">
      <c r="A198" s="109"/>
      <c r="B198" s="104"/>
      <c r="C198" s="104"/>
      <c r="D198" s="105"/>
      <c r="E198" s="106"/>
      <c r="F198" s="107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6"/>
    </row>
    <row r="199" ht="15.75" customHeight="1">
      <c r="A199" s="109"/>
      <c r="B199" s="104"/>
      <c r="C199" s="104"/>
      <c r="D199" s="105"/>
      <c r="E199" s="106"/>
      <c r="F199" s="107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6"/>
    </row>
    <row r="200" ht="15.75" customHeight="1">
      <c r="A200" s="109"/>
      <c r="B200" s="104"/>
      <c r="C200" s="104"/>
      <c r="D200" s="105"/>
      <c r="E200" s="106"/>
      <c r="F200" s="107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6"/>
    </row>
    <row r="201" ht="15.75" customHeight="1">
      <c r="A201" s="109"/>
      <c r="B201" s="104"/>
      <c r="C201" s="104"/>
      <c r="D201" s="105"/>
      <c r="E201" s="106"/>
      <c r="F201" s="107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6"/>
    </row>
    <row r="202" ht="15.75" customHeight="1">
      <c r="A202" s="109"/>
      <c r="B202" s="104"/>
      <c r="C202" s="104"/>
      <c r="D202" s="105"/>
      <c r="E202" s="106"/>
      <c r="F202" s="107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6"/>
    </row>
    <row r="203" ht="15.75" customHeight="1">
      <c r="A203" s="109"/>
      <c r="B203" s="104"/>
      <c r="C203" s="104"/>
      <c r="D203" s="105"/>
      <c r="E203" s="106"/>
      <c r="F203" s="107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6"/>
    </row>
    <row r="204" ht="15.75" customHeight="1">
      <c r="A204" s="109"/>
      <c r="B204" s="104"/>
      <c r="C204" s="104"/>
      <c r="D204" s="105"/>
      <c r="E204" s="106"/>
      <c r="F204" s="107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6"/>
    </row>
    <row r="205" ht="15.75" customHeight="1">
      <c r="A205" s="109"/>
      <c r="B205" s="104"/>
      <c r="C205" s="104"/>
      <c r="D205" s="105"/>
      <c r="E205" s="106"/>
      <c r="F205" s="107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6"/>
    </row>
    <row r="206" ht="15.75" customHeight="1">
      <c r="A206" s="109"/>
      <c r="B206" s="104"/>
      <c r="C206" s="104"/>
      <c r="D206" s="105"/>
      <c r="E206" s="106"/>
      <c r="F206" s="107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6"/>
    </row>
    <row r="207" ht="15.75" customHeight="1">
      <c r="A207" s="109"/>
      <c r="B207" s="104"/>
      <c r="C207" s="104"/>
      <c r="D207" s="105"/>
      <c r="E207" s="106"/>
      <c r="F207" s="107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6"/>
    </row>
    <row r="208" ht="15.75" customHeight="1">
      <c r="A208" s="109"/>
      <c r="B208" s="104"/>
      <c r="C208" s="104"/>
      <c r="D208" s="105"/>
      <c r="E208" s="106"/>
      <c r="F208" s="107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6"/>
    </row>
    <row r="209" ht="15.75" customHeight="1">
      <c r="A209" s="109"/>
      <c r="B209" s="104"/>
      <c r="C209" s="104"/>
      <c r="D209" s="105"/>
      <c r="E209" s="106"/>
      <c r="F209" s="107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6"/>
    </row>
    <row r="210" ht="15.75" customHeight="1">
      <c r="A210" s="109"/>
      <c r="B210" s="104"/>
      <c r="C210" s="104"/>
      <c r="D210" s="105"/>
      <c r="E210" s="106"/>
      <c r="F210" s="107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6"/>
    </row>
    <row r="211" ht="15.75" customHeight="1">
      <c r="A211" s="109"/>
      <c r="B211" s="104"/>
      <c r="C211" s="104"/>
      <c r="D211" s="105"/>
      <c r="E211" s="106"/>
      <c r="F211" s="107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6"/>
    </row>
    <row r="212" ht="15.75" customHeight="1">
      <c r="A212" s="109"/>
      <c r="B212" s="104"/>
      <c r="C212" s="104"/>
      <c r="D212" s="105"/>
      <c r="E212" s="106"/>
      <c r="F212" s="107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6"/>
    </row>
    <row r="213" ht="15.75" customHeight="1">
      <c r="A213" s="109"/>
      <c r="B213" s="104"/>
      <c r="C213" s="104"/>
      <c r="D213" s="105"/>
      <c r="E213" s="106"/>
      <c r="F213" s="107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6"/>
    </row>
    <row r="214" ht="15.75" customHeight="1">
      <c r="A214" s="109"/>
      <c r="B214" s="104"/>
      <c r="C214" s="104"/>
      <c r="D214" s="105"/>
      <c r="E214" s="106"/>
      <c r="F214" s="107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6"/>
    </row>
    <row r="215" ht="15.75" customHeight="1">
      <c r="A215" s="109"/>
      <c r="B215" s="104"/>
      <c r="C215" s="104"/>
      <c r="D215" s="105"/>
      <c r="E215" s="106"/>
      <c r="F215" s="107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6"/>
    </row>
    <row r="216" ht="15.75" customHeight="1">
      <c r="A216" s="109"/>
      <c r="B216" s="104"/>
      <c r="C216" s="104"/>
      <c r="D216" s="105"/>
      <c r="E216" s="106"/>
      <c r="F216" s="107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6"/>
    </row>
    <row r="217" ht="15.75" customHeight="1">
      <c r="A217" s="109"/>
      <c r="B217" s="104"/>
      <c r="C217" s="104"/>
      <c r="D217" s="105"/>
      <c r="E217" s="106"/>
      <c r="F217" s="107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6"/>
    </row>
    <row r="218" ht="15.75" customHeight="1">
      <c r="A218" s="109"/>
      <c r="B218" s="104"/>
      <c r="C218" s="104"/>
      <c r="D218" s="105"/>
      <c r="E218" s="106"/>
      <c r="F218" s="107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6"/>
    </row>
    <row r="219" ht="15.75" customHeight="1">
      <c r="A219" s="109"/>
      <c r="B219" s="104"/>
      <c r="C219" s="104"/>
      <c r="D219" s="105"/>
      <c r="E219" s="106"/>
      <c r="F219" s="107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6"/>
    </row>
    <row r="220" ht="15.75" customHeight="1">
      <c r="A220" s="109"/>
      <c r="B220" s="104"/>
      <c r="C220" s="104"/>
      <c r="D220" s="105"/>
      <c r="E220" s="106"/>
      <c r="F220" s="107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6"/>
    </row>
    <row r="221" ht="15.75" customHeight="1">
      <c r="A221" s="109"/>
      <c r="B221" s="104"/>
      <c r="C221" s="104"/>
      <c r="D221" s="105"/>
      <c r="E221" s="106"/>
      <c r="F221" s="107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6"/>
    </row>
    <row r="222" ht="15.75" customHeight="1">
      <c r="A222" s="109"/>
      <c r="B222" s="104"/>
      <c r="C222" s="104"/>
      <c r="D222" s="105"/>
      <c r="E222" s="106"/>
      <c r="F222" s="107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6"/>
    </row>
    <row r="223" ht="15.75" customHeight="1">
      <c r="A223" s="109"/>
      <c r="B223" s="104"/>
      <c r="C223" s="104"/>
      <c r="D223" s="105"/>
      <c r="E223" s="106"/>
      <c r="F223" s="107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6"/>
    </row>
    <row r="224" ht="15.75" customHeight="1">
      <c r="A224" s="109"/>
      <c r="B224" s="104"/>
      <c r="C224" s="104"/>
      <c r="D224" s="105"/>
      <c r="E224" s="106"/>
      <c r="F224" s="107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6"/>
    </row>
    <row r="225" ht="15.75" customHeight="1">
      <c r="A225" s="109"/>
      <c r="B225" s="104"/>
      <c r="C225" s="104"/>
      <c r="D225" s="105"/>
      <c r="E225" s="106"/>
      <c r="F225" s="107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6"/>
    </row>
    <row r="226" ht="15.75" customHeight="1">
      <c r="A226" s="109"/>
      <c r="B226" s="104"/>
      <c r="C226" s="104"/>
      <c r="D226" s="105"/>
      <c r="E226" s="106"/>
      <c r="F226" s="107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6"/>
    </row>
    <row r="227" ht="15.75" customHeight="1">
      <c r="A227" s="109"/>
      <c r="B227" s="104"/>
      <c r="C227" s="104"/>
      <c r="D227" s="105"/>
      <c r="E227" s="106"/>
      <c r="F227" s="107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6"/>
    </row>
    <row r="228" ht="15.75" customHeight="1">
      <c r="A228" s="109"/>
      <c r="B228" s="104"/>
      <c r="C228" s="104"/>
      <c r="D228" s="105"/>
      <c r="E228" s="106"/>
      <c r="F228" s="107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6"/>
    </row>
    <row r="229" ht="15.75" customHeight="1">
      <c r="A229" s="109"/>
      <c r="B229" s="104"/>
      <c r="C229" s="104"/>
      <c r="D229" s="105"/>
      <c r="E229" s="106"/>
      <c r="F229" s="107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6"/>
    </row>
    <row r="230" ht="15.75" customHeight="1">
      <c r="A230" s="109"/>
      <c r="B230" s="104"/>
      <c r="C230" s="104"/>
      <c r="D230" s="105"/>
      <c r="E230" s="106"/>
      <c r="F230" s="107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6"/>
    </row>
    <row r="231" ht="15.75" customHeight="1">
      <c r="A231" s="109"/>
      <c r="B231" s="104"/>
      <c r="C231" s="104"/>
      <c r="D231" s="105"/>
      <c r="E231" s="106"/>
      <c r="F231" s="107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6"/>
    </row>
    <row r="232" ht="15.75" customHeight="1">
      <c r="A232" s="109"/>
      <c r="B232" s="104"/>
      <c r="C232" s="104"/>
      <c r="D232" s="105"/>
      <c r="E232" s="106"/>
      <c r="F232" s="107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6"/>
    </row>
    <row r="233" ht="15.75" customHeight="1">
      <c r="A233" s="109"/>
      <c r="B233" s="104"/>
      <c r="C233" s="104"/>
      <c r="D233" s="105"/>
      <c r="E233" s="106"/>
      <c r="F233" s="107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6"/>
    </row>
    <row r="234" ht="15.75" customHeight="1">
      <c r="A234" s="109"/>
      <c r="B234" s="104"/>
      <c r="C234" s="104"/>
      <c r="D234" s="105"/>
      <c r="E234" s="106"/>
      <c r="F234" s="107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6"/>
    </row>
    <row r="235" ht="15.75" customHeight="1">
      <c r="A235" s="109"/>
      <c r="B235" s="104"/>
      <c r="C235" s="104"/>
      <c r="D235" s="105"/>
      <c r="E235" s="106"/>
      <c r="F235" s="107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6"/>
    </row>
    <row r="236" ht="15.75" customHeight="1">
      <c r="A236" s="109"/>
      <c r="B236" s="104"/>
      <c r="C236" s="104"/>
      <c r="D236" s="105"/>
      <c r="E236" s="106"/>
      <c r="F236" s="107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6"/>
    </row>
    <row r="237" ht="15.75" customHeight="1">
      <c r="A237" s="109"/>
      <c r="B237" s="104"/>
      <c r="C237" s="104"/>
      <c r="D237" s="105"/>
      <c r="E237" s="106"/>
      <c r="F237" s="107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6"/>
    </row>
    <row r="238" ht="15.75" customHeight="1">
      <c r="A238" s="109"/>
      <c r="B238" s="104"/>
      <c r="C238" s="104"/>
      <c r="D238" s="105"/>
      <c r="E238" s="106"/>
      <c r="F238" s="107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6"/>
    </row>
    <row r="239" ht="15.75" customHeight="1">
      <c r="A239" s="109"/>
      <c r="B239" s="104"/>
      <c r="C239" s="104"/>
      <c r="D239" s="105"/>
      <c r="E239" s="106"/>
      <c r="F239" s="107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6"/>
    </row>
    <row r="240" ht="15.75" customHeight="1">
      <c r="A240" s="109"/>
      <c r="B240" s="104"/>
      <c r="C240" s="104"/>
      <c r="D240" s="105"/>
      <c r="E240" s="106"/>
      <c r="F240" s="107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6"/>
    </row>
    <row r="241" ht="15.75" customHeight="1">
      <c r="A241" s="109"/>
      <c r="B241" s="104"/>
      <c r="C241" s="104"/>
      <c r="D241" s="105"/>
      <c r="E241" s="106"/>
      <c r="F241" s="107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6"/>
    </row>
    <row r="242" ht="15.75" customHeight="1">
      <c r="A242" s="109"/>
      <c r="B242" s="104"/>
      <c r="C242" s="104"/>
      <c r="D242" s="105"/>
      <c r="E242" s="106"/>
      <c r="F242" s="107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6"/>
    </row>
    <row r="243" ht="15.75" customHeight="1">
      <c r="A243" s="109"/>
      <c r="B243" s="104"/>
      <c r="C243" s="104"/>
      <c r="D243" s="105"/>
      <c r="E243" s="106"/>
      <c r="F243" s="107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6"/>
    </row>
    <row r="244" ht="15.75" customHeight="1">
      <c r="A244" s="109"/>
      <c r="B244" s="104"/>
      <c r="C244" s="104"/>
      <c r="D244" s="105"/>
      <c r="E244" s="106"/>
      <c r="F244" s="107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6"/>
    </row>
    <row r="245" ht="15.75" customHeight="1">
      <c r="A245" s="109"/>
      <c r="B245" s="104"/>
      <c r="C245" s="104"/>
      <c r="D245" s="105"/>
      <c r="E245" s="106"/>
      <c r="F245" s="107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6"/>
    </row>
    <row r="246" ht="15.75" customHeight="1">
      <c r="A246" s="109"/>
      <c r="B246" s="104"/>
      <c r="C246" s="104"/>
      <c r="D246" s="105"/>
      <c r="E246" s="106"/>
      <c r="F246" s="107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6"/>
    </row>
    <row r="247" ht="15.75" customHeight="1">
      <c r="A247" s="109"/>
      <c r="B247" s="104"/>
      <c r="C247" s="104"/>
      <c r="D247" s="105"/>
      <c r="E247" s="106"/>
      <c r="F247" s="107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6"/>
    </row>
    <row r="248" ht="15.75" customHeight="1">
      <c r="A248" s="109"/>
      <c r="B248" s="104"/>
      <c r="C248" s="104"/>
      <c r="D248" s="105"/>
      <c r="E248" s="106"/>
      <c r="F248" s="107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6"/>
    </row>
    <row r="249" ht="15.75" customHeight="1">
      <c r="A249" s="109"/>
      <c r="B249" s="104"/>
      <c r="C249" s="104"/>
      <c r="D249" s="105"/>
      <c r="E249" s="106"/>
      <c r="F249" s="107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6"/>
    </row>
    <row r="250" ht="15.75" customHeight="1">
      <c r="A250" s="109"/>
      <c r="B250" s="104"/>
      <c r="C250" s="104"/>
      <c r="D250" s="105"/>
      <c r="E250" s="106"/>
      <c r="F250" s="107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6"/>
    </row>
    <row r="251" ht="15.75" customHeight="1">
      <c r="A251" s="109"/>
      <c r="B251" s="104"/>
      <c r="C251" s="104"/>
      <c r="D251" s="105"/>
      <c r="E251" s="106"/>
      <c r="F251" s="107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6"/>
    </row>
    <row r="252" ht="15.75" customHeight="1">
      <c r="A252" s="109"/>
      <c r="B252" s="104"/>
      <c r="C252" s="104"/>
      <c r="D252" s="105"/>
      <c r="E252" s="106"/>
      <c r="F252" s="107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6"/>
    </row>
    <row r="253" ht="15.75" customHeight="1">
      <c r="A253" s="109"/>
      <c r="B253" s="104"/>
      <c r="C253" s="104"/>
      <c r="D253" s="105"/>
      <c r="E253" s="106"/>
      <c r="F253" s="107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6"/>
    </row>
    <row r="254" ht="15.75" customHeight="1">
      <c r="A254" s="109"/>
      <c r="B254" s="104"/>
      <c r="C254" s="104"/>
      <c r="D254" s="105"/>
      <c r="E254" s="106"/>
      <c r="F254" s="107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6"/>
    </row>
    <row r="255" ht="15.75" customHeight="1">
      <c r="A255" s="109"/>
      <c r="B255" s="104"/>
      <c r="C255" s="104"/>
      <c r="D255" s="105"/>
      <c r="E255" s="106"/>
      <c r="F255" s="107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6"/>
    </row>
    <row r="256" ht="15.75" customHeight="1">
      <c r="A256" s="109"/>
      <c r="B256" s="104"/>
      <c r="C256" s="104"/>
      <c r="D256" s="105"/>
      <c r="E256" s="106"/>
      <c r="F256" s="107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6"/>
    </row>
    <row r="257" ht="15.75" customHeight="1">
      <c r="A257" s="109"/>
      <c r="B257" s="104"/>
      <c r="C257" s="104"/>
      <c r="D257" s="105"/>
      <c r="E257" s="106"/>
      <c r="F257" s="107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6"/>
    </row>
    <row r="258" ht="15.75" customHeight="1">
      <c r="A258" s="109"/>
      <c r="B258" s="104"/>
      <c r="C258" s="104"/>
      <c r="D258" s="105"/>
      <c r="E258" s="106"/>
      <c r="F258" s="107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6"/>
    </row>
    <row r="259" ht="15.75" customHeight="1">
      <c r="A259" s="109"/>
      <c r="B259" s="104"/>
      <c r="C259" s="104"/>
      <c r="D259" s="105"/>
      <c r="E259" s="106"/>
      <c r="F259" s="107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6"/>
    </row>
    <row r="260" ht="15.75" customHeight="1">
      <c r="A260" s="109"/>
      <c r="B260" s="104"/>
      <c r="C260" s="104"/>
      <c r="D260" s="105"/>
      <c r="E260" s="106"/>
      <c r="F260" s="107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6"/>
    </row>
    <row r="261" ht="15.75" customHeight="1">
      <c r="A261" s="109"/>
      <c r="B261" s="104"/>
      <c r="C261" s="104"/>
      <c r="D261" s="105"/>
      <c r="E261" s="106"/>
      <c r="F261" s="107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6"/>
    </row>
    <row r="262" ht="15.75" customHeight="1">
      <c r="A262" s="109"/>
      <c r="B262" s="104"/>
      <c r="C262" s="104"/>
      <c r="D262" s="105"/>
      <c r="E262" s="106"/>
      <c r="F262" s="107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6"/>
    </row>
    <row r="263" ht="15.75" customHeight="1">
      <c r="A263" s="109"/>
      <c r="B263" s="104"/>
      <c r="C263" s="104"/>
      <c r="D263" s="105"/>
      <c r="E263" s="106"/>
      <c r="F263" s="107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6"/>
    </row>
    <row r="264" ht="15.75" customHeight="1">
      <c r="A264" s="109"/>
      <c r="B264" s="104"/>
      <c r="C264" s="104"/>
      <c r="D264" s="105"/>
      <c r="E264" s="106"/>
      <c r="F264" s="107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6"/>
    </row>
    <row r="265" ht="15.75" customHeight="1">
      <c r="A265" s="109"/>
      <c r="B265" s="104"/>
      <c r="C265" s="104"/>
      <c r="D265" s="105"/>
      <c r="E265" s="106"/>
      <c r="F265" s="107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6"/>
    </row>
    <row r="266" ht="15.75" customHeight="1">
      <c r="A266" s="109"/>
      <c r="B266" s="104"/>
      <c r="C266" s="104"/>
      <c r="D266" s="105"/>
      <c r="E266" s="106"/>
      <c r="F266" s="107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6"/>
    </row>
    <row r="267" ht="15.75" customHeight="1">
      <c r="A267" s="109"/>
      <c r="B267" s="104"/>
      <c r="C267" s="104"/>
      <c r="D267" s="105"/>
      <c r="E267" s="106"/>
      <c r="F267" s="107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6"/>
    </row>
    <row r="268" ht="15.75" customHeight="1">
      <c r="A268" s="109"/>
      <c r="B268" s="104"/>
      <c r="C268" s="104"/>
      <c r="D268" s="105"/>
      <c r="E268" s="106"/>
      <c r="F268" s="107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6"/>
    </row>
    <row r="269" ht="15.75" customHeight="1">
      <c r="A269" s="109"/>
      <c r="B269" s="104"/>
      <c r="C269" s="104"/>
      <c r="D269" s="105"/>
      <c r="E269" s="106"/>
      <c r="F269" s="107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6"/>
    </row>
    <row r="270" ht="15.75" customHeight="1">
      <c r="A270" s="109"/>
      <c r="B270" s="104"/>
      <c r="C270" s="104"/>
      <c r="D270" s="105"/>
      <c r="E270" s="106"/>
      <c r="F270" s="107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6"/>
    </row>
    <row r="271" ht="15.75" customHeight="1">
      <c r="A271" s="109"/>
      <c r="B271" s="104"/>
      <c r="C271" s="104"/>
      <c r="D271" s="105"/>
      <c r="E271" s="106"/>
      <c r="F271" s="107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6"/>
    </row>
    <row r="272" ht="15.75" customHeight="1">
      <c r="A272" s="109"/>
      <c r="B272" s="104"/>
      <c r="C272" s="104"/>
      <c r="D272" s="105"/>
      <c r="E272" s="106"/>
      <c r="F272" s="107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6"/>
    </row>
    <row r="273" ht="15.75" customHeight="1">
      <c r="A273" s="109"/>
      <c r="B273" s="104"/>
      <c r="C273" s="104"/>
      <c r="D273" s="105"/>
      <c r="E273" s="106"/>
      <c r="F273" s="107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6"/>
    </row>
    <row r="274" ht="15.75" customHeight="1">
      <c r="A274" s="109"/>
      <c r="B274" s="104"/>
      <c r="C274" s="104"/>
      <c r="D274" s="105"/>
      <c r="E274" s="106"/>
      <c r="F274" s="107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6"/>
    </row>
    <row r="275" ht="15.75" customHeight="1">
      <c r="A275" s="109"/>
      <c r="B275" s="104"/>
      <c r="C275" s="104"/>
      <c r="D275" s="105"/>
      <c r="E275" s="106"/>
      <c r="F275" s="107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6"/>
    </row>
    <row r="276" ht="15.75" customHeight="1">
      <c r="A276" s="109"/>
      <c r="B276" s="104"/>
      <c r="C276" s="104"/>
      <c r="D276" s="105"/>
      <c r="E276" s="106"/>
      <c r="F276" s="107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6"/>
    </row>
    <row r="277" ht="15.75" customHeight="1">
      <c r="A277" s="109"/>
      <c r="B277" s="104"/>
      <c r="C277" s="104"/>
      <c r="D277" s="105"/>
      <c r="E277" s="106"/>
      <c r="F277" s="107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6"/>
    </row>
    <row r="278" ht="15.75" customHeight="1">
      <c r="A278" s="109"/>
      <c r="B278" s="104"/>
      <c r="C278" s="104"/>
      <c r="D278" s="105"/>
      <c r="E278" s="106"/>
      <c r="F278" s="107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6"/>
    </row>
    <row r="279" ht="15.75" customHeight="1">
      <c r="A279" s="109"/>
      <c r="B279" s="104"/>
      <c r="C279" s="104"/>
      <c r="D279" s="105"/>
      <c r="E279" s="106"/>
      <c r="F279" s="107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6"/>
    </row>
    <row r="280" ht="15.75" customHeight="1">
      <c r="A280" s="109"/>
      <c r="B280" s="104"/>
      <c r="C280" s="104"/>
      <c r="D280" s="105"/>
      <c r="E280" s="106"/>
      <c r="F280" s="107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6"/>
    </row>
    <row r="281" ht="15.75" customHeight="1">
      <c r="A281" s="109"/>
      <c r="B281" s="104"/>
      <c r="C281" s="104"/>
      <c r="D281" s="105"/>
      <c r="E281" s="106"/>
      <c r="F281" s="107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6"/>
    </row>
    <row r="282" ht="15.75" customHeight="1">
      <c r="A282" s="109"/>
      <c r="B282" s="104"/>
      <c r="C282" s="104"/>
      <c r="D282" s="105"/>
      <c r="E282" s="106"/>
      <c r="F282" s="107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6"/>
    </row>
    <row r="283" ht="15.75" customHeight="1">
      <c r="A283" s="109"/>
      <c r="B283" s="104"/>
      <c r="C283" s="104"/>
      <c r="D283" s="105"/>
      <c r="E283" s="106"/>
      <c r="F283" s="107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6"/>
    </row>
    <row r="284" ht="15.75" customHeight="1">
      <c r="A284" s="109"/>
      <c r="B284" s="104"/>
      <c r="C284" s="104"/>
      <c r="D284" s="105"/>
      <c r="E284" s="106"/>
      <c r="F284" s="107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6"/>
    </row>
    <row r="285" ht="15.75" customHeight="1">
      <c r="A285" s="109"/>
      <c r="B285" s="104"/>
      <c r="C285" s="104"/>
      <c r="D285" s="105"/>
      <c r="E285" s="106"/>
      <c r="F285" s="107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6"/>
    </row>
    <row r="286" ht="15.75" customHeight="1">
      <c r="A286" s="109"/>
      <c r="B286" s="104"/>
      <c r="C286" s="104"/>
      <c r="D286" s="105"/>
      <c r="E286" s="106"/>
      <c r="F286" s="107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6"/>
    </row>
    <row r="287" ht="15.75" customHeight="1">
      <c r="A287" s="109"/>
      <c r="B287" s="104"/>
      <c r="C287" s="104"/>
      <c r="D287" s="105"/>
      <c r="E287" s="106"/>
      <c r="F287" s="107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6"/>
    </row>
    <row r="288" ht="15.75" customHeight="1">
      <c r="A288" s="109"/>
      <c r="B288" s="104"/>
      <c r="C288" s="104"/>
      <c r="D288" s="105"/>
      <c r="E288" s="106"/>
      <c r="F288" s="107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6"/>
    </row>
    <row r="289" ht="15.75" customHeight="1">
      <c r="A289" s="109"/>
      <c r="B289" s="104"/>
      <c r="C289" s="104"/>
      <c r="D289" s="105"/>
      <c r="E289" s="106"/>
      <c r="F289" s="107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6"/>
    </row>
    <row r="290" ht="15.75" customHeight="1">
      <c r="A290" s="109"/>
      <c r="B290" s="104"/>
      <c r="C290" s="104"/>
      <c r="D290" s="105"/>
      <c r="E290" s="106"/>
      <c r="F290" s="107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6"/>
    </row>
    <row r="291" ht="15.75" customHeight="1">
      <c r="A291" s="109"/>
      <c r="B291" s="104"/>
      <c r="C291" s="104"/>
      <c r="D291" s="105"/>
      <c r="E291" s="106"/>
      <c r="F291" s="107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6"/>
    </row>
    <row r="292" ht="15.75" customHeight="1">
      <c r="A292" s="109"/>
      <c r="B292" s="104"/>
      <c r="C292" s="104"/>
      <c r="D292" s="105"/>
      <c r="E292" s="106"/>
      <c r="F292" s="107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6"/>
    </row>
    <row r="293" ht="15.75" customHeight="1">
      <c r="A293" s="109"/>
      <c r="B293" s="104"/>
      <c r="C293" s="104"/>
      <c r="D293" s="105"/>
      <c r="E293" s="106"/>
      <c r="F293" s="107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6"/>
    </row>
    <row r="294" ht="15.75" customHeight="1">
      <c r="A294" s="109"/>
      <c r="B294" s="104"/>
      <c r="C294" s="104"/>
      <c r="D294" s="105"/>
      <c r="E294" s="106"/>
      <c r="F294" s="107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6"/>
    </row>
    <row r="295" ht="15.75" customHeight="1">
      <c r="A295" s="109"/>
      <c r="B295" s="104"/>
      <c r="C295" s="104"/>
      <c r="D295" s="105"/>
      <c r="E295" s="106"/>
      <c r="F295" s="107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6"/>
    </row>
    <row r="296" ht="15.75" customHeight="1">
      <c r="A296" s="109"/>
      <c r="B296" s="104"/>
      <c r="C296" s="104"/>
      <c r="D296" s="105"/>
      <c r="E296" s="106"/>
      <c r="F296" s="107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6"/>
    </row>
    <row r="297" ht="15.75" customHeight="1">
      <c r="A297" s="109"/>
      <c r="B297" s="104"/>
      <c r="C297" s="104"/>
      <c r="D297" s="105"/>
      <c r="E297" s="106"/>
      <c r="F297" s="107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6"/>
    </row>
    <row r="298" ht="15.75" customHeight="1">
      <c r="A298" s="109"/>
      <c r="B298" s="104"/>
      <c r="C298" s="104"/>
      <c r="D298" s="105"/>
      <c r="E298" s="106"/>
      <c r="F298" s="107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6"/>
    </row>
    <row r="299" ht="15.75" customHeight="1">
      <c r="A299" s="109"/>
      <c r="B299" s="104"/>
      <c r="C299" s="104"/>
      <c r="D299" s="105"/>
      <c r="E299" s="106"/>
      <c r="F299" s="107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6"/>
    </row>
    <row r="300" ht="15.75" customHeight="1">
      <c r="A300" s="109"/>
      <c r="B300" s="104"/>
      <c r="C300" s="104"/>
      <c r="D300" s="105"/>
      <c r="E300" s="106"/>
      <c r="F300" s="107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6"/>
    </row>
    <row r="301" ht="15.75" customHeight="1">
      <c r="A301" s="109"/>
      <c r="B301" s="104"/>
      <c r="C301" s="104"/>
      <c r="D301" s="105"/>
      <c r="E301" s="106"/>
      <c r="F301" s="107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6"/>
    </row>
    <row r="302" ht="15.75" customHeight="1">
      <c r="A302" s="109"/>
      <c r="B302" s="104"/>
      <c r="C302" s="104"/>
      <c r="D302" s="105"/>
      <c r="E302" s="106"/>
      <c r="F302" s="107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6"/>
    </row>
    <row r="303" ht="15.75" customHeight="1">
      <c r="A303" s="109"/>
      <c r="B303" s="104"/>
      <c r="C303" s="104"/>
      <c r="D303" s="105"/>
      <c r="E303" s="106"/>
      <c r="F303" s="107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6"/>
    </row>
    <row r="304" ht="15.75" customHeight="1">
      <c r="A304" s="109"/>
      <c r="B304" s="104"/>
      <c r="C304" s="104"/>
      <c r="D304" s="105"/>
      <c r="E304" s="106"/>
      <c r="F304" s="107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6"/>
    </row>
    <row r="305" ht="15.75" customHeight="1">
      <c r="A305" s="109"/>
      <c r="B305" s="104"/>
      <c r="C305" s="104"/>
      <c r="D305" s="105"/>
      <c r="E305" s="106"/>
      <c r="F305" s="107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6"/>
    </row>
    <row r="306" ht="15.75" customHeight="1">
      <c r="A306" s="109"/>
      <c r="B306" s="104"/>
      <c r="C306" s="104"/>
      <c r="D306" s="105"/>
      <c r="E306" s="106"/>
      <c r="F306" s="107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6"/>
    </row>
    <row r="307" ht="15.75" customHeight="1">
      <c r="A307" s="109"/>
      <c r="B307" s="104"/>
      <c r="C307" s="104"/>
      <c r="D307" s="105"/>
      <c r="E307" s="106"/>
      <c r="F307" s="107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6"/>
    </row>
    <row r="308" ht="15.75" customHeight="1">
      <c r="A308" s="109"/>
      <c r="B308" s="104"/>
      <c r="C308" s="104"/>
      <c r="D308" s="105"/>
      <c r="E308" s="106"/>
      <c r="F308" s="107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6"/>
    </row>
    <row r="309" ht="15.75" customHeight="1">
      <c r="A309" s="109"/>
      <c r="B309" s="104"/>
      <c r="C309" s="104"/>
      <c r="D309" s="105"/>
      <c r="E309" s="106"/>
      <c r="F309" s="107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6"/>
    </row>
    <row r="310" ht="15.75" customHeight="1">
      <c r="A310" s="109"/>
      <c r="B310" s="104"/>
      <c r="C310" s="104"/>
      <c r="D310" s="105"/>
      <c r="E310" s="106"/>
      <c r="F310" s="107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6"/>
    </row>
    <row r="311" ht="15.75" customHeight="1">
      <c r="A311" s="109"/>
      <c r="B311" s="104"/>
      <c r="C311" s="104"/>
      <c r="D311" s="105"/>
      <c r="E311" s="106"/>
      <c r="F311" s="107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6"/>
    </row>
    <row r="312" ht="15.75" customHeight="1">
      <c r="A312" s="109"/>
      <c r="B312" s="104"/>
      <c r="C312" s="104"/>
      <c r="D312" s="105"/>
      <c r="E312" s="106"/>
      <c r="F312" s="107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6"/>
    </row>
    <row r="313" ht="15.75" customHeight="1">
      <c r="A313" s="109"/>
      <c r="B313" s="104"/>
      <c r="C313" s="104"/>
      <c r="D313" s="105"/>
      <c r="E313" s="106"/>
      <c r="F313" s="107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6"/>
    </row>
    <row r="314" ht="15.75" customHeight="1">
      <c r="A314" s="109"/>
      <c r="B314" s="104"/>
      <c r="C314" s="104"/>
      <c r="D314" s="105"/>
      <c r="E314" s="106"/>
      <c r="F314" s="107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6"/>
    </row>
    <row r="315" ht="15.75" customHeight="1">
      <c r="A315" s="109"/>
      <c r="B315" s="104"/>
      <c r="C315" s="104"/>
      <c r="D315" s="105"/>
      <c r="E315" s="106"/>
      <c r="F315" s="107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6"/>
    </row>
    <row r="316" ht="15.75" customHeight="1">
      <c r="A316" s="109"/>
      <c r="B316" s="104"/>
      <c r="C316" s="104"/>
      <c r="D316" s="105"/>
      <c r="E316" s="106"/>
      <c r="F316" s="107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6"/>
    </row>
    <row r="317" ht="15.75" customHeight="1">
      <c r="A317" s="109"/>
      <c r="B317" s="104"/>
      <c r="C317" s="104"/>
      <c r="D317" s="105"/>
      <c r="E317" s="106"/>
      <c r="F317" s="107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6"/>
    </row>
    <row r="318" ht="15.75" customHeight="1">
      <c r="A318" s="109"/>
      <c r="B318" s="104"/>
      <c r="C318" s="104"/>
      <c r="D318" s="105"/>
      <c r="E318" s="106"/>
      <c r="F318" s="107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6"/>
    </row>
    <row r="319" ht="15.75" customHeight="1">
      <c r="A319" s="109"/>
      <c r="B319" s="104"/>
      <c r="C319" s="104"/>
      <c r="D319" s="105"/>
      <c r="E319" s="106"/>
      <c r="F319" s="107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6"/>
    </row>
    <row r="320" ht="15.75" customHeight="1">
      <c r="A320" s="109"/>
      <c r="B320" s="104"/>
      <c r="C320" s="104"/>
      <c r="D320" s="105"/>
      <c r="E320" s="106"/>
      <c r="F320" s="107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6"/>
    </row>
    <row r="321" ht="15.75" customHeight="1">
      <c r="A321" s="109"/>
      <c r="B321" s="104"/>
      <c r="C321" s="104"/>
      <c r="D321" s="105"/>
      <c r="E321" s="106"/>
      <c r="F321" s="107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6"/>
    </row>
    <row r="322" ht="15.75" customHeight="1">
      <c r="A322" s="109"/>
      <c r="B322" s="104"/>
      <c r="C322" s="104"/>
      <c r="D322" s="105"/>
      <c r="E322" s="106"/>
      <c r="F322" s="107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6"/>
    </row>
    <row r="323" ht="15.75" customHeight="1">
      <c r="A323" s="109"/>
      <c r="B323" s="104"/>
      <c r="C323" s="104"/>
      <c r="D323" s="105"/>
      <c r="E323" s="106"/>
      <c r="F323" s="107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6"/>
    </row>
    <row r="324" ht="15.75" customHeight="1">
      <c r="A324" s="109"/>
      <c r="B324" s="104"/>
      <c r="C324" s="104"/>
      <c r="D324" s="105"/>
      <c r="E324" s="106"/>
      <c r="F324" s="107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6"/>
    </row>
    <row r="325" ht="15.75" customHeight="1">
      <c r="A325" s="109"/>
      <c r="B325" s="104"/>
      <c r="C325" s="104"/>
      <c r="D325" s="105"/>
      <c r="E325" s="106"/>
      <c r="F325" s="107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6"/>
    </row>
    <row r="326" ht="15.75" customHeight="1">
      <c r="A326" s="109"/>
      <c r="B326" s="104"/>
      <c r="C326" s="104"/>
      <c r="D326" s="105"/>
      <c r="E326" s="106"/>
      <c r="F326" s="107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6"/>
    </row>
    <row r="327" ht="15.75" customHeight="1">
      <c r="A327" s="109"/>
      <c r="B327" s="104"/>
      <c r="C327" s="104"/>
      <c r="D327" s="105"/>
      <c r="E327" s="106"/>
      <c r="F327" s="107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6"/>
    </row>
    <row r="328" ht="15.75" customHeight="1">
      <c r="A328" s="109"/>
      <c r="B328" s="104"/>
      <c r="C328" s="104"/>
      <c r="D328" s="105"/>
      <c r="E328" s="106"/>
      <c r="F328" s="107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6"/>
    </row>
    <row r="329" ht="15.75" customHeight="1">
      <c r="A329" s="109"/>
      <c r="B329" s="104"/>
      <c r="C329" s="104"/>
      <c r="D329" s="105"/>
      <c r="E329" s="106"/>
      <c r="F329" s="107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6"/>
    </row>
    <row r="330" ht="15.75" customHeight="1">
      <c r="A330" s="109"/>
      <c r="B330" s="104"/>
      <c r="C330" s="104"/>
      <c r="D330" s="105"/>
      <c r="E330" s="106"/>
      <c r="F330" s="107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6"/>
    </row>
    <row r="331" ht="15.75" customHeight="1">
      <c r="A331" s="109"/>
      <c r="B331" s="104"/>
      <c r="C331" s="104"/>
      <c r="D331" s="105"/>
      <c r="E331" s="106"/>
      <c r="F331" s="107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6"/>
    </row>
    <row r="332" ht="15.75" customHeight="1">
      <c r="A332" s="109"/>
      <c r="B332" s="104"/>
      <c r="C332" s="104"/>
      <c r="D332" s="105"/>
      <c r="E332" s="106"/>
      <c r="F332" s="107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6"/>
    </row>
    <row r="333" ht="15.75" customHeight="1">
      <c r="A333" s="109"/>
      <c r="B333" s="104"/>
      <c r="C333" s="104"/>
      <c r="D333" s="105"/>
      <c r="E333" s="106"/>
      <c r="F333" s="107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6"/>
    </row>
    <row r="334" ht="15.75" customHeight="1">
      <c r="A334" s="109"/>
      <c r="B334" s="104"/>
      <c r="C334" s="104"/>
      <c r="D334" s="105"/>
      <c r="E334" s="106"/>
      <c r="F334" s="107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6"/>
    </row>
    <row r="335" ht="15.75" customHeight="1">
      <c r="A335" s="109"/>
      <c r="B335" s="104"/>
      <c r="C335" s="104"/>
      <c r="D335" s="105"/>
      <c r="E335" s="106"/>
      <c r="F335" s="107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6"/>
    </row>
    <row r="336" ht="15.75" customHeight="1">
      <c r="A336" s="109"/>
      <c r="B336" s="104"/>
      <c r="C336" s="104"/>
      <c r="D336" s="105"/>
      <c r="E336" s="106"/>
      <c r="F336" s="107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6"/>
    </row>
    <row r="337" ht="15.75" customHeight="1">
      <c r="A337" s="109"/>
      <c r="B337" s="104"/>
      <c r="C337" s="104"/>
      <c r="D337" s="105"/>
      <c r="E337" s="106"/>
      <c r="F337" s="107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6"/>
    </row>
    <row r="338" ht="15.75" customHeight="1">
      <c r="A338" s="109"/>
      <c r="B338" s="104"/>
      <c r="C338" s="104"/>
      <c r="D338" s="105"/>
      <c r="E338" s="106"/>
      <c r="F338" s="107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6"/>
    </row>
    <row r="339" ht="15.75" customHeight="1">
      <c r="A339" s="109"/>
      <c r="B339" s="104"/>
      <c r="C339" s="104"/>
      <c r="D339" s="105"/>
      <c r="E339" s="106"/>
      <c r="F339" s="107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6"/>
    </row>
    <row r="340" ht="15.75" customHeight="1">
      <c r="A340" s="109"/>
      <c r="B340" s="104"/>
      <c r="C340" s="104"/>
      <c r="D340" s="105"/>
      <c r="E340" s="106"/>
      <c r="F340" s="107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6"/>
    </row>
    <row r="341" ht="15.75" customHeight="1">
      <c r="A341" s="109"/>
      <c r="B341" s="104"/>
      <c r="C341" s="104"/>
      <c r="D341" s="105"/>
      <c r="E341" s="106"/>
      <c r="F341" s="107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6"/>
    </row>
    <row r="342" ht="15.75" customHeight="1">
      <c r="A342" s="109"/>
      <c r="B342" s="104"/>
      <c r="C342" s="104"/>
      <c r="D342" s="105"/>
      <c r="E342" s="106"/>
      <c r="F342" s="107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6"/>
    </row>
    <row r="343" ht="15.75" customHeight="1">
      <c r="A343" s="109"/>
      <c r="B343" s="104"/>
      <c r="C343" s="104"/>
      <c r="D343" s="105"/>
      <c r="E343" s="106"/>
      <c r="F343" s="107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6"/>
    </row>
    <row r="344" ht="15.75" customHeight="1">
      <c r="A344" s="109"/>
      <c r="B344" s="104"/>
      <c r="C344" s="104"/>
      <c r="D344" s="105"/>
      <c r="E344" s="106"/>
      <c r="F344" s="107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6"/>
    </row>
    <row r="345" ht="15.75" customHeight="1">
      <c r="A345" s="109"/>
      <c r="B345" s="104"/>
      <c r="C345" s="104"/>
      <c r="D345" s="105"/>
      <c r="E345" s="106"/>
      <c r="F345" s="107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6"/>
    </row>
    <row r="346" ht="15.75" customHeight="1">
      <c r="A346" s="109"/>
      <c r="B346" s="104"/>
      <c r="C346" s="104"/>
      <c r="D346" s="105"/>
      <c r="E346" s="106"/>
      <c r="F346" s="107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6"/>
    </row>
    <row r="347" ht="15.75" customHeight="1">
      <c r="A347" s="109"/>
      <c r="B347" s="104"/>
      <c r="C347" s="104"/>
      <c r="D347" s="105"/>
      <c r="E347" s="106"/>
      <c r="F347" s="107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6"/>
    </row>
    <row r="348" ht="15.75" customHeight="1">
      <c r="A348" s="109"/>
      <c r="B348" s="104"/>
      <c r="C348" s="104"/>
      <c r="D348" s="105"/>
      <c r="E348" s="106"/>
      <c r="F348" s="107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6"/>
    </row>
    <row r="349" ht="15.75" customHeight="1">
      <c r="A349" s="109"/>
      <c r="B349" s="104"/>
      <c r="C349" s="104"/>
      <c r="D349" s="105"/>
      <c r="E349" s="106"/>
      <c r="F349" s="107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6"/>
    </row>
    <row r="350" ht="15.75" customHeight="1">
      <c r="A350" s="109"/>
      <c r="B350" s="104"/>
      <c r="C350" s="104"/>
      <c r="D350" s="105"/>
      <c r="E350" s="106"/>
      <c r="F350" s="107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6"/>
    </row>
    <row r="351" ht="15.75" customHeight="1">
      <c r="A351" s="109"/>
      <c r="B351" s="104"/>
      <c r="C351" s="104"/>
      <c r="D351" s="105"/>
      <c r="E351" s="106"/>
      <c r="F351" s="107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6"/>
    </row>
    <row r="352" ht="15.75" customHeight="1">
      <c r="A352" s="109"/>
      <c r="B352" s="104"/>
      <c r="C352" s="104"/>
      <c r="D352" s="105"/>
      <c r="E352" s="106"/>
      <c r="F352" s="107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6"/>
    </row>
    <row r="353" ht="15.75" customHeight="1">
      <c r="A353" s="109"/>
      <c r="B353" s="104"/>
      <c r="C353" s="104"/>
      <c r="D353" s="105"/>
      <c r="E353" s="106"/>
      <c r="F353" s="107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6"/>
    </row>
    <row r="354" ht="15.75" customHeight="1">
      <c r="A354" s="109"/>
      <c r="B354" s="104"/>
      <c r="C354" s="104"/>
      <c r="D354" s="105"/>
      <c r="E354" s="106"/>
      <c r="F354" s="107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6"/>
    </row>
    <row r="355" ht="15.75" customHeight="1">
      <c r="A355" s="109"/>
      <c r="B355" s="104"/>
      <c r="C355" s="104"/>
      <c r="D355" s="105"/>
      <c r="E355" s="106"/>
      <c r="F355" s="107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6"/>
    </row>
    <row r="356" ht="15.75" customHeight="1">
      <c r="A356" s="109"/>
      <c r="B356" s="104"/>
      <c r="C356" s="104"/>
      <c r="D356" s="105"/>
      <c r="E356" s="106"/>
      <c r="F356" s="107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6"/>
    </row>
    <row r="357" ht="15.75" customHeight="1">
      <c r="A357" s="109"/>
      <c r="B357" s="104"/>
      <c r="C357" s="104"/>
      <c r="D357" s="105"/>
      <c r="E357" s="106"/>
      <c r="F357" s="107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6"/>
    </row>
    <row r="358" ht="15.75" customHeight="1">
      <c r="A358" s="109"/>
      <c r="B358" s="104"/>
      <c r="C358" s="104"/>
      <c r="D358" s="105"/>
      <c r="E358" s="106"/>
      <c r="F358" s="107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6"/>
    </row>
    <row r="359" ht="15.75" customHeight="1">
      <c r="A359" s="109"/>
      <c r="B359" s="104"/>
      <c r="C359" s="104"/>
      <c r="D359" s="105"/>
      <c r="E359" s="106"/>
      <c r="F359" s="107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6"/>
    </row>
    <row r="360" ht="15.75" customHeight="1">
      <c r="A360" s="109"/>
      <c r="B360" s="104"/>
      <c r="C360" s="104"/>
      <c r="D360" s="105"/>
      <c r="E360" s="106"/>
      <c r="F360" s="107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6"/>
    </row>
    <row r="361" ht="15.75" customHeight="1">
      <c r="A361" s="109"/>
      <c r="B361" s="104"/>
      <c r="C361" s="104"/>
      <c r="D361" s="105"/>
      <c r="E361" s="106"/>
      <c r="F361" s="107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6"/>
    </row>
    <row r="362" ht="15.75" customHeight="1">
      <c r="A362" s="109"/>
      <c r="B362" s="104"/>
      <c r="C362" s="104"/>
      <c r="D362" s="105"/>
      <c r="E362" s="106"/>
      <c r="F362" s="107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6"/>
    </row>
    <row r="363" ht="15.75" customHeight="1">
      <c r="A363" s="109"/>
      <c r="B363" s="104"/>
      <c r="C363" s="104"/>
      <c r="D363" s="105"/>
      <c r="E363" s="106"/>
      <c r="F363" s="107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6"/>
    </row>
    <row r="364" ht="15.75" customHeight="1">
      <c r="A364" s="109"/>
      <c r="B364" s="104"/>
      <c r="C364" s="104"/>
      <c r="D364" s="105"/>
      <c r="E364" s="106"/>
      <c r="F364" s="107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6"/>
    </row>
    <row r="365" ht="15.75" customHeight="1">
      <c r="A365" s="109"/>
      <c r="B365" s="104"/>
      <c r="C365" s="104"/>
      <c r="D365" s="105"/>
      <c r="E365" s="106"/>
      <c r="F365" s="107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6"/>
    </row>
    <row r="366" ht="15.75" customHeight="1">
      <c r="A366" s="109"/>
      <c r="B366" s="104"/>
      <c r="C366" s="104"/>
      <c r="D366" s="105"/>
      <c r="E366" s="106"/>
      <c r="F366" s="107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6"/>
    </row>
    <row r="367" ht="15.75" customHeight="1">
      <c r="A367" s="109"/>
      <c r="B367" s="104"/>
      <c r="C367" s="104"/>
      <c r="D367" s="105"/>
      <c r="E367" s="106"/>
      <c r="F367" s="107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6"/>
    </row>
    <row r="368" ht="15.75" customHeight="1">
      <c r="A368" s="109"/>
      <c r="B368" s="104"/>
      <c r="C368" s="104"/>
      <c r="D368" s="105"/>
      <c r="E368" s="106"/>
      <c r="F368" s="107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6"/>
    </row>
    <row r="369" ht="15.75" customHeight="1">
      <c r="A369" s="109"/>
      <c r="B369" s="104"/>
      <c r="C369" s="104"/>
      <c r="D369" s="105"/>
      <c r="E369" s="106"/>
      <c r="F369" s="107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6"/>
    </row>
    <row r="370" ht="15.75" customHeight="1">
      <c r="A370" s="109"/>
      <c r="B370" s="104"/>
      <c r="C370" s="104"/>
      <c r="D370" s="105"/>
      <c r="E370" s="106"/>
      <c r="F370" s="107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6"/>
    </row>
    <row r="371" ht="15.75" customHeight="1">
      <c r="A371" s="109"/>
      <c r="B371" s="104"/>
      <c r="C371" s="104"/>
      <c r="D371" s="105"/>
      <c r="E371" s="106"/>
      <c r="F371" s="107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6"/>
    </row>
    <row r="372" ht="15.75" customHeight="1">
      <c r="A372" s="109"/>
      <c r="B372" s="104"/>
      <c r="C372" s="104"/>
      <c r="D372" s="105"/>
      <c r="E372" s="106"/>
      <c r="F372" s="107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6"/>
    </row>
    <row r="373" ht="15.75" customHeight="1">
      <c r="A373" s="109"/>
      <c r="B373" s="104"/>
      <c r="C373" s="104"/>
      <c r="D373" s="105"/>
      <c r="E373" s="106"/>
      <c r="F373" s="107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6"/>
    </row>
    <row r="374" ht="15.75" customHeight="1">
      <c r="A374" s="109"/>
      <c r="B374" s="104"/>
      <c r="C374" s="104"/>
      <c r="D374" s="105"/>
      <c r="E374" s="106"/>
      <c r="F374" s="107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6"/>
    </row>
    <row r="375" ht="15.75" customHeight="1">
      <c r="A375" s="109"/>
      <c r="B375" s="104"/>
      <c r="C375" s="104"/>
      <c r="D375" s="105"/>
      <c r="E375" s="106"/>
      <c r="F375" s="107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6"/>
    </row>
    <row r="376" ht="15.75" customHeight="1">
      <c r="A376" s="109"/>
      <c r="B376" s="104"/>
      <c r="C376" s="104"/>
      <c r="D376" s="105"/>
      <c r="E376" s="106"/>
      <c r="F376" s="107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6"/>
    </row>
    <row r="377" ht="15.75" customHeight="1">
      <c r="A377" s="109"/>
      <c r="B377" s="104"/>
      <c r="C377" s="104"/>
      <c r="D377" s="105"/>
      <c r="E377" s="106"/>
      <c r="F377" s="107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6"/>
    </row>
    <row r="378" ht="15.75" customHeight="1">
      <c r="A378" s="109"/>
      <c r="B378" s="104"/>
      <c r="C378" s="104"/>
      <c r="D378" s="105"/>
      <c r="E378" s="106"/>
      <c r="F378" s="107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6"/>
    </row>
    <row r="379" ht="15.75" customHeight="1">
      <c r="A379" s="109"/>
      <c r="B379" s="104"/>
      <c r="C379" s="104"/>
      <c r="D379" s="105"/>
      <c r="E379" s="106"/>
      <c r="F379" s="107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6"/>
    </row>
    <row r="380" ht="15.75" customHeight="1">
      <c r="A380" s="109"/>
      <c r="B380" s="104"/>
      <c r="C380" s="104"/>
      <c r="D380" s="105"/>
      <c r="E380" s="106"/>
      <c r="F380" s="107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6"/>
    </row>
    <row r="381" ht="15.75" customHeight="1">
      <c r="A381" s="109"/>
      <c r="B381" s="104"/>
      <c r="C381" s="104"/>
      <c r="D381" s="105"/>
      <c r="E381" s="106"/>
      <c r="F381" s="107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6"/>
    </row>
    <row r="382" ht="15.75" customHeight="1">
      <c r="A382" s="109"/>
      <c r="B382" s="104"/>
      <c r="C382" s="104"/>
      <c r="D382" s="105"/>
      <c r="E382" s="106"/>
      <c r="F382" s="107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6"/>
    </row>
    <row r="383" ht="15.75" customHeight="1">
      <c r="A383" s="109"/>
      <c r="B383" s="104"/>
      <c r="C383" s="104"/>
      <c r="D383" s="105"/>
      <c r="E383" s="106"/>
      <c r="F383" s="107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6"/>
    </row>
    <row r="384" ht="15.75" customHeight="1">
      <c r="A384" s="109"/>
      <c r="B384" s="104"/>
      <c r="C384" s="104"/>
      <c r="D384" s="105"/>
      <c r="E384" s="106"/>
      <c r="F384" s="107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6"/>
    </row>
    <row r="385" ht="15.75" customHeight="1">
      <c r="A385" s="109"/>
      <c r="B385" s="104"/>
      <c r="C385" s="104"/>
      <c r="D385" s="105"/>
      <c r="E385" s="106"/>
      <c r="F385" s="107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6"/>
    </row>
    <row r="386" ht="15.75" customHeight="1">
      <c r="A386" s="109"/>
      <c r="B386" s="104"/>
      <c r="C386" s="104"/>
      <c r="D386" s="105"/>
      <c r="E386" s="106"/>
      <c r="F386" s="107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6"/>
    </row>
    <row r="387" ht="15.75" customHeight="1">
      <c r="A387" s="109"/>
      <c r="B387" s="104"/>
      <c r="C387" s="104"/>
      <c r="D387" s="105"/>
      <c r="E387" s="106"/>
      <c r="F387" s="107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6"/>
    </row>
    <row r="388" ht="15.75" customHeight="1">
      <c r="A388" s="109"/>
      <c r="B388" s="104"/>
      <c r="C388" s="104"/>
      <c r="D388" s="105"/>
      <c r="E388" s="106"/>
      <c r="F388" s="107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6"/>
    </row>
    <row r="389" ht="15.75" customHeight="1">
      <c r="A389" s="109"/>
      <c r="B389" s="104"/>
      <c r="C389" s="104"/>
      <c r="D389" s="105"/>
      <c r="E389" s="106"/>
      <c r="F389" s="107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6"/>
    </row>
    <row r="390" ht="15.75" customHeight="1">
      <c r="A390" s="109"/>
      <c r="B390" s="104"/>
      <c r="C390" s="104"/>
      <c r="D390" s="105"/>
      <c r="E390" s="106"/>
      <c r="F390" s="107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6"/>
    </row>
    <row r="391" ht="15.75" customHeight="1">
      <c r="A391" s="109"/>
      <c r="B391" s="104"/>
      <c r="C391" s="104"/>
      <c r="D391" s="105"/>
      <c r="E391" s="106"/>
      <c r="F391" s="107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6"/>
    </row>
    <row r="392" ht="15.75" customHeight="1">
      <c r="A392" s="109"/>
      <c r="B392" s="104"/>
      <c r="C392" s="104"/>
      <c r="D392" s="105"/>
      <c r="E392" s="106"/>
      <c r="F392" s="107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6"/>
    </row>
    <row r="393" ht="15.75" customHeight="1">
      <c r="A393" s="109"/>
      <c r="B393" s="104"/>
      <c r="C393" s="104"/>
      <c r="D393" s="105"/>
      <c r="E393" s="106"/>
      <c r="F393" s="107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6"/>
    </row>
    <row r="394" ht="15.75" customHeight="1">
      <c r="A394" s="109"/>
      <c r="B394" s="104"/>
      <c r="C394" s="104"/>
      <c r="D394" s="105"/>
      <c r="E394" s="106"/>
      <c r="F394" s="107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6"/>
    </row>
    <row r="395" ht="15.75" customHeight="1">
      <c r="A395" s="109"/>
      <c r="B395" s="104"/>
      <c r="C395" s="104"/>
      <c r="D395" s="105"/>
      <c r="E395" s="106"/>
      <c r="F395" s="107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6"/>
    </row>
    <row r="396" ht="15.75" customHeight="1">
      <c r="A396" s="109"/>
      <c r="B396" s="104"/>
      <c r="C396" s="104"/>
      <c r="D396" s="105"/>
      <c r="E396" s="106"/>
      <c r="F396" s="107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6"/>
    </row>
    <row r="397" ht="15.75" customHeight="1">
      <c r="A397" s="109"/>
      <c r="B397" s="104"/>
      <c r="C397" s="104"/>
      <c r="D397" s="105"/>
      <c r="E397" s="106"/>
      <c r="F397" s="107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6"/>
    </row>
    <row r="398" ht="15.75" customHeight="1">
      <c r="A398" s="109"/>
      <c r="B398" s="104"/>
      <c r="C398" s="104"/>
      <c r="D398" s="105"/>
      <c r="E398" s="106"/>
      <c r="F398" s="107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6"/>
    </row>
    <row r="399" ht="15.75" customHeight="1">
      <c r="A399" s="109"/>
      <c r="B399" s="104"/>
      <c r="C399" s="104"/>
      <c r="D399" s="105"/>
      <c r="E399" s="106"/>
      <c r="F399" s="107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6"/>
    </row>
    <row r="400" ht="15.75" customHeight="1">
      <c r="A400" s="109"/>
      <c r="B400" s="104"/>
      <c r="C400" s="104"/>
      <c r="D400" s="105"/>
      <c r="E400" s="106"/>
      <c r="F400" s="107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6"/>
    </row>
    <row r="401" ht="15.75" customHeight="1">
      <c r="A401" s="109"/>
      <c r="B401" s="104"/>
      <c r="C401" s="104"/>
      <c r="D401" s="105"/>
      <c r="E401" s="106"/>
      <c r="F401" s="107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6"/>
    </row>
    <row r="402" ht="15.75" customHeight="1">
      <c r="A402" s="109"/>
      <c r="B402" s="104"/>
      <c r="C402" s="104"/>
      <c r="D402" s="105"/>
      <c r="E402" s="106"/>
      <c r="F402" s="107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6"/>
    </row>
    <row r="403" ht="15.75" customHeight="1">
      <c r="A403" s="109"/>
      <c r="B403" s="104"/>
      <c r="C403" s="104"/>
      <c r="D403" s="105"/>
      <c r="E403" s="106"/>
      <c r="F403" s="107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6"/>
    </row>
    <row r="404" ht="15.75" customHeight="1">
      <c r="A404" s="109"/>
      <c r="B404" s="104"/>
      <c r="C404" s="104"/>
      <c r="D404" s="105"/>
      <c r="E404" s="106"/>
      <c r="F404" s="107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6"/>
    </row>
    <row r="405" ht="15.75" customHeight="1">
      <c r="A405" s="109"/>
      <c r="B405" s="104"/>
      <c r="C405" s="104"/>
      <c r="D405" s="105"/>
      <c r="E405" s="106"/>
      <c r="F405" s="107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6"/>
    </row>
    <row r="406" ht="15.75" customHeight="1">
      <c r="A406" s="109"/>
      <c r="B406" s="104"/>
      <c r="C406" s="104"/>
      <c r="D406" s="105"/>
      <c r="E406" s="106"/>
      <c r="F406" s="107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6"/>
    </row>
    <row r="407" ht="15.75" customHeight="1">
      <c r="A407" s="109"/>
      <c r="B407" s="104"/>
      <c r="C407" s="104"/>
      <c r="D407" s="105"/>
      <c r="E407" s="106"/>
      <c r="F407" s="107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6"/>
    </row>
    <row r="408" ht="15.75" customHeight="1">
      <c r="A408" s="109"/>
      <c r="B408" s="104"/>
      <c r="C408" s="104"/>
      <c r="D408" s="105"/>
      <c r="E408" s="106"/>
      <c r="F408" s="107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6"/>
    </row>
    <row r="409" ht="15.75" customHeight="1">
      <c r="A409" s="109"/>
      <c r="B409" s="104"/>
      <c r="C409" s="104"/>
      <c r="D409" s="105"/>
      <c r="E409" s="106"/>
      <c r="F409" s="107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6"/>
    </row>
    <row r="410" ht="15.75" customHeight="1">
      <c r="A410" s="109"/>
      <c r="B410" s="104"/>
      <c r="C410" s="104"/>
      <c r="D410" s="105"/>
      <c r="E410" s="106"/>
      <c r="F410" s="107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6"/>
    </row>
    <row r="411" ht="15.75" customHeight="1">
      <c r="A411" s="109"/>
      <c r="B411" s="104"/>
      <c r="C411" s="104"/>
      <c r="D411" s="105"/>
      <c r="E411" s="106"/>
      <c r="F411" s="107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6"/>
    </row>
    <row r="412" ht="15.75" customHeight="1">
      <c r="A412" s="109"/>
      <c r="B412" s="104"/>
      <c r="C412" s="104"/>
      <c r="D412" s="105"/>
      <c r="E412" s="106"/>
      <c r="F412" s="107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6"/>
    </row>
    <row r="413" ht="15.75" customHeight="1">
      <c r="A413" s="109"/>
      <c r="B413" s="104"/>
      <c r="C413" s="104"/>
      <c r="D413" s="105"/>
      <c r="E413" s="106"/>
      <c r="F413" s="107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6"/>
    </row>
    <row r="414" ht="15.75" customHeight="1">
      <c r="A414" s="109"/>
      <c r="B414" s="104"/>
      <c r="C414" s="104"/>
      <c r="D414" s="105"/>
      <c r="E414" s="106"/>
      <c r="F414" s="107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6"/>
    </row>
    <row r="415" ht="15.75" customHeight="1">
      <c r="A415" s="109"/>
      <c r="B415" s="104"/>
      <c r="C415" s="104"/>
      <c r="D415" s="105"/>
      <c r="E415" s="106"/>
      <c r="F415" s="107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6"/>
    </row>
    <row r="416" ht="15.75" customHeight="1">
      <c r="A416" s="109"/>
      <c r="B416" s="104"/>
      <c r="C416" s="104"/>
      <c r="D416" s="105"/>
      <c r="E416" s="106"/>
      <c r="F416" s="107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6"/>
    </row>
    <row r="417" ht="15.75" customHeight="1">
      <c r="A417" s="109"/>
      <c r="B417" s="104"/>
      <c r="C417" s="104"/>
      <c r="D417" s="105"/>
      <c r="E417" s="106"/>
      <c r="F417" s="107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6"/>
    </row>
    <row r="418" ht="15.75" customHeight="1">
      <c r="A418" s="109"/>
      <c r="B418" s="104"/>
      <c r="C418" s="104"/>
      <c r="D418" s="105"/>
      <c r="E418" s="106"/>
      <c r="F418" s="107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6"/>
    </row>
    <row r="419" ht="15.75" customHeight="1">
      <c r="A419" s="109"/>
      <c r="B419" s="104"/>
      <c r="C419" s="104"/>
      <c r="D419" s="105"/>
      <c r="E419" s="106"/>
      <c r="F419" s="107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6"/>
    </row>
    <row r="420" ht="15.75" customHeight="1">
      <c r="A420" s="109"/>
      <c r="B420" s="104"/>
      <c r="C420" s="104"/>
      <c r="D420" s="105"/>
      <c r="E420" s="106"/>
      <c r="F420" s="107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6"/>
    </row>
    <row r="421" ht="15.75" customHeight="1">
      <c r="A421" s="109"/>
      <c r="B421" s="104"/>
      <c r="C421" s="104"/>
      <c r="D421" s="105"/>
      <c r="E421" s="106"/>
      <c r="F421" s="107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6"/>
    </row>
    <row r="422" ht="15.75" customHeight="1">
      <c r="A422" s="109"/>
      <c r="B422" s="104"/>
      <c r="C422" s="104"/>
      <c r="D422" s="105"/>
      <c r="E422" s="106"/>
      <c r="F422" s="107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6"/>
    </row>
    <row r="423" ht="15.75" customHeight="1">
      <c r="A423" s="109"/>
      <c r="B423" s="104"/>
      <c r="C423" s="104"/>
      <c r="D423" s="105"/>
      <c r="E423" s="106"/>
      <c r="F423" s="107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6"/>
    </row>
    <row r="424" ht="15.75" customHeight="1">
      <c r="A424" s="109"/>
      <c r="B424" s="104"/>
      <c r="C424" s="104"/>
      <c r="D424" s="105"/>
      <c r="E424" s="106"/>
      <c r="F424" s="107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6"/>
    </row>
    <row r="425" ht="15.75" customHeight="1">
      <c r="A425" s="109"/>
      <c r="B425" s="104"/>
      <c r="C425" s="104"/>
      <c r="D425" s="105"/>
      <c r="E425" s="106"/>
      <c r="F425" s="107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6"/>
    </row>
    <row r="426" ht="15.75" customHeight="1">
      <c r="A426" s="109"/>
      <c r="B426" s="104"/>
      <c r="C426" s="104"/>
      <c r="D426" s="105"/>
      <c r="E426" s="106"/>
      <c r="F426" s="107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6"/>
    </row>
    <row r="427" ht="15.75" customHeight="1">
      <c r="A427" s="109"/>
      <c r="B427" s="104"/>
      <c r="C427" s="104"/>
      <c r="D427" s="105"/>
      <c r="E427" s="106"/>
      <c r="F427" s="107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6"/>
    </row>
    <row r="428" ht="15.75" customHeight="1">
      <c r="A428" s="109"/>
      <c r="B428" s="104"/>
      <c r="C428" s="104"/>
      <c r="D428" s="105"/>
      <c r="E428" s="106"/>
      <c r="F428" s="107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6"/>
    </row>
    <row r="429" ht="15.75" customHeight="1">
      <c r="A429" s="109"/>
      <c r="B429" s="104"/>
      <c r="C429" s="104"/>
      <c r="D429" s="105"/>
      <c r="E429" s="106"/>
      <c r="F429" s="107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6"/>
    </row>
    <row r="430" ht="15.75" customHeight="1">
      <c r="A430" s="109"/>
      <c r="B430" s="104"/>
      <c r="C430" s="104"/>
      <c r="D430" s="105"/>
      <c r="E430" s="106"/>
      <c r="F430" s="107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6"/>
    </row>
    <row r="431" ht="15.75" customHeight="1">
      <c r="A431" s="109"/>
      <c r="B431" s="104"/>
      <c r="C431" s="104"/>
      <c r="D431" s="105"/>
      <c r="E431" s="106"/>
      <c r="F431" s="107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6"/>
    </row>
    <row r="432" ht="15.75" customHeight="1">
      <c r="A432" s="109"/>
      <c r="B432" s="104"/>
      <c r="C432" s="104"/>
      <c r="D432" s="105"/>
      <c r="E432" s="106"/>
      <c r="F432" s="107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6"/>
    </row>
    <row r="433" ht="15.75" customHeight="1">
      <c r="A433" s="109"/>
      <c r="B433" s="104"/>
      <c r="C433" s="104"/>
      <c r="D433" s="105"/>
      <c r="E433" s="106"/>
      <c r="F433" s="107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6"/>
    </row>
    <row r="434" ht="15.75" customHeight="1">
      <c r="A434" s="109"/>
      <c r="B434" s="104"/>
      <c r="C434" s="104"/>
      <c r="D434" s="105"/>
      <c r="E434" s="106"/>
      <c r="F434" s="107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6"/>
    </row>
    <row r="435" ht="15.75" customHeight="1">
      <c r="A435" s="109"/>
      <c r="B435" s="104"/>
      <c r="C435" s="104"/>
      <c r="D435" s="105"/>
      <c r="E435" s="106"/>
      <c r="F435" s="107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6"/>
    </row>
    <row r="436" ht="15.75" customHeight="1">
      <c r="A436" s="109"/>
      <c r="B436" s="104"/>
      <c r="C436" s="104"/>
      <c r="D436" s="105"/>
      <c r="E436" s="106"/>
      <c r="F436" s="107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6"/>
    </row>
    <row r="437" ht="15.75" customHeight="1">
      <c r="A437" s="109"/>
      <c r="B437" s="104"/>
      <c r="C437" s="104"/>
      <c r="D437" s="105"/>
      <c r="E437" s="106"/>
      <c r="F437" s="107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6"/>
    </row>
    <row r="438" ht="15.75" customHeight="1">
      <c r="A438" s="109"/>
      <c r="B438" s="104"/>
      <c r="C438" s="104"/>
      <c r="D438" s="105"/>
      <c r="E438" s="106"/>
      <c r="F438" s="107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6"/>
    </row>
    <row r="439" ht="15.75" customHeight="1">
      <c r="A439" s="109"/>
      <c r="B439" s="104"/>
      <c r="C439" s="104"/>
      <c r="D439" s="105"/>
      <c r="E439" s="106"/>
      <c r="F439" s="107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6"/>
    </row>
    <row r="440" ht="15.75" customHeight="1">
      <c r="A440" s="109"/>
      <c r="B440" s="104"/>
      <c r="C440" s="104"/>
      <c r="D440" s="105"/>
      <c r="E440" s="106"/>
      <c r="F440" s="107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6"/>
    </row>
    <row r="441" ht="15.75" customHeight="1">
      <c r="A441" s="109"/>
      <c r="B441" s="104"/>
      <c r="C441" s="104"/>
      <c r="D441" s="105"/>
      <c r="E441" s="106"/>
      <c r="F441" s="107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6"/>
    </row>
    <row r="442" ht="15.75" customHeight="1">
      <c r="A442" s="109"/>
      <c r="B442" s="104"/>
      <c r="C442" s="104"/>
      <c r="D442" s="105"/>
      <c r="E442" s="106"/>
      <c r="F442" s="107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6"/>
    </row>
    <row r="443" ht="15.75" customHeight="1">
      <c r="A443" s="109"/>
      <c r="B443" s="104"/>
      <c r="C443" s="104"/>
      <c r="D443" s="105"/>
      <c r="E443" s="106"/>
      <c r="F443" s="107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6"/>
    </row>
    <row r="444" ht="15.75" customHeight="1">
      <c r="A444" s="109"/>
      <c r="B444" s="104"/>
      <c r="C444" s="104"/>
      <c r="D444" s="105"/>
      <c r="E444" s="106"/>
      <c r="F444" s="107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6"/>
    </row>
    <row r="445" ht="15.75" customHeight="1">
      <c r="A445" s="109"/>
      <c r="B445" s="104"/>
      <c r="C445" s="104"/>
      <c r="D445" s="105"/>
      <c r="E445" s="106"/>
      <c r="F445" s="107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6"/>
    </row>
    <row r="446" ht="15.75" customHeight="1">
      <c r="A446" s="109"/>
      <c r="B446" s="104"/>
      <c r="C446" s="104"/>
      <c r="D446" s="105"/>
      <c r="E446" s="106"/>
      <c r="F446" s="107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6"/>
    </row>
    <row r="447" ht="15.75" customHeight="1">
      <c r="A447" s="109"/>
      <c r="B447" s="104"/>
      <c r="C447" s="104"/>
      <c r="D447" s="105"/>
      <c r="E447" s="106"/>
      <c r="F447" s="107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6"/>
    </row>
    <row r="448" ht="15.75" customHeight="1">
      <c r="A448" s="109"/>
      <c r="B448" s="104"/>
      <c r="C448" s="104"/>
      <c r="D448" s="105"/>
      <c r="E448" s="106"/>
      <c r="F448" s="107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6"/>
    </row>
    <row r="449" ht="15.75" customHeight="1">
      <c r="A449" s="109"/>
      <c r="B449" s="104"/>
      <c r="C449" s="104"/>
      <c r="D449" s="105"/>
      <c r="E449" s="106"/>
      <c r="F449" s="107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6"/>
    </row>
    <row r="450" ht="15.75" customHeight="1">
      <c r="A450" s="109"/>
      <c r="B450" s="104"/>
      <c r="C450" s="104"/>
      <c r="D450" s="105"/>
      <c r="E450" s="106"/>
      <c r="F450" s="107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6"/>
    </row>
    <row r="451" ht="15.75" customHeight="1">
      <c r="A451" s="109"/>
      <c r="B451" s="104"/>
      <c r="C451" s="104"/>
      <c r="D451" s="105"/>
      <c r="E451" s="106"/>
      <c r="F451" s="107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6"/>
    </row>
    <row r="452" ht="15.75" customHeight="1">
      <c r="A452" s="109"/>
      <c r="B452" s="104"/>
      <c r="C452" s="104"/>
      <c r="D452" s="105"/>
      <c r="E452" s="106"/>
      <c r="F452" s="107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6"/>
    </row>
    <row r="453" ht="15.75" customHeight="1">
      <c r="A453" s="109"/>
      <c r="B453" s="104"/>
      <c r="C453" s="104"/>
      <c r="D453" s="105"/>
      <c r="E453" s="106"/>
      <c r="F453" s="107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6"/>
    </row>
    <row r="454" ht="15.75" customHeight="1">
      <c r="A454" s="109"/>
      <c r="B454" s="104"/>
      <c r="C454" s="104"/>
      <c r="D454" s="105"/>
      <c r="E454" s="106"/>
      <c r="F454" s="107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6"/>
    </row>
    <row r="455" ht="15.75" customHeight="1">
      <c r="A455" s="109"/>
      <c r="B455" s="104"/>
      <c r="C455" s="104"/>
      <c r="D455" s="105"/>
      <c r="E455" s="106"/>
      <c r="F455" s="107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6"/>
    </row>
    <row r="456" ht="15.75" customHeight="1">
      <c r="A456" s="109"/>
      <c r="B456" s="104"/>
      <c r="C456" s="104"/>
      <c r="D456" s="105"/>
      <c r="E456" s="106"/>
      <c r="F456" s="107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6"/>
    </row>
    <row r="457" ht="15.75" customHeight="1">
      <c r="A457" s="109"/>
      <c r="B457" s="104"/>
      <c r="C457" s="104"/>
      <c r="D457" s="105"/>
      <c r="E457" s="106"/>
      <c r="F457" s="107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6"/>
    </row>
    <row r="458" ht="15.75" customHeight="1">
      <c r="A458" s="109"/>
      <c r="B458" s="104"/>
      <c r="C458" s="104"/>
      <c r="D458" s="105"/>
      <c r="E458" s="106"/>
      <c r="F458" s="107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6"/>
    </row>
    <row r="459" ht="15.75" customHeight="1">
      <c r="A459" s="109"/>
      <c r="B459" s="104"/>
      <c r="C459" s="104"/>
      <c r="D459" s="105"/>
      <c r="E459" s="106"/>
      <c r="F459" s="107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6"/>
    </row>
    <row r="460" ht="15.75" customHeight="1">
      <c r="A460" s="109"/>
      <c r="B460" s="104"/>
      <c r="C460" s="104"/>
      <c r="D460" s="105"/>
      <c r="E460" s="106"/>
      <c r="F460" s="107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6"/>
    </row>
    <row r="461" ht="15.75" customHeight="1">
      <c r="A461" s="109"/>
      <c r="B461" s="104"/>
      <c r="C461" s="104"/>
      <c r="D461" s="105"/>
      <c r="E461" s="106"/>
      <c r="F461" s="107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6"/>
    </row>
    <row r="462" ht="15.75" customHeight="1">
      <c r="A462" s="109"/>
      <c r="B462" s="104"/>
      <c r="C462" s="104"/>
      <c r="D462" s="105"/>
      <c r="E462" s="106"/>
      <c r="F462" s="107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6"/>
    </row>
    <row r="463" ht="15.75" customHeight="1">
      <c r="A463" s="109"/>
      <c r="B463" s="104"/>
      <c r="C463" s="104"/>
      <c r="D463" s="105"/>
      <c r="E463" s="106"/>
      <c r="F463" s="107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6"/>
    </row>
    <row r="464" ht="15.75" customHeight="1">
      <c r="A464" s="109"/>
      <c r="B464" s="104"/>
      <c r="C464" s="104"/>
      <c r="D464" s="105"/>
      <c r="E464" s="106"/>
      <c r="F464" s="107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6"/>
    </row>
    <row r="465" ht="15.75" customHeight="1">
      <c r="A465" s="109"/>
      <c r="B465" s="104"/>
      <c r="C465" s="104"/>
      <c r="D465" s="105"/>
      <c r="E465" s="106"/>
      <c r="F465" s="107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6"/>
    </row>
    <row r="466" ht="15.75" customHeight="1">
      <c r="A466" s="109"/>
      <c r="B466" s="104"/>
      <c r="C466" s="104"/>
      <c r="D466" s="105"/>
      <c r="E466" s="106"/>
      <c r="F466" s="107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6"/>
    </row>
    <row r="467" ht="15.75" customHeight="1">
      <c r="A467" s="109"/>
      <c r="B467" s="104"/>
      <c r="C467" s="104"/>
      <c r="D467" s="105"/>
      <c r="E467" s="106"/>
      <c r="F467" s="107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6"/>
    </row>
    <row r="468" ht="15.75" customHeight="1">
      <c r="A468" s="109"/>
      <c r="B468" s="104"/>
      <c r="C468" s="104"/>
      <c r="D468" s="105"/>
      <c r="E468" s="106"/>
      <c r="F468" s="107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6"/>
    </row>
    <row r="469" ht="15.75" customHeight="1">
      <c r="A469" s="109"/>
      <c r="B469" s="104"/>
      <c r="C469" s="104"/>
      <c r="D469" s="105"/>
      <c r="E469" s="106"/>
      <c r="F469" s="107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6"/>
    </row>
    <row r="470" ht="15.75" customHeight="1">
      <c r="A470" s="109"/>
      <c r="B470" s="104"/>
      <c r="C470" s="104"/>
      <c r="D470" s="105"/>
      <c r="E470" s="106"/>
      <c r="F470" s="107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6"/>
    </row>
    <row r="471" ht="15.75" customHeight="1">
      <c r="A471" s="109"/>
      <c r="B471" s="104"/>
      <c r="C471" s="104"/>
      <c r="D471" s="105"/>
      <c r="E471" s="106"/>
      <c r="F471" s="107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6"/>
    </row>
    <row r="472" ht="15.75" customHeight="1">
      <c r="A472" s="109"/>
      <c r="B472" s="104"/>
      <c r="C472" s="104"/>
      <c r="D472" s="105"/>
      <c r="E472" s="106"/>
      <c r="F472" s="107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6"/>
    </row>
    <row r="473" ht="15.75" customHeight="1">
      <c r="A473" s="109"/>
      <c r="B473" s="104"/>
      <c r="C473" s="104"/>
      <c r="D473" s="105"/>
      <c r="E473" s="106"/>
      <c r="F473" s="107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6"/>
    </row>
    <row r="474" ht="15.75" customHeight="1">
      <c r="A474" s="109"/>
      <c r="B474" s="104"/>
      <c r="C474" s="104"/>
      <c r="D474" s="105"/>
      <c r="E474" s="106"/>
      <c r="F474" s="107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6"/>
    </row>
    <row r="475" ht="15.75" customHeight="1">
      <c r="A475" s="109"/>
      <c r="B475" s="104"/>
      <c r="C475" s="104"/>
      <c r="D475" s="105"/>
      <c r="E475" s="106"/>
      <c r="F475" s="107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6"/>
    </row>
    <row r="476" ht="15.75" customHeight="1">
      <c r="A476" s="109"/>
      <c r="B476" s="104"/>
      <c r="C476" s="104"/>
      <c r="D476" s="105"/>
      <c r="E476" s="106"/>
      <c r="F476" s="107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6"/>
    </row>
    <row r="477" ht="15.75" customHeight="1">
      <c r="A477" s="109"/>
      <c r="B477" s="104"/>
      <c r="C477" s="104"/>
      <c r="D477" s="105"/>
      <c r="E477" s="106"/>
      <c r="F477" s="107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6"/>
    </row>
    <row r="478" ht="15.75" customHeight="1">
      <c r="A478" s="109"/>
      <c r="B478" s="104"/>
      <c r="C478" s="104"/>
      <c r="D478" s="105"/>
      <c r="E478" s="106"/>
      <c r="F478" s="107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6"/>
    </row>
    <row r="479" ht="15.75" customHeight="1">
      <c r="A479" s="109"/>
      <c r="B479" s="104"/>
      <c r="C479" s="104"/>
      <c r="D479" s="105"/>
      <c r="E479" s="106"/>
      <c r="F479" s="107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6"/>
    </row>
    <row r="480" ht="15.75" customHeight="1">
      <c r="A480" s="109"/>
      <c r="B480" s="104"/>
      <c r="C480" s="104"/>
      <c r="D480" s="105"/>
      <c r="E480" s="106"/>
      <c r="F480" s="107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6"/>
    </row>
    <row r="481" ht="15.75" customHeight="1">
      <c r="A481" s="109"/>
      <c r="B481" s="104"/>
      <c r="C481" s="104"/>
      <c r="D481" s="105"/>
      <c r="E481" s="106"/>
      <c r="F481" s="107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6"/>
    </row>
    <row r="482" ht="15.75" customHeight="1">
      <c r="A482" s="109"/>
      <c r="B482" s="104"/>
      <c r="C482" s="104"/>
      <c r="D482" s="105"/>
      <c r="E482" s="106"/>
      <c r="F482" s="107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6"/>
    </row>
    <row r="483" ht="15.75" customHeight="1">
      <c r="A483" s="109"/>
      <c r="B483" s="104"/>
      <c r="C483" s="104"/>
      <c r="D483" s="105"/>
      <c r="E483" s="106"/>
      <c r="F483" s="107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6"/>
    </row>
    <row r="484" ht="15.75" customHeight="1">
      <c r="A484" s="109"/>
      <c r="B484" s="104"/>
      <c r="C484" s="104"/>
      <c r="D484" s="105"/>
      <c r="E484" s="106"/>
      <c r="F484" s="107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6"/>
    </row>
    <row r="485" ht="15.75" customHeight="1">
      <c r="A485" s="109"/>
      <c r="B485" s="104"/>
      <c r="C485" s="104"/>
      <c r="D485" s="105"/>
      <c r="E485" s="106"/>
      <c r="F485" s="107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6"/>
    </row>
    <row r="486" ht="15.75" customHeight="1">
      <c r="A486" s="109"/>
      <c r="B486" s="104"/>
      <c r="C486" s="104"/>
      <c r="D486" s="105"/>
      <c r="E486" s="106"/>
      <c r="F486" s="107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6"/>
    </row>
    <row r="487" ht="15.75" customHeight="1">
      <c r="A487" s="109"/>
      <c r="B487" s="104"/>
      <c r="C487" s="104"/>
      <c r="D487" s="105"/>
      <c r="E487" s="106"/>
      <c r="F487" s="107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6"/>
    </row>
    <row r="488" ht="15.75" customHeight="1">
      <c r="A488" s="109"/>
      <c r="B488" s="104"/>
      <c r="C488" s="104"/>
      <c r="D488" s="105"/>
      <c r="E488" s="106"/>
      <c r="F488" s="107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6"/>
    </row>
    <row r="489" ht="15.75" customHeight="1">
      <c r="A489" s="109"/>
      <c r="B489" s="104"/>
      <c r="C489" s="104"/>
      <c r="D489" s="105"/>
      <c r="E489" s="106"/>
      <c r="F489" s="107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6"/>
    </row>
    <row r="490" ht="15.75" customHeight="1">
      <c r="A490" s="109"/>
      <c r="B490" s="104"/>
      <c r="C490" s="104"/>
      <c r="D490" s="105"/>
      <c r="E490" s="106"/>
      <c r="F490" s="107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6"/>
    </row>
    <row r="491" ht="15.75" customHeight="1">
      <c r="A491" s="109"/>
      <c r="B491" s="104"/>
      <c r="C491" s="104"/>
      <c r="D491" s="105"/>
      <c r="E491" s="106"/>
      <c r="F491" s="107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6"/>
    </row>
    <row r="492" ht="15.75" customHeight="1">
      <c r="A492" s="109"/>
      <c r="B492" s="104"/>
      <c r="C492" s="104"/>
      <c r="D492" s="105"/>
      <c r="E492" s="106"/>
      <c r="F492" s="107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6"/>
    </row>
    <row r="493" ht="15.75" customHeight="1">
      <c r="A493" s="109"/>
      <c r="B493" s="104"/>
      <c r="C493" s="104"/>
      <c r="D493" s="105"/>
      <c r="E493" s="106"/>
      <c r="F493" s="107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6"/>
    </row>
    <row r="494" ht="15.75" customHeight="1">
      <c r="A494" s="109"/>
      <c r="B494" s="104"/>
      <c r="C494" s="104"/>
      <c r="D494" s="105"/>
      <c r="E494" s="106"/>
      <c r="F494" s="107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6"/>
    </row>
    <row r="495" ht="15.75" customHeight="1">
      <c r="A495" s="109"/>
      <c r="B495" s="104"/>
      <c r="C495" s="104"/>
      <c r="D495" s="105"/>
      <c r="E495" s="106"/>
      <c r="F495" s="107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6"/>
    </row>
    <row r="496" ht="15.75" customHeight="1">
      <c r="A496" s="109"/>
      <c r="B496" s="104"/>
      <c r="C496" s="104"/>
      <c r="D496" s="105"/>
      <c r="E496" s="106"/>
      <c r="F496" s="107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6"/>
    </row>
    <row r="497" ht="15.75" customHeight="1">
      <c r="A497" s="109"/>
      <c r="B497" s="104"/>
      <c r="C497" s="104"/>
      <c r="D497" s="105"/>
      <c r="E497" s="106"/>
      <c r="F497" s="107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6"/>
    </row>
    <row r="498" ht="15.75" customHeight="1">
      <c r="A498" s="109"/>
      <c r="B498" s="104"/>
      <c r="C498" s="104"/>
      <c r="D498" s="105"/>
      <c r="E498" s="106"/>
      <c r="F498" s="107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6"/>
    </row>
    <row r="499" ht="15.75" customHeight="1">
      <c r="A499" s="109"/>
      <c r="B499" s="104"/>
      <c r="C499" s="104"/>
      <c r="D499" s="105"/>
      <c r="E499" s="106"/>
      <c r="F499" s="107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6"/>
    </row>
    <row r="500" ht="15.75" customHeight="1">
      <c r="A500" s="109"/>
      <c r="B500" s="104"/>
      <c r="C500" s="104"/>
      <c r="D500" s="105"/>
      <c r="E500" s="106"/>
      <c r="F500" s="107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6"/>
    </row>
    <row r="501" ht="15.75" customHeight="1">
      <c r="A501" s="109"/>
      <c r="B501" s="104"/>
      <c r="C501" s="104"/>
      <c r="D501" s="105"/>
      <c r="E501" s="106"/>
      <c r="F501" s="107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6"/>
    </row>
    <row r="502" ht="15.75" customHeight="1">
      <c r="A502" s="109"/>
      <c r="B502" s="104"/>
      <c r="C502" s="104"/>
      <c r="D502" s="105"/>
      <c r="E502" s="106"/>
      <c r="F502" s="107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6"/>
    </row>
    <row r="503" ht="15.75" customHeight="1">
      <c r="A503" s="109"/>
      <c r="B503" s="104"/>
      <c r="C503" s="104"/>
      <c r="D503" s="105"/>
      <c r="E503" s="106"/>
      <c r="F503" s="107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6"/>
    </row>
    <row r="504" ht="15.75" customHeight="1">
      <c r="A504" s="109"/>
      <c r="B504" s="104"/>
      <c r="C504" s="104"/>
      <c r="D504" s="105"/>
      <c r="E504" s="106"/>
      <c r="F504" s="107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6"/>
    </row>
    <row r="505" ht="15.75" customHeight="1">
      <c r="A505" s="109"/>
      <c r="B505" s="104"/>
      <c r="C505" s="104"/>
      <c r="D505" s="105"/>
      <c r="E505" s="106"/>
      <c r="F505" s="107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6"/>
    </row>
    <row r="506" ht="15.75" customHeight="1">
      <c r="A506" s="109"/>
      <c r="B506" s="104"/>
      <c r="C506" s="104"/>
      <c r="D506" s="105"/>
      <c r="E506" s="106"/>
      <c r="F506" s="107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6"/>
    </row>
    <row r="507" ht="15.75" customHeight="1">
      <c r="A507" s="109"/>
      <c r="B507" s="104"/>
      <c r="C507" s="104"/>
      <c r="D507" s="105"/>
      <c r="E507" s="106"/>
      <c r="F507" s="107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6"/>
    </row>
    <row r="508" ht="15.75" customHeight="1">
      <c r="A508" s="109"/>
      <c r="B508" s="104"/>
      <c r="C508" s="104"/>
      <c r="D508" s="105"/>
      <c r="E508" s="106"/>
      <c r="F508" s="107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6"/>
    </row>
    <row r="509" ht="15.75" customHeight="1">
      <c r="A509" s="109"/>
      <c r="B509" s="104"/>
      <c r="C509" s="104"/>
      <c r="D509" s="105"/>
      <c r="E509" s="106"/>
      <c r="F509" s="107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6"/>
    </row>
    <row r="510" ht="15.75" customHeight="1">
      <c r="A510" s="109"/>
      <c r="B510" s="104"/>
      <c r="C510" s="104"/>
      <c r="D510" s="105"/>
      <c r="E510" s="106"/>
      <c r="F510" s="107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6"/>
    </row>
    <row r="511" ht="15.75" customHeight="1">
      <c r="A511" s="109"/>
      <c r="B511" s="104"/>
      <c r="C511" s="104"/>
      <c r="D511" s="105"/>
      <c r="E511" s="106"/>
      <c r="F511" s="107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6"/>
    </row>
    <row r="512" ht="15.75" customHeight="1">
      <c r="A512" s="109"/>
      <c r="B512" s="104"/>
      <c r="C512" s="104"/>
      <c r="D512" s="105"/>
      <c r="E512" s="106"/>
      <c r="F512" s="107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6"/>
    </row>
    <row r="513" ht="15.75" customHeight="1">
      <c r="A513" s="109"/>
      <c r="B513" s="104"/>
      <c r="C513" s="104"/>
      <c r="D513" s="105"/>
      <c r="E513" s="106"/>
      <c r="F513" s="107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6"/>
    </row>
    <row r="514" ht="15.75" customHeight="1">
      <c r="A514" s="109"/>
      <c r="B514" s="104"/>
      <c r="C514" s="104"/>
      <c r="D514" s="105"/>
      <c r="E514" s="106"/>
      <c r="F514" s="107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6"/>
    </row>
    <row r="515" ht="15.75" customHeight="1">
      <c r="A515" s="109"/>
      <c r="B515" s="104"/>
      <c r="C515" s="104"/>
      <c r="D515" s="105"/>
      <c r="E515" s="106"/>
      <c r="F515" s="107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6"/>
    </row>
    <row r="516" ht="15.75" customHeight="1">
      <c r="A516" s="109"/>
      <c r="B516" s="104"/>
      <c r="C516" s="104"/>
      <c r="D516" s="105"/>
      <c r="E516" s="106"/>
      <c r="F516" s="107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6"/>
    </row>
    <row r="517" ht="15.75" customHeight="1">
      <c r="A517" s="109"/>
      <c r="B517" s="104"/>
      <c r="C517" s="104"/>
      <c r="D517" s="105"/>
      <c r="E517" s="106"/>
      <c r="F517" s="107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6"/>
    </row>
    <row r="518" ht="15.75" customHeight="1">
      <c r="A518" s="109"/>
      <c r="B518" s="104"/>
      <c r="C518" s="104"/>
      <c r="D518" s="105"/>
      <c r="E518" s="106"/>
      <c r="F518" s="107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6"/>
    </row>
    <row r="519" ht="15.75" customHeight="1">
      <c r="A519" s="109"/>
      <c r="B519" s="104"/>
      <c r="C519" s="104"/>
      <c r="D519" s="105"/>
      <c r="E519" s="106"/>
      <c r="F519" s="107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6"/>
    </row>
    <row r="520" ht="15.75" customHeight="1">
      <c r="A520" s="109"/>
      <c r="B520" s="104"/>
      <c r="C520" s="104"/>
      <c r="D520" s="105"/>
      <c r="E520" s="106"/>
      <c r="F520" s="107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6"/>
    </row>
    <row r="521" ht="15.75" customHeight="1">
      <c r="A521" s="109"/>
      <c r="B521" s="104"/>
      <c r="C521" s="104"/>
      <c r="D521" s="105"/>
      <c r="E521" s="106"/>
      <c r="F521" s="107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6"/>
    </row>
    <row r="522" ht="15.75" customHeight="1">
      <c r="A522" s="109"/>
      <c r="B522" s="104"/>
      <c r="C522" s="104"/>
      <c r="D522" s="105"/>
      <c r="E522" s="106"/>
      <c r="F522" s="107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6"/>
    </row>
    <row r="523" ht="15.75" customHeight="1">
      <c r="A523" s="109"/>
      <c r="B523" s="104"/>
      <c r="C523" s="104"/>
      <c r="D523" s="105"/>
      <c r="E523" s="106"/>
      <c r="F523" s="107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6"/>
    </row>
    <row r="524" ht="15.75" customHeight="1">
      <c r="A524" s="109"/>
      <c r="B524" s="104"/>
      <c r="C524" s="104"/>
      <c r="D524" s="105"/>
      <c r="E524" s="106"/>
      <c r="F524" s="107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6"/>
    </row>
    <row r="525" ht="15.75" customHeight="1">
      <c r="A525" s="109"/>
      <c r="B525" s="104"/>
      <c r="C525" s="104"/>
      <c r="D525" s="105"/>
      <c r="E525" s="106"/>
      <c r="F525" s="107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6"/>
    </row>
    <row r="526" ht="15.75" customHeight="1">
      <c r="A526" s="109"/>
      <c r="B526" s="104"/>
      <c r="C526" s="104"/>
      <c r="D526" s="105"/>
      <c r="E526" s="106"/>
      <c r="F526" s="107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6"/>
    </row>
    <row r="527" ht="15.75" customHeight="1">
      <c r="A527" s="109"/>
      <c r="B527" s="104"/>
      <c r="C527" s="104"/>
      <c r="D527" s="105"/>
      <c r="E527" s="106"/>
      <c r="F527" s="107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6"/>
    </row>
    <row r="528" ht="15.75" customHeight="1">
      <c r="A528" s="109"/>
      <c r="B528" s="104"/>
      <c r="C528" s="104"/>
      <c r="D528" s="105"/>
      <c r="E528" s="106"/>
      <c r="F528" s="107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6"/>
    </row>
    <row r="529" ht="15.75" customHeight="1">
      <c r="A529" s="109"/>
      <c r="B529" s="104"/>
      <c r="C529" s="104"/>
      <c r="D529" s="105"/>
      <c r="E529" s="106"/>
      <c r="F529" s="107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6"/>
    </row>
    <row r="530" ht="15.75" customHeight="1">
      <c r="A530" s="109"/>
      <c r="B530" s="104"/>
      <c r="C530" s="104"/>
      <c r="D530" s="105"/>
      <c r="E530" s="106"/>
      <c r="F530" s="107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6"/>
    </row>
    <row r="531" ht="15.75" customHeight="1">
      <c r="A531" s="109"/>
      <c r="B531" s="104"/>
      <c r="C531" s="104"/>
      <c r="D531" s="105"/>
      <c r="E531" s="106"/>
      <c r="F531" s="107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6"/>
    </row>
    <row r="532" ht="15.75" customHeight="1">
      <c r="A532" s="109"/>
      <c r="B532" s="104"/>
      <c r="C532" s="104"/>
      <c r="D532" s="105"/>
      <c r="E532" s="106"/>
      <c r="F532" s="107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6"/>
    </row>
    <row r="533" ht="15.75" customHeight="1">
      <c r="A533" s="109"/>
      <c r="B533" s="104"/>
      <c r="C533" s="104"/>
      <c r="D533" s="105"/>
      <c r="E533" s="106"/>
      <c r="F533" s="107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6"/>
    </row>
    <row r="534" ht="15.75" customHeight="1">
      <c r="A534" s="109"/>
      <c r="B534" s="104"/>
      <c r="C534" s="104"/>
      <c r="D534" s="105"/>
      <c r="E534" s="106"/>
      <c r="F534" s="107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6"/>
    </row>
    <row r="535" ht="15.75" customHeight="1">
      <c r="A535" s="109"/>
      <c r="B535" s="104"/>
      <c r="C535" s="104"/>
      <c r="D535" s="105"/>
      <c r="E535" s="106"/>
      <c r="F535" s="107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6"/>
    </row>
    <row r="536" ht="15.75" customHeight="1">
      <c r="A536" s="109"/>
      <c r="B536" s="104"/>
      <c r="C536" s="104"/>
      <c r="D536" s="105"/>
      <c r="E536" s="106"/>
      <c r="F536" s="107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6"/>
    </row>
    <row r="537" ht="15.75" customHeight="1">
      <c r="A537" s="109"/>
      <c r="B537" s="104"/>
      <c r="C537" s="104"/>
      <c r="D537" s="105"/>
      <c r="E537" s="106"/>
      <c r="F537" s="107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6"/>
    </row>
    <row r="538" ht="15.75" customHeight="1">
      <c r="A538" s="109"/>
      <c r="B538" s="104"/>
      <c r="C538" s="104"/>
      <c r="D538" s="105"/>
      <c r="E538" s="106"/>
      <c r="F538" s="107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6"/>
    </row>
    <row r="539" ht="15.75" customHeight="1">
      <c r="A539" s="109"/>
      <c r="B539" s="104"/>
      <c r="C539" s="104"/>
      <c r="D539" s="105"/>
      <c r="E539" s="106"/>
      <c r="F539" s="107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6"/>
    </row>
    <row r="540" ht="15.75" customHeight="1">
      <c r="A540" s="109"/>
      <c r="B540" s="104"/>
      <c r="C540" s="104"/>
      <c r="D540" s="105"/>
      <c r="E540" s="106"/>
      <c r="F540" s="107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6"/>
    </row>
    <row r="541" ht="15.75" customHeight="1">
      <c r="A541" s="109"/>
      <c r="B541" s="104"/>
      <c r="C541" s="104"/>
      <c r="D541" s="105"/>
      <c r="E541" s="106"/>
      <c r="F541" s="107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6"/>
    </row>
    <row r="542" ht="15.75" customHeight="1">
      <c r="A542" s="109"/>
      <c r="B542" s="104"/>
      <c r="C542" s="104"/>
      <c r="D542" s="105"/>
      <c r="E542" s="106"/>
      <c r="F542" s="107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6"/>
    </row>
    <row r="543" ht="15.75" customHeight="1">
      <c r="A543" s="109"/>
      <c r="B543" s="104"/>
      <c r="C543" s="104"/>
      <c r="D543" s="105"/>
      <c r="E543" s="106"/>
      <c r="F543" s="107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6"/>
    </row>
    <row r="544" ht="15.75" customHeight="1">
      <c r="A544" s="109"/>
      <c r="B544" s="104"/>
      <c r="C544" s="104"/>
      <c r="D544" s="105"/>
      <c r="E544" s="106"/>
      <c r="F544" s="107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6"/>
    </row>
    <row r="545" ht="15.75" customHeight="1">
      <c r="A545" s="109"/>
      <c r="B545" s="104"/>
      <c r="C545" s="104"/>
      <c r="D545" s="105"/>
      <c r="E545" s="106"/>
      <c r="F545" s="107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6"/>
    </row>
    <row r="546" ht="15.75" customHeight="1">
      <c r="A546" s="109"/>
      <c r="B546" s="104"/>
      <c r="C546" s="104"/>
      <c r="D546" s="105"/>
      <c r="E546" s="106"/>
      <c r="F546" s="107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6"/>
    </row>
    <row r="547" ht="15.75" customHeight="1">
      <c r="A547" s="109"/>
      <c r="B547" s="104"/>
      <c r="C547" s="104"/>
      <c r="D547" s="105"/>
      <c r="E547" s="106"/>
      <c r="F547" s="107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6"/>
    </row>
    <row r="548" ht="15.75" customHeight="1">
      <c r="A548" s="109"/>
      <c r="B548" s="104"/>
      <c r="C548" s="104"/>
      <c r="D548" s="105"/>
      <c r="E548" s="106"/>
      <c r="F548" s="107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6"/>
    </row>
    <row r="549" ht="15.75" customHeight="1">
      <c r="A549" s="109"/>
      <c r="B549" s="104"/>
      <c r="C549" s="104"/>
      <c r="D549" s="105"/>
      <c r="E549" s="106"/>
      <c r="F549" s="107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6"/>
    </row>
    <row r="550" ht="15.75" customHeight="1">
      <c r="A550" s="109"/>
      <c r="B550" s="104"/>
      <c r="C550" s="104"/>
      <c r="D550" s="105"/>
      <c r="E550" s="106"/>
      <c r="F550" s="107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6"/>
    </row>
    <row r="551" ht="15.75" customHeight="1">
      <c r="A551" s="109"/>
      <c r="B551" s="104"/>
      <c r="C551" s="104"/>
      <c r="D551" s="105"/>
      <c r="E551" s="106"/>
      <c r="F551" s="107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6"/>
    </row>
    <row r="552" ht="15.75" customHeight="1">
      <c r="A552" s="109"/>
      <c r="B552" s="104"/>
      <c r="C552" s="104"/>
      <c r="D552" s="105"/>
      <c r="E552" s="106"/>
      <c r="F552" s="107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6"/>
    </row>
    <row r="553" ht="15.75" customHeight="1">
      <c r="A553" s="109"/>
      <c r="B553" s="104"/>
      <c r="C553" s="104"/>
      <c r="D553" s="105"/>
      <c r="E553" s="106"/>
      <c r="F553" s="107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6"/>
    </row>
    <row r="554" ht="15.75" customHeight="1">
      <c r="A554" s="109"/>
      <c r="B554" s="104"/>
      <c r="C554" s="104"/>
      <c r="D554" s="105"/>
      <c r="E554" s="106"/>
      <c r="F554" s="107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6"/>
    </row>
    <row r="555" ht="15.75" customHeight="1">
      <c r="A555" s="109"/>
      <c r="B555" s="104"/>
      <c r="C555" s="104"/>
      <c r="D555" s="105"/>
      <c r="E555" s="106"/>
      <c r="F555" s="107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6"/>
    </row>
    <row r="556" ht="15.75" customHeight="1">
      <c r="A556" s="109"/>
      <c r="B556" s="104"/>
      <c r="C556" s="104"/>
      <c r="D556" s="105"/>
      <c r="E556" s="106"/>
      <c r="F556" s="107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6"/>
    </row>
    <row r="557" ht="15.75" customHeight="1">
      <c r="A557" s="109"/>
      <c r="B557" s="104"/>
      <c r="C557" s="104"/>
      <c r="D557" s="105"/>
      <c r="E557" s="106"/>
      <c r="F557" s="107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6"/>
    </row>
    <row r="558" ht="15.75" customHeight="1">
      <c r="A558" s="109"/>
      <c r="B558" s="104"/>
      <c r="C558" s="104"/>
      <c r="D558" s="105"/>
      <c r="E558" s="106"/>
      <c r="F558" s="107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6"/>
    </row>
    <row r="559" ht="15.75" customHeight="1">
      <c r="A559" s="109"/>
      <c r="B559" s="104"/>
      <c r="C559" s="104"/>
      <c r="D559" s="105"/>
      <c r="E559" s="106"/>
      <c r="F559" s="107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6"/>
    </row>
    <row r="560" ht="15.75" customHeight="1">
      <c r="A560" s="109"/>
      <c r="B560" s="104"/>
      <c r="C560" s="104"/>
      <c r="D560" s="105"/>
      <c r="E560" s="106"/>
      <c r="F560" s="107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6"/>
    </row>
    <row r="561" ht="15.75" customHeight="1">
      <c r="A561" s="109"/>
      <c r="B561" s="104"/>
      <c r="C561" s="104"/>
      <c r="D561" s="105"/>
      <c r="E561" s="106"/>
      <c r="F561" s="107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6"/>
    </row>
    <row r="562" ht="15.75" customHeight="1">
      <c r="A562" s="109"/>
      <c r="B562" s="104"/>
      <c r="C562" s="104"/>
      <c r="D562" s="105"/>
      <c r="E562" s="106"/>
      <c r="F562" s="107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6"/>
    </row>
    <row r="563" ht="15.75" customHeight="1">
      <c r="A563" s="109"/>
      <c r="B563" s="104"/>
      <c r="C563" s="104"/>
      <c r="D563" s="105"/>
      <c r="E563" s="106"/>
      <c r="F563" s="107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6"/>
    </row>
    <row r="564" ht="15.75" customHeight="1">
      <c r="A564" s="109"/>
      <c r="B564" s="104"/>
      <c r="C564" s="104"/>
      <c r="D564" s="105"/>
      <c r="E564" s="106"/>
      <c r="F564" s="107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6"/>
    </row>
    <row r="565" ht="15.75" customHeight="1">
      <c r="A565" s="109"/>
      <c r="B565" s="104"/>
      <c r="C565" s="104"/>
      <c r="D565" s="105"/>
      <c r="E565" s="106"/>
      <c r="F565" s="107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6"/>
    </row>
    <row r="566" ht="15.75" customHeight="1">
      <c r="A566" s="109"/>
      <c r="B566" s="104"/>
      <c r="C566" s="104"/>
      <c r="D566" s="105"/>
      <c r="E566" s="106"/>
      <c r="F566" s="107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6"/>
    </row>
    <row r="567" ht="15.75" customHeight="1">
      <c r="A567" s="109"/>
      <c r="B567" s="104"/>
      <c r="C567" s="104"/>
      <c r="D567" s="105"/>
      <c r="E567" s="106"/>
      <c r="F567" s="107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6"/>
    </row>
    <row r="568" ht="15.75" customHeight="1">
      <c r="A568" s="109"/>
      <c r="B568" s="104"/>
      <c r="C568" s="104"/>
      <c r="D568" s="105"/>
      <c r="E568" s="106"/>
      <c r="F568" s="107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6"/>
    </row>
    <row r="569" ht="15.75" customHeight="1">
      <c r="A569" s="109"/>
      <c r="B569" s="104"/>
      <c r="C569" s="104"/>
      <c r="D569" s="105"/>
      <c r="E569" s="106"/>
      <c r="F569" s="107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6"/>
    </row>
    <row r="570" ht="15.75" customHeight="1">
      <c r="A570" s="109"/>
      <c r="B570" s="104"/>
      <c r="C570" s="104"/>
      <c r="D570" s="105"/>
      <c r="E570" s="106"/>
      <c r="F570" s="107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6"/>
    </row>
    <row r="571" ht="15.75" customHeight="1">
      <c r="A571" s="109"/>
      <c r="B571" s="104"/>
      <c r="C571" s="104"/>
      <c r="D571" s="105"/>
      <c r="E571" s="106"/>
      <c r="F571" s="107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6"/>
    </row>
    <row r="572" ht="15.75" customHeight="1">
      <c r="A572" s="109"/>
      <c r="B572" s="104"/>
      <c r="C572" s="104"/>
      <c r="D572" s="105"/>
      <c r="E572" s="106"/>
      <c r="F572" s="107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6"/>
    </row>
    <row r="573" ht="15.75" customHeight="1">
      <c r="A573" s="109"/>
      <c r="B573" s="104"/>
      <c r="C573" s="104"/>
      <c r="D573" s="105"/>
      <c r="E573" s="106"/>
      <c r="F573" s="107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6"/>
    </row>
    <row r="574" ht="15.75" customHeight="1">
      <c r="A574" s="109"/>
      <c r="B574" s="104"/>
      <c r="C574" s="104"/>
      <c r="D574" s="105"/>
      <c r="E574" s="106"/>
      <c r="F574" s="107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6"/>
    </row>
    <row r="575" ht="15.75" customHeight="1">
      <c r="A575" s="109"/>
      <c r="B575" s="104"/>
      <c r="C575" s="104"/>
      <c r="D575" s="105"/>
      <c r="E575" s="106"/>
      <c r="F575" s="107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6"/>
    </row>
    <row r="576" ht="15.75" customHeight="1">
      <c r="A576" s="109"/>
      <c r="B576" s="104"/>
      <c r="C576" s="104"/>
      <c r="D576" s="105"/>
      <c r="E576" s="106"/>
      <c r="F576" s="107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6"/>
    </row>
    <row r="577" ht="15.75" customHeight="1">
      <c r="A577" s="109"/>
      <c r="B577" s="104"/>
      <c r="C577" s="104"/>
      <c r="D577" s="105"/>
      <c r="E577" s="106"/>
      <c r="F577" s="107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6"/>
    </row>
    <row r="578" ht="15.75" customHeight="1">
      <c r="A578" s="109"/>
      <c r="B578" s="104"/>
      <c r="C578" s="104"/>
      <c r="D578" s="105"/>
      <c r="E578" s="106"/>
      <c r="F578" s="107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6"/>
    </row>
    <row r="579" ht="15.75" customHeight="1">
      <c r="A579" s="109"/>
      <c r="B579" s="104"/>
      <c r="C579" s="104"/>
      <c r="D579" s="105"/>
      <c r="E579" s="106"/>
      <c r="F579" s="107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6"/>
    </row>
    <row r="580" ht="15.75" customHeight="1">
      <c r="A580" s="109"/>
      <c r="B580" s="104"/>
      <c r="C580" s="104"/>
      <c r="D580" s="105"/>
      <c r="E580" s="106"/>
      <c r="F580" s="107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6"/>
    </row>
    <row r="581" ht="15.75" customHeight="1">
      <c r="A581" s="109"/>
      <c r="B581" s="104"/>
      <c r="C581" s="104"/>
      <c r="D581" s="105"/>
      <c r="E581" s="106"/>
      <c r="F581" s="107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6"/>
    </row>
    <row r="582" ht="15.75" customHeight="1">
      <c r="A582" s="109"/>
      <c r="B582" s="104"/>
      <c r="C582" s="104"/>
      <c r="D582" s="105"/>
      <c r="E582" s="106"/>
      <c r="F582" s="107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6"/>
    </row>
    <row r="583" ht="15.75" customHeight="1">
      <c r="A583" s="109"/>
      <c r="B583" s="104"/>
      <c r="C583" s="104"/>
      <c r="D583" s="105"/>
      <c r="E583" s="106"/>
      <c r="F583" s="107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6"/>
    </row>
    <row r="584" ht="15.75" customHeight="1">
      <c r="A584" s="109"/>
      <c r="B584" s="104"/>
      <c r="C584" s="104"/>
      <c r="D584" s="105"/>
      <c r="E584" s="106"/>
      <c r="F584" s="107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6"/>
    </row>
    <row r="585" ht="15.75" customHeight="1">
      <c r="A585" s="109"/>
      <c r="B585" s="104"/>
      <c r="C585" s="104"/>
      <c r="D585" s="105"/>
      <c r="E585" s="106"/>
      <c r="F585" s="107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6"/>
    </row>
    <row r="586" ht="15.75" customHeight="1">
      <c r="A586" s="109"/>
      <c r="B586" s="104"/>
      <c r="C586" s="104"/>
      <c r="D586" s="105"/>
      <c r="E586" s="106"/>
      <c r="F586" s="107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6"/>
    </row>
    <row r="587" ht="15.75" customHeight="1">
      <c r="A587" s="109"/>
      <c r="B587" s="104"/>
      <c r="C587" s="104"/>
      <c r="D587" s="105"/>
      <c r="E587" s="106"/>
      <c r="F587" s="107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6"/>
    </row>
    <row r="588" ht="15.75" customHeight="1">
      <c r="A588" s="109"/>
      <c r="B588" s="104"/>
      <c r="C588" s="104"/>
      <c r="D588" s="105"/>
      <c r="E588" s="106"/>
      <c r="F588" s="107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6"/>
    </row>
    <row r="589" ht="15.75" customHeight="1">
      <c r="A589" s="109"/>
      <c r="B589" s="104"/>
      <c r="C589" s="104"/>
      <c r="D589" s="105"/>
      <c r="E589" s="106"/>
      <c r="F589" s="107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6"/>
    </row>
    <row r="590" ht="15.75" customHeight="1">
      <c r="A590" s="109"/>
      <c r="B590" s="104"/>
      <c r="C590" s="104"/>
      <c r="D590" s="105"/>
      <c r="E590" s="106"/>
      <c r="F590" s="107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6"/>
    </row>
    <row r="591" ht="15.75" customHeight="1">
      <c r="A591" s="109"/>
      <c r="B591" s="104"/>
      <c r="C591" s="104"/>
      <c r="D591" s="105"/>
      <c r="E591" s="106"/>
      <c r="F591" s="107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6"/>
    </row>
    <row r="592" ht="15.75" customHeight="1">
      <c r="A592" s="109"/>
      <c r="B592" s="104"/>
      <c r="C592" s="104"/>
      <c r="D592" s="105"/>
      <c r="E592" s="106"/>
      <c r="F592" s="107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6"/>
    </row>
    <row r="593" ht="15.75" customHeight="1">
      <c r="A593" s="109"/>
      <c r="B593" s="104"/>
      <c r="C593" s="104"/>
      <c r="D593" s="105"/>
      <c r="E593" s="106"/>
      <c r="F593" s="107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6"/>
    </row>
    <row r="594" ht="15.75" customHeight="1">
      <c r="A594" s="109"/>
      <c r="B594" s="104"/>
      <c r="C594" s="104"/>
      <c r="D594" s="105"/>
      <c r="E594" s="106"/>
      <c r="F594" s="107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6"/>
    </row>
    <row r="595" ht="15.75" customHeight="1">
      <c r="A595" s="109"/>
      <c r="B595" s="104"/>
      <c r="C595" s="104"/>
      <c r="D595" s="105"/>
      <c r="E595" s="106"/>
      <c r="F595" s="107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6"/>
    </row>
    <row r="596" ht="15.75" customHeight="1">
      <c r="A596" s="109"/>
      <c r="B596" s="104"/>
      <c r="C596" s="104"/>
      <c r="D596" s="105"/>
      <c r="E596" s="106"/>
      <c r="F596" s="107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6"/>
    </row>
    <row r="597" ht="15.75" customHeight="1">
      <c r="A597" s="109"/>
      <c r="B597" s="104"/>
      <c r="C597" s="104"/>
      <c r="D597" s="105"/>
      <c r="E597" s="106"/>
      <c r="F597" s="107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6"/>
    </row>
    <row r="598" ht="15.75" customHeight="1">
      <c r="A598" s="109"/>
      <c r="B598" s="104"/>
      <c r="C598" s="104"/>
      <c r="D598" s="105"/>
      <c r="E598" s="106"/>
      <c r="F598" s="107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6"/>
    </row>
    <row r="599" ht="15.75" customHeight="1">
      <c r="A599" s="109"/>
      <c r="B599" s="104"/>
      <c r="C599" s="104"/>
      <c r="D599" s="105"/>
      <c r="E599" s="106"/>
      <c r="F599" s="107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6"/>
    </row>
    <row r="600" ht="15.75" customHeight="1">
      <c r="A600" s="109"/>
      <c r="B600" s="104"/>
      <c r="C600" s="104"/>
      <c r="D600" s="105"/>
      <c r="E600" s="106"/>
      <c r="F600" s="107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6"/>
    </row>
    <row r="601" ht="15.75" customHeight="1">
      <c r="A601" s="109"/>
      <c r="B601" s="104"/>
      <c r="C601" s="104"/>
      <c r="D601" s="105"/>
      <c r="E601" s="106"/>
      <c r="F601" s="107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6"/>
    </row>
    <row r="602" ht="15.75" customHeight="1">
      <c r="A602" s="109"/>
      <c r="B602" s="104"/>
      <c r="C602" s="104"/>
      <c r="D602" s="105"/>
      <c r="E602" s="106"/>
      <c r="F602" s="107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6"/>
    </row>
    <row r="603" ht="15.75" customHeight="1">
      <c r="A603" s="109"/>
      <c r="B603" s="104"/>
      <c r="C603" s="104"/>
      <c r="D603" s="105"/>
      <c r="E603" s="106"/>
      <c r="F603" s="107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6"/>
    </row>
    <row r="604" ht="15.75" customHeight="1">
      <c r="A604" s="109"/>
      <c r="B604" s="104"/>
      <c r="C604" s="104"/>
      <c r="D604" s="105"/>
      <c r="E604" s="106"/>
      <c r="F604" s="107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6"/>
    </row>
    <row r="605" ht="15.75" customHeight="1">
      <c r="A605" s="109"/>
      <c r="B605" s="104"/>
      <c r="C605" s="104"/>
      <c r="D605" s="105"/>
      <c r="E605" s="106"/>
      <c r="F605" s="107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6"/>
    </row>
    <row r="606" ht="15.75" customHeight="1">
      <c r="A606" s="109"/>
      <c r="B606" s="104"/>
      <c r="C606" s="104"/>
      <c r="D606" s="105"/>
      <c r="E606" s="106"/>
      <c r="F606" s="107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6"/>
    </row>
    <row r="607" ht="15.75" customHeight="1">
      <c r="A607" s="109"/>
      <c r="B607" s="104"/>
      <c r="C607" s="104"/>
      <c r="D607" s="105"/>
      <c r="E607" s="106"/>
      <c r="F607" s="107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6"/>
    </row>
    <row r="608" ht="15.75" customHeight="1">
      <c r="A608" s="109"/>
      <c r="B608" s="104"/>
      <c r="C608" s="104"/>
      <c r="D608" s="105"/>
      <c r="E608" s="106"/>
      <c r="F608" s="107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6"/>
    </row>
    <row r="609" ht="15.75" customHeight="1">
      <c r="A609" s="109"/>
      <c r="B609" s="104"/>
      <c r="C609" s="104"/>
      <c r="D609" s="105"/>
      <c r="E609" s="106"/>
      <c r="F609" s="107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6"/>
    </row>
    <row r="610" ht="15.75" customHeight="1">
      <c r="A610" s="109"/>
      <c r="B610" s="104"/>
      <c r="C610" s="104"/>
      <c r="D610" s="105"/>
      <c r="E610" s="106"/>
      <c r="F610" s="107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6"/>
    </row>
    <row r="611" ht="15.75" customHeight="1">
      <c r="A611" s="109"/>
      <c r="B611" s="104"/>
      <c r="C611" s="104"/>
      <c r="D611" s="105"/>
      <c r="E611" s="106"/>
      <c r="F611" s="107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6"/>
    </row>
    <row r="612" ht="15.75" customHeight="1">
      <c r="A612" s="109"/>
      <c r="B612" s="104"/>
      <c r="C612" s="104"/>
      <c r="D612" s="105"/>
      <c r="E612" s="106"/>
      <c r="F612" s="107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6"/>
    </row>
    <row r="613" ht="15.75" customHeight="1">
      <c r="A613" s="109"/>
      <c r="B613" s="104"/>
      <c r="C613" s="104"/>
      <c r="D613" s="105"/>
      <c r="E613" s="106"/>
      <c r="F613" s="107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6"/>
    </row>
    <row r="614" ht="15.75" customHeight="1">
      <c r="A614" s="109"/>
      <c r="B614" s="104"/>
      <c r="C614" s="104"/>
      <c r="D614" s="105"/>
      <c r="E614" s="106"/>
      <c r="F614" s="107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6"/>
    </row>
    <row r="615" ht="15.75" customHeight="1">
      <c r="A615" s="109"/>
      <c r="B615" s="104"/>
      <c r="C615" s="104"/>
      <c r="D615" s="105"/>
      <c r="E615" s="106"/>
      <c r="F615" s="107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6"/>
    </row>
    <row r="616" ht="15.75" customHeight="1">
      <c r="A616" s="109"/>
      <c r="B616" s="104"/>
      <c r="C616" s="104"/>
      <c r="D616" s="105"/>
      <c r="E616" s="106"/>
      <c r="F616" s="107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6"/>
    </row>
    <row r="617" ht="15.75" customHeight="1">
      <c r="A617" s="109"/>
      <c r="B617" s="104"/>
      <c r="C617" s="104"/>
      <c r="D617" s="105"/>
      <c r="E617" s="106"/>
      <c r="F617" s="107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6"/>
    </row>
    <row r="618" ht="15.75" customHeight="1">
      <c r="A618" s="109"/>
      <c r="B618" s="104"/>
      <c r="C618" s="104"/>
      <c r="D618" s="105"/>
      <c r="E618" s="106"/>
      <c r="F618" s="107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6"/>
    </row>
    <row r="619" ht="15.75" customHeight="1">
      <c r="A619" s="109"/>
      <c r="B619" s="104"/>
      <c r="C619" s="104"/>
      <c r="D619" s="105"/>
      <c r="E619" s="106"/>
      <c r="F619" s="107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6"/>
    </row>
    <row r="620" ht="15.75" customHeight="1">
      <c r="A620" s="109"/>
      <c r="B620" s="104"/>
      <c r="C620" s="104"/>
      <c r="D620" s="105"/>
      <c r="E620" s="106"/>
      <c r="F620" s="107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6"/>
    </row>
    <row r="621" ht="15.75" customHeight="1">
      <c r="A621" s="109"/>
      <c r="B621" s="104"/>
      <c r="C621" s="104"/>
      <c r="D621" s="105"/>
      <c r="E621" s="106"/>
      <c r="F621" s="107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6"/>
    </row>
    <row r="622" ht="15.75" customHeight="1">
      <c r="A622" s="109"/>
      <c r="B622" s="104"/>
      <c r="C622" s="104"/>
      <c r="D622" s="105"/>
      <c r="E622" s="106"/>
      <c r="F622" s="107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6"/>
    </row>
    <row r="623" ht="15.75" customHeight="1">
      <c r="A623" s="109"/>
      <c r="B623" s="104"/>
      <c r="C623" s="104"/>
      <c r="D623" s="105"/>
      <c r="E623" s="106"/>
      <c r="F623" s="107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6"/>
    </row>
    <row r="624" ht="15.75" customHeight="1">
      <c r="A624" s="109"/>
      <c r="B624" s="104"/>
      <c r="C624" s="104"/>
      <c r="D624" s="105"/>
      <c r="E624" s="106"/>
      <c r="F624" s="107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6"/>
    </row>
    <row r="625" ht="15.75" customHeight="1">
      <c r="A625" s="109"/>
      <c r="B625" s="104"/>
      <c r="C625" s="104"/>
      <c r="D625" s="105"/>
      <c r="E625" s="106"/>
      <c r="F625" s="107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6"/>
    </row>
    <row r="626" ht="15.75" customHeight="1">
      <c r="A626" s="109"/>
      <c r="B626" s="104"/>
      <c r="C626" s="104"/>
      <c r="D626" s="105"/>
      <c r="E626" s="106"/>
      <c r="F626" s="107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6"/>
    </row>
    <row r="627" ht="15.75" customHeight="1">
      <c r="A627" s="109"/>
      <c r="B627" s="104"/>
      <c r="C627" s="104"/>
      <c r="D627" s="105"/>
      <c r="E627" s="106"/>
      <c r="F627" s="107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6"/>
    </row>
    <row r="628" ht="15.75" customHeight="1">
      <c r="A628" s="109"/>
      <c r="B628" s="104"/>
      <c r="C628" s="104"/>
      <c r="D628" s="105"/>
      <c r="E628" s="106"/>
      <c r="F628" s="107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6"/>
    </row>
    <row r="629" ht="15.75" customHeight="1">
      <c r="A629" s="109"/>
      <c r="B629" s="104"/>
      <c r="C629" s="104"/>
      <c r="D629" s="105"/>
      <c r="E629" s="106"/>
      <c r="F629" s="107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6"/>
    </row>
    <row r="630" ht="15.75" customHeight="1">
      <c r="A630" s="109"/>
      <c r="B630" s="104"/>
      <c r="C630" s="104"/>
      <c r="D630" s="105"/>
      <c r="E630" s="106"/>
      <c r="F630" s="107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6"/>
    </row>
    <row r="631" ht="15.75" customHeight="1">
      <c r="A631" s="109"/>
      <c r="B631" s="104"/>
      <c r="C631" s="104"/>
      <c r="D631" s="105"/>
      <c r="E631" s="106"/>
      <c r="F631" s="107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6"/>
    </row>
    <row r="632" ht="15.75" customHeight="1">
      <c r="A632" s="109"/>
      <c r="B632" s="104"/>
      <c r="C632" s="104"/>
      <c r="D632" s="105"/>
      <c r="E632" s="106"/>
      <c r="F632" s="107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6"/>
    </row>
    <row r="633" ht="15.75" customHeight="1">
      <c r="A633" s="109"/>
      <c r="B633" s="104"/>
      <c r="C633" s="104"/>
      <c r="D633" s="105"/>
      <c r="E633" s="106"/>
      <c r="F633" s="107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6"/>
    </row>
    <row r="634" ht="15.75" customHeight="1">
      <c r="A634" s="109"/>
      <c r="B634" s="104"/>
      <c r="C634" s="104"/>
      <c r="D634" s="105"/>
      <c r="E634" s="106"/>
      <c r="F634" s="107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6"/>
    </row>
    <row r="635" ht="15.75" customHeight="1">
      <c r="A635" s="109"/>
      <c r="B635" s="104"/>
      <c r="C635" s="104"/>
      <c r="D635" s="105"/>
      <c r="E635" s="106"/>
      <c r="F635" s="107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6"/>
    </row>
    <row r="636" ht="15.75" customHeight="1">
      <c r="A636" s="109"/>
      <c r="B636" s="104"/>
      <c r="C636" s="104"/>
      <c r="D636" s="105"/>
      <c r="E636" s="106"/>
      <c r="F636" s="107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6"/>
    </row>
    <row r="637" ht="15.75" customHeight="1">
      <c r="A637" s="109"/>
      <c r="B637" s="104"/>
      <c r="C637" s="104"/>
      <c r="D637" s="105"/>
      <c r="E637" s="106"/>
      <c r="F637" s="107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6"/>
    </row>
    <row r="638" ht="15.75" customHeight="1">
      <c r="A638" s="109"/>
      <c r="B638" s="104"/>
      <c r="C638" s="104"/>
      <c r="D638" s="105"/>
      <c r="E638" s="106"/>
      <c r="F638" s="107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6"/>
    </row>
    <row r="639" ht="15.75" customHeight="1">
      <c r="A639" s="109"/>
      <c r="B639" s="104"/>
      <c r="C639" s="104"/>
      <c r="D639" s="105"/>
      <c r="E639" s="106"/>
      <c r="F639" s="107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6"/>
    </row>
    <row r="640" ht="15.75" customHeight="1">
      <c r="A640" s="109"/>
      <c r="B640" s="104"/>
      <c r="C640" s="104"/>
      <c r="D640" s="105"/>
      <c r="E640" s="106"/>
      <c r="F640" s="107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6"/>
    </row>
    <row r="641" ht="15.75" customHeight="1">
      <c r="A641" s="109"/>
      <c r="B641" s="104"/>
      <c r="C641" s="104"/>
      <c r="D641" s="105"/>
      <c r="E641" s="106"/>
      <c r="F641" s="107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6"/>
    </row>
    <row r="642" ht="15.75" customHeight="1">
      <c r="A642" s="109"/>
      <c r="B642" s="104"/>
      <c r="C642" s="104"/>
      <c r="D642" s="105"/>
      <c r="E642" s="106"/>
      <c r="F642" s="107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6"/>
    </row>
    <row r="643" ht="15.75" customHeight="1">
      <c r="A643" s="109"/>
      <c r="B643" s="104"/>
      <c r="C643" s="104"/>
      <c r="D643" s="105"/>
      <c r="E643" s="106"/>
      <c r="F643" s="107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6"/>
    </row>
    <row r="644" ht="15.75" customHeight="1">
      <c r="A644" s="109"/>
      <c r="B644" s="104"/>
      <c r="C644" s="104"/>
      <c r="D644" s="105"/>
      <c r="E644" s="106"/>
      <c r="F644" s="107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6"/>
    </row>
    <row r="645" ht="15.75" customHeight="1">
      <c r="A645" s="109"/>
      <c r="B645" s="104"/>
      <c r="C645" s="104"/>
      <c r="D645" s="105"/>
      <c r="E645" s="106"/>
      <c r="F645" s="107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6"/>
    </row>
    <row r="646" ht="15.75" customHeight="1">
      <c r="A646" s="109"/>
      <c r="B646" s="104"/>
      <c r="C646" s="104"/>
      <c r="D646" s="105"/>
      <c r="E646" s="106"/>
      <c r="F646" s="107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6"/>
    </row>
    <row r="647" ht="15.75" customHeight="1">
      <c r="A647" s="109"/>
      <c r="B647" s="104"/>
      <c r="C647" s="104"/>
      <c r="D647" s="105"/>
      <c r="E647" s="106"/>
      <c r="F647" s="107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6"/>
    </row>
    <row r="648" ht="15.75" customHeight="1">
      <c r="A648" s="109"/>
      <c r="B648" s="104"/>
      <c r="C648" s="104"/>
      <c r="D648" s="105"/>
      <c r="E648" s="106"/>
      <c r="F648" s="107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6"/>
    </row>
    <row r="649" ht="15.75" customHeight="1">
      <c r="A649" s="109"/>
      <c r="B649" s="104"/>
      <c r="C649" s="104"/>
      <c r="D649" s="105"/>
      <c r="E649" s="106"/>
      <c r="F649" s="107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6"/>
    </row>
    <row r="650" ht="15.75" customHeight="1">
      <c r="A650" s="109"/>
      <c r="B650" s="104"/>
      <c r="C650" s="104"/>
      <c r="D650" s="105"/>
      <c r="E650" s="106"/>
      <c r="F650" s="107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6"/>
    </row>
    <row r="651" ht="15.75" customHeight="1">
      <c r="A651" s="109"/>
      <c r="B651" s="104"/>
      <c r="C651" s="104"/>
      <c r="D651" s="105"/>
      <c r="E651" s="106"/>
      <c r="F651" s="107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6"/>
    </row>
    <row r="652" ht="15.75" customHeight="1">
      <c r="A652" s="109"/>
      <c r="B652" s="104"/>
      <c r="C652" s="104"/>
      <c r="D652" s="105"/>
      <c r="E652" s="106"/>
      <c r="F652" s="107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6"/>
    </row>
    <row r="653" ht="15.75" customHeight="1">
      <c r="A653" s="109"/>
      <c r="B653" s="104"/>
      <c r="C653" s="104"/>
      <c r="D653" s="105"/>
      <c r="E653" s="106"/>
      <c r="F653" s="107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6"/>
    </row>
    <row r="654" ht="15.75" customHeight="1">
      <c r="A654" s="109"/>
      <c r="B654" s="104"/>
      <c r="C654" s="104"/>
      <c r="D654" s="105"/>
      <c r="E654" s="106"/>
      <c r="F654" s="107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6"/>
    </row>
    <row r="655" ht="15.75" customHeight="1">
      <c r="A655" s="109"/>
      <c r="B655" s="104"/>
      <c r="C655" s="104"/>
      <c r="D655" s="105"/>
      <c r="E655" s="106"/>
      <c r="F655" s="107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6"/>
    </row>
    <row r="656" ht="15.75" customHeight="1">
      <c r="A656" s="109"/>
      <c r="B656" s="104"/>
      <c r="C656" s="104"/>
      <c r="D656" s="105"/>
      <c r="E656" s="106"/>
      <c r="F656" s="107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6"/>
    </row>
    <row r="657" ht="15.75" customHeight="1">
      <c r="A657" s="109"/>
      <c r="B657" s="104"/>
      <c r="C657" s="104"/>
      <c r="D657" s="105"/>
      <c r="E657" s="106"/>
      <c r="F657" s="107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6"/>
    </row>
    <row r="658" ht="15.75" customHeight="1">
      <c r="A658" s="109"/>
      <c r="B658" s="104"/>
      <c r="C658" s="104"/>
      <c r="D658" s="105"/>
      <c r="E658" s="106"/>
      <c r="F658" s="107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6"/>
    </row>
    <row r="659" ht="15.75" customHeight="1">
      <c r="A659" s="109"/>
      <c r="B659" s="104"/>
      <c r="C659" s="104"/>
      <c r="D659" s="105"/>
      <c r="E659" s="106"/>
      <c r="F659" s="107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6"/>
    </row>
    <row r="660" ht="15.75" customHeight="1">
      <c r="A660" s="109"/>
      <c r="B660" s="104"/>
      <c r="C660" s="104"/>
      <c r="D660" s="105"/>
      <c r="E660" s="106"/>
      <c r="F660" s="107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6"/>
    </row>
    <row r="661" ht="15.75" customHeight="1">
      <c r="A661" s="109"/>
      <c r="B661" s="104"/>
      <c r="C661" s="104"/>
      <c r="D661" s="105"/>
      <c r="E661" s="106"/>
      <c r="F661" s="107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6"/>
    </row>
    <row r="662" ht="15.75" customHeight="1">
      <c r="A662" s="109"/>
      <c r="B662" s="104"/>
      <c r="C662" s="104"/>
      <c r="D662" s="105"/>
      <c r="E662" s="106"/>
      <c r="F662" s="107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6"/>
    </row>
    <row r="663" ht="15.75" customHeight="1">
      <c r="A663" s="109"/>
      <c r="B663" s="104"/>
      <c r="C663" s="104"/>
      <c r="D663" s="105"/>
      <c r="E663" s="106"/>
      <c r="F663" s="107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6"/>
    </row>
    <row r="664" ht="15.75" customHeight="1">
      <c r="A664" s="109"/>
      <c r="B664" s="104"/>
      <c r="C664" s="104"/>
      <c r="D664" s="105"/>
      <c r="E664" s="106"/>
      <c r="F664" s="107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6"/>
    </row>
    <row r="665" ht="15.75" customHeight="1">
      <c r="A665" s="109"/>
      <c r="B665" s="104"/>
      <c r="C665" s="104"/>
      <c r="D665" s="105"/>
      <c r="E665" s="106"/>
      <c r="F665" s="107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6"/>
    </row>
    <row r="666" ht="15.75" customHeight="1">
      <c r="A666" s="109"/>
      <c r="B666" s="104"/>
      <c r="C666" s="104"/>
      <c r="D666" s="105"/>
      <c r="E666" s="106"/>
      <c r="F666" s="107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6"/>
    </row>
    <row r="667" ht="15.75" customHeight="1">
      <c r="A667" s="109"/>
      <c r="B667" s="104"/>
      <c r="C667" s="104"/>
      <c r="D667" s="105"/>
      <c r="E667" s="106"/>
      <c r="F667" s="107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6"/>
    </row>
    <row r="668" ht="15.75" customHeight="1">
      <c r="A668" s="109"/>
      <c r="B668" s="104"/>
      <c r="C668" s="104"/>
      <c r="D668" s="105"/>
      <c r="E668" s="106"/>
      <c r="F668" s="107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6"/>
    </row>
    <row r="669" ht="15.75" customHeight="1">
      <c r="A669" s="109"/>
      <c r="B669" s="104"/>
      <c r="C669" s="104"/>
      <c r="D669" s="105"/>
      <c r="E669" s="106"/>
      <c r="F669" s="107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6"/>
    </row>
    <row r="670" ht="15.75" customHeight="1">
      <c r="A670" s="109"/>
      <c r="B670" s="104"/>
      <c r="C670" s="104"/>
      <c r="D670" s="105"/>
      <c r="E670" s="106"/>
      <c r="F670" s="107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6"/>
    </row>
    <row r="671" ht="15.75" customHeight="1">
      <c r="A671" s="109"/>
      <c r="B671" s="104"/>
      <c r="C671" s="104"/>
      <c r="D671" s="105"/>
      <c r="E671" s="106"/>
      <c r="F671" s="107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6"/>
    </row>
    <row r="672" ht="15.75" customHeight="1">
      <c r="A672" s="109"/>
      <c r="B672" s="104"/>
      <c r="C672" s="104"/>
      <c r="D672" s="105"/>
      <c r="E672" s="106"/>
      <c r="F672" s="107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6"/>
    </row>
    <row r="673" ht="15.75" customHeight="1">
      <c r="A673" s="109"/>
      <c r="B673" s="104"/>
      <c r="C673" s="104"/>
      <c r="D673" s="105"/>
      <c r="E673" s="106"/>
      <c r="F673" s="107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6"/>
    </row>
    <row r="674" ht="15.75" customHeight="1">
      <c r="A674" s="109"/>
      <c r="B674" s="104"/>
      <c r="C674" s="104"/>
      <c r="D674" s="105"/>
      <c r="E674" s="106"/>
      <c r="F674" s="107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6"/>
    </row>
    <row r="675" ht="15.75" customHeight="1">
      <c r="A675" s="109"/>
      <c r="B675" s="104"/>
      <c r="C675" s="104"/>
      <c r="D675" s="105"/>
      <c r="E675" s="106"/>
      <c r="F675" s="107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6"/>
    </row>
    <row r="676" ht="15.75" customHeight="1">
      <c r="A676" s="109"/>
      <c r="B676" s="104"/>
      <c r="C676" s="104"/>
      <c r="D676" s="105"/>
      <c r="E676" s="106"/>
      <c r="F676" s="107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6"/>
    </row>
    <row r="677" ht="15.75" customHeight="1">
      <c r="A677" s="109"/>
      <c r="B677" s="104"/>
      <c r="C677" s="104"/>
      <c r="D677" s="105"/>
      <c r="E677" s="106"/>
      <c r="F677" s="107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6"/>
    </row>
    <row r="678" ht="15.75" customHeight="1">
      <c r="A678" s="109"/>
      <c r="B678" s="104"/>
      <c r="C678" s="104"/>
      <c r="D678" s="105"/>
      <c r="E678" s="106"/>
      <c r="F678" s="107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6"/>
    </row>
    <row r="679" ht="15.75" customHeight="1">
      <c r="A679" s="109"/>
      <c r="B679" s="104"/>
      <c r="C679" s="104"/>
      <c r="D679" s="105"/>
      <c r="E679" s="106"/>
      <c r="F679" s="107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6"/>
    </row>
    <row r="680" ht="15.75" customHeight="1">
      <c r="A680" s="109"/>
      <c r="B680" s="104"/>
      <c r="C680" s="104"/>
      <c r="D680" s="105"/>
      <c r="E680" s="106"/>
      <c r="F680" s="107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6"/>
    </row>
    <row r="681" ht="15.75" customHeight="1">
      <c r="A681" s="109"/>
      <c r="B681" s="104"/>
      <c r="C681" s="104"/>
      <c r="D681" s="105"/>
      <c r="E681" s="106"/>
      <c r="F681" s="107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6"/>
    </row>
    <row r="682" ht="15.75" customHeight="1">
      <c r="A682" s="109"/>
      <c r="B682" s="104"/>
      <c r="C682" s="104"/>
      <c r="D682" s="105"/>
      <c r="E682" s="106"/>
      <c r="F682" s="107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6"/>
    </row>
    <row r="683" ht="15.75" customHeight="1">
      <c r="A683" s="109"/>
      <c r="B683" s="104"/>
      <c r="C683" s="104"/>
      <c r="D683" s="105"/>
      <c r="E683" s="106"/>
      <c r="F683" s="107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6"/>
    </row>
    <row r="684" ht="15.75" customHeight="1">
      <c r="A684" s="109"/>
      <c r="B684" s="104"/>
      <c r="C684" s="104"/>
      <c r="D684" s="105"/>
      <c r="E684" s="106"/>
      <c r="F684" s="107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6"/>
    </row>
    <row r="685" ht="15.75" customHeight="1">
      <c r="A685" s="109"/>
      <c r="B685" s="104"/>
      <c r="C685" s="104"/>
      <c r="D685" s="105"/>
      <c r="E685" s="106"/>
      <c r="F685" s="107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6"/>
    </row>
    <row r="686" ht="15.75" customHeight="1">
      <c r="A686" s="109"/>
      <c r="B686" s="104"/>
      <c r="C686" s="104"/>
      <c r="D686" s="105"/>
      <c r="E686" s="106"/>
      <c r="F686" s="107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6"/>
    </row>
    <row r="687" ht="15.75" customHeight="1">
      <c r="A687" s="109"/>
      <c r="B687" s="104"/>
      <c r="C687" s="104"/>
      <c r="D687" s="105"/>
      <c r="E687" s="106"/>
      <c r="F687" s="107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6"/>
    </row>
    <row r="688" ht="15.75" customHeight="1">
      <c r="A688" s="109"/>
      <c r="B688" s="104"/>
      <c r="C688" s="104"/>
      <c r="D688" s="105"/>
      <c r="E688" s="106"/>
      <c r="F688" s="107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6"/>
    </row>
    <row r="689" ht="15.75" customHeight="1">
      <c r="A689" s="109"/>
      <c r="B689" s="104"/>
      <c r="C689" s="104"/>
      <c r="D689" s="105"/>
      <c r="E689" s="106"/>
      <c r="F689" s="107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6"/>
    </row>
    <row r="690" ht="15.75" customHeight="1">
      <c r="A690" s="109"/>
      <c r="B690" s="104"/>
      <c r="C690" s="104"/>
      <c r="D690" s="105"/>
      <c r="E690" s="106"/>
      <c r="F690" s="107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6"/>
    </row>
    <row r="691" ht="15.75" customHeight="1">
      <c r="A691" s="109"/>
      <c r="B691" s="104"/>
      <c r="C691" s="104"/>
      <c r="D691" s="105"/>
      <c r="E691" s="106"/>
      <c r="F691" s="107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6"/>
    </row>
    <row r="692" ht="15.75" customHeight="1">
      <c r="A692" s="109"/>
      <c r="B692" s="104"/>
      <c r="C692" s="104"/>
      <c r="D692" s="105"/>
      <c r="E692" s="106"/>
      <c r="F692" s="107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6"/>
    </row>
    <row r="693" ht="15.75" customHeight="1">
      <c r="A693" s="109"/>
      <c r="B693" s="104"/>
      <c r="C693" s="104"/>
      <c r="D693" s="105"/>
      <c r="E693" s="106"/>
      <c r="F693" s="107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6"/>
    </row>
    <row r="694" ht="15.75" customHeight="1">
      <c r="A694" s="109"/>
      <c r="B694" s="104"/>
      <c r="C694" s="104"/>
      <c r="D694" s="105"/>
      <c r="E694" s="106"/>
      <c r="F694" s="107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6"/>
    </row>
    <row r="695" ht="15.75" customHeight="1">
      <c r="A695" s="109"/>
      <c r="B695" s="104"/>
      <c r="C695" s="104"/>
      <c r="D695" s="105"/>
      <c r="E695" s="106"/>
      <c r="F695" s="107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6"/>
    </row>
    <row r="696" ht="15.75" customHeight="1">
      <c r="A696" s="109"/>
      <c r="B696" s="104"/>
      <c r="C696" s="104"/>
      <c r="D696" s="105"/>
      <c r="E696" s="106"/>
      <c r="F696" s="107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6"/>
    </row>
    <row r="697" ht="15.75" customHeight="1">
      <c r="A697" s="109"/>
      <c r="B697" s="104"/>
      <c r="C697" s="104"/>
      <c r="D697" s="105"/>
      <c r="E697" s="106"/>
      <c r="F697" s="107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6"/>
    </row>
    <row r="698" ht="15.75" customHeight="1">
      <c r="A698" s="109"/>
      <c r="B698" s="104"/>
      <c r="C698" s="104"/>
      <c r="D698" s="105"/>
      <c r="E698" s="106"/>
      <c r="F698" s="107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6"/>
    </row>
    <row r="699" ht="15.75" customHeight="1">
      <c r="A699" s="109"/>
      <c r="B699" s="104"/>
      <c r="C699" s="104"/>
      <c r="D699" s="105"/>
      <c r="E699" s="106"/>
      <c r="F699" s="107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6"/>
    </row>
    <row r="700" ht="15.75" customHeight="1">
      <c r="A700" s="109"/>
      <c r="B700" s="104"/>
      <c r="C700" s="104"/>
      <c r="D700" s="105"/>
      <c r="E700" s="106"/>
      <c r="F700" s="107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6"/>
    </row>
    <row r="701" ht="15.75" customHeight="1">
      <c r="A701" s="109"/>
      <c r="B701" s="104"/>
      <c r="C701" s="104"/>
      <c r="D701" s="105"/>
      <c r="E701" s="106"/>
      <c r="F701" s="107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6"/>
    </row>
    <row r="702" ht="15.75" customHeight="1">
      <c r="A702" s="109"/>
      <c r="B702" s="104"/>
      <c r="C702" s="104"/>
      <c r="D702" s="105"/>
      <c r="E702" s="106"/>
      <c r="F702" s="107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6"/>
    </row>
    <row r="703" ht="15.75" customHeight="1">
      <c r="A703" s="109"/>
      <c r="B703" s="104"/>
      <c r="C703" s="104"/>
      <c r="D703" s="105"/>
      <c r="E703" s="106"/>
      <c r="F703" s="107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6"/>
    </row>
    <row r="704" ht="15.75" customHeight="1">
      <c r="A704" s="109"/>
      <c r="B704" s="104"/>
      <c r="C704" s="104"/>
      <c r="D704" s="105"/>
      <c r="E704" s="106"/>
      <c r="F704" s="107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6"/>
    </row>
    <row r="705" ht="15.75" customHeight="1">
      <c r="A705" s="109"/>
      <c r="B705" s="104"/>
      <c r="C705" s="104"/>
      <c r="D705" s="105"/>
      <c r="E705" s="106"/>
      <c r="F705" s="107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6"/>
    </row>
    <row r="706" ht="15.75" customHeight="1">
      <c r="A706" s="109"/>
      <c r="B706" s="104"/>
      <c r="C706" s="104"/>
      <c r="D706" s="105"/>
      <c r="E706" s="106"/>
      <c r="F706" s="107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6"/>
    </row>
    <row r="707" ht="15.75" customHeight="1">
      <c r="A707" s="109"/>
      <c r="B707" s="104"/>
      <c r="C707" s="104"/>
      <c r="D707" s="105"/>
      <c r="E707" s="106"/>
      <c r="F707" s="107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6"/>
    </row>
    <row r="708" ht="15.75" customHeight="1">
      <c r="A708" s="109"/>
      <c r="B708" s="104"/>
      <c r="C708" s="104"/>
      <c r="D708" s="105"/>
      <c r="E708" s="106"/>
      <c r="F708" s="107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6"/>
    </row>
    <row r="709" ht="15.75" customHeight="1">
      <c r="A709" s="109"/>
      <c r="B709" s="104"/>
      <c r="C709" s="104"/>
      <c r="D709" s="105"/>
      <c r="E709" s="106"/>
      <c r="F709" s="107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6"/>
    </row>
    <row r="710" ht="15.75" customHeight="1">
      <c r="A710" s="109"/>
      <c r="B710" s="104"/>
      <c r="C710" s="104"/>
      <c r="D710" s="105"/>
      <c r="E710" s="106"/>
      <c r="F710" s="107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6"/>
    </row>
    <row r="711" ht="15.75" customHeight="1">
      <c r="A711" s="109"/>
      <c r="B711" s="104"/>
      <c r="C711" s="104"/>
      <c r="D711" s="105"/>
      <c r="E711" s="106"/>
      <c r="F711" s="107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6"/>
    </row>
    <row r="712" ht="15.75" customHeight="1">
      <c r="A712" s="109"/>
      <c r="B712" s="104"/>
      <c r="C712" s="104"/>
      <c r="D712" s="105"/>
      <c r="E712" s="106"/>
      <c r="F712" s="107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6"/>
    </row>
    <row r="713" ht="15.75" customHeight="1">
      <c r="A713" s="109"/>
      <c r="B713" s="104"/>
      <c r="C713" s="104"/>
      <c r="D713" s="105"/>
      <c r="E713" s="106"/>
      <c r="F713" s="107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6"/>
    </row>
    <row r="714" ht="15.75" customHeight="1">
      <c r="A714" s="109"/>
      <c r="B714" s="104"/>
      <c r="C714" s="104"/>
      <c r="D714" s="105"/>
      <c r="E714" s="106"/>
      <c r="F714" s="107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6"/>
    </row>
    <row r="715" ht="15.75" customHeight="1">
      <c r="A715" s="109"/>
      <c r="B715" s="104"/>
      <c r="C715" s="104"/>
      <c r="D715" s="105"/>
      <c r="E715" s="106"/>
      <c r="F715" s="107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6"/>
    </row>
    <row r="716" ht="15.75" customHeight="1">
      <c r="A716" s="109"/>
      <c r="B716" s="104"/>
      <c r="C716" s="104"/>
      <c r="D716" s="105"/>
      <c r="E716" s="106"/>
      <c r="F716" s="107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6"/>
    </row>
    <row r="717" ht="15.75" customHeight="1">
      <c r="A717" s="109"/>
      <c r="B717" s="104"/>
      <c r="C717" s="104"/>
      <c r="D717" s="105"/>
      <c r="E717" s="106"/>
      <c r="F717" s="107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6"/>
    </row>
    <row r="718" ht="15.75" customHeight="1">
      <c r="A718" s="109"/>
      <c r="B718" s="104"/>
      <c r="C718" s="104"/>
      <c r="D718" s="105"/>
      <c r="E718" s="106"/>
      <c r="F718" s="107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6"/>
    </row>
    <row r="719" ht="15.75" customHeight="1">
      <c r="A719" s="109"/>
      <c r="B719" s="104"/>
      <c r="C719" s="104"/>
      <c r="D719" s="105"/>
      <c r="E719" s="106"/>
      <c r="F719" s="107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6"/>
    </row>
    <row r="720" ht="15.75" customHeight="1">
      <c r="A720" s="109"/>
      <c r="B720" s="104"/>
      <c r="C720" s="104"/>
      <c r="D720" s="105"/>
      <c r="E720" s="106"/>
      <c r="F720" s="107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6"/>
    </row>
    <row r="721" ht="15.75" customHeight="1">
      <c r="A721" s="109"/>
      <c r="B721" s="104"/>
      <c r="C721" s="104"/>
      <c r="D721" s="105"/>
      <c r="E721" s="106"/>
      <c r="F721" s="107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6"/>
    </row>
    <row r="722" ht="15.75" customHeight="1">
      <c r="A722" s="109"/>
      <c r="B722" s="104"/>
      <c r="C722" s="104"/>
      <c r="D722" s="105"/>
      <c r="E722" s="106"/>
      <c r="F722" s="107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6"/>
    </row>
    <row r="723" ht="15.75" customHeight="1">
      <c r="A723" s="109"/>
      <c r="B723" s="104"/>
      <c r="C723" s="104"/>
      <c r="D723" s="105"/>
      <c r="E723" s="106"/>
      <c r="F723" s="107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6"/>
    </row>
    <row r="724" ht="15.75" customHeight="1">
      <c r="A724" s="109"/>
      <c r="B724" s="104"/>
      <c r="C724" s="104"/>
      <c r="D724" s="105"/>
      <c r="E724" s="106"/>
      <c r="F724" s="107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6"/>
    </row>
    <row r="725" ht="15.75" customHeight="1">
      <c r="A725" s="109"/>
      <c r="B725" s="104"/>
      <c r="C725" s="104"/>
      <c r="D725" s="105"/>
      <c r="E725" s="106"/>
      <c r="F725" s="107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6"/>
    </row>
    <row r="726" ht="15.75" customHeight="1">
      <c r="A726" s="109"/>
      <c r="B726" s="104"/>
      <c r="C726" s="104"/>
      <c r="D726" s="105"/>
      <c r="E726" s="106"/>
      <c r="F726" s="107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6"/>
    </row>
    <row r="727" ht="15.75" customHeight="1">
      <c r="A727" s="109"/>
      <c r="B727" s="104"/>
      <c r="C727" s="104"/>
      <c r="D727" s="105"/>
      <c r="E727" s="106"/>
      <c r="F727" s="107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6"/>
    </row>
    <row r="728" ht="15.75" customHeight="1">
      <c r="A728" s="109"/>
      <c r="B728" s="104"/>
      <c r="C728" s="104"/>
      <c r="D728" s="105"/>
      <c r="E728" s="106"/>
      <c r="F728" s="107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6"/>
    </row>
    <row r="729" ht="15.75" customHeight="1">
      <c r="A729" s="109"/>
      <c r="B729" s="104"/>
      <c r="C729" s="104"/>
      <c r="D729" s="105"/>
      <c r="E729" s="106"/>
      <c r="F729" s="107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6"/>
    </row>
    <row r="730" ht="15.75" customHeight="1">
      <c r="A730" s="109"/>
      <c r="B730" s="104"/>
      <c r="C730" s="104"/>
      <c r="D730" s="105"/>
      <c r="E730" s="106"/>
      <c r="F730" s="107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6"/>
    </row>
    <row r="731" ht="15.75" customHeight="1">
      <c r="A731" s="109"/>
      <c r="B731" s="104"/>
      <c r="C731" s="104"/>
      <c r="D731" s="105"/>
      <c r="E731" s="106"/>
      <c r="F731" s="107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6"/>
    </row>
    <row r="732" ht="15.75" customHeight="1">
      <c r="A732" s="109"/>
      <c r="B732" s="104"/>
      <c r="C732" s="104"/>
      <c r="D732" s="105"/>
      <c r="E732" s="106"/>
      <c r="F732" s="107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6"/>
    </row>
    <row r="733" ht="15.75" customHeight="1">
      <c r="A733" s="109"/>
      <c r="B733" s="104"/>
      <c r="C733" s="104"/>
      <c r="D733" s="105"/>
      <c r="E733" s="106"/>
      <c r="F733" s="107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6"/>
    </row>
    <row r="734" ht="15.75" customHeight="1">
      <c r="A734" s="109"/>
      <c r="B734" s="104"/>
      <c r="C734" s="104"/>
      <c r="D734" s="105"/>
      <c r="E734" s="106"/>
      <c r="F734" s="107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6"/>
    </row>
    <row r="735" ht="15.75" customHeight="1">
      <c r="A735" s="109"/>
      <c r="B735" s="104"/>
      <c r="C735" s="104"/>
      <c r="D735" s="105"/>
      <c r="E735" s="106"/>
      <c r="F735" s="107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6"/>
    </row>
    <row r="736" ht="15.75" customHeight="1">
      <c r="A736" s="109"/>
      <c r="B736" s="104"/>
      <c r="C736" s="104"/>
      <c r="D736" s="105"/>
      <c r="E736" s="106"/>
      <c r="F736" s="107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6"/>
    </row>
    <row r="737" ht="15.75" customHeight="1">
      <c r="A737" s="109"/>
      <c r="B737" s="104"/>
      <c r="C737" s="104"/>
      <c r="D737" s="105"/>
      <c r="E737" s="106"/>
      <c r="F737" s="107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6"/>
    </row>
    <row r="738" ht="15.75" customHeight="1">
      <c r="A738" s="109"/>
      <c r="B738" s="104"/>
      <c r="C738" s="104"/>
      <c r="D738" s="105"/>
      <c r="E738" s="106"/>
      <c r="F738" s="107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6"/>
    </row>
    <row r="739" ht="15.75" customHeight="1">
      <c r="A739" s="109"/>
      <c r="B739" s="104"/>
      <c r="C739" s="104"/>
      <c r="D739" s="105"/>
      <c r="E739" s="106"/>
      <c r="F739" s="107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6"/>
    </row>
    <row r="740" ht="15.75" customHeight="1">
      <c r="A740" s="109"/>
      <c r="B740" s="104"/>
      <c r="C740" s="104"/>
      <c r="D740" s="105"/>
      <c r="E740" s="106"/>
      <c r="F740" s="107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6"/>
    </row>
    <row r="741" ht="15.75" customHeight="1">
      <c r="A741" s="109"/>
      <c r="B741" s="104"/>
      <c r="C741" s="104"/>
      <c r="D741" s="105"/>
      <c r="E741" s="106"/>
      <c r="F741" s="107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6"/>
    </row>
    <row r="742" ht="15.75" customHeight="1">
      <c r="A742" s="109"/>
      <c r="B742" s="104"/>
      <c r="C742" s="104"/>
      <c r="D742" s="105"/>
      <c r="E742" s="106"/>
      <c r="F742" s="107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6"/>
    </row>
    <row r="743" ht="15.75" customHeight="1">
      <c r="A743" s="109"/>
      <c r="B743" s="104"/>
      <c r="C743" s="104"/>
      <c r="D743" s="105"/>
      <c r="E743" s="106"/>
      <c r="F743" s="107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6"/>
    </row>
    <row r="744" ht="15.75" customHeight="1">
      <c r="A744" s="109"/>
      <c r="B744" s="104"/>
      <c r="C744" s="104"/>
      <c r="D744" s="105"/>
      <c r="E744" s="106"/>
      <c r="F744" s="107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6"/>
    </row>
    <row r="745" ht="15.75" customHeight="1">
      <c r="A745" s="109"/>
      <c r="B745" s="104"/>
      <c r="C745" s="104"/>
      <c r="D745" s="105"/>
      <c r="E745" s="106"/>
      <c r="F745" s="107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6"/>
    </row>
    <row r="746" ht="15.75" customHeight="1">
      <c r="A746" s="109"/>
      <c r="B746" s="104"/>
      <c r="C746" s="104"/>
      <c r="D746" s="105"/>
      <c r="E746" s="106"/>
      <c r="F746" s="107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6"/>
    </row>
    <row r="747" ht="15.75" customHeight="1">
      <c r="A747" s="109"/>
      <c r="B747" s="104"/>
      <c r="C747" s="104"/>
      <c r="D747" s="105"/>
      <c r="E747" s="106"/>
      <c r="F747" s="107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6"/>
    </row>
    <row r="748" ht="15.75" customHeight="1">
      <c r="A748" s="109"/>
      <c r="B748" s="104"/>
      <c r="C748" s="104"/>
      <c r="D748" s="105"/>
      <c r="E748" s="106"/>
      <c r="F748" s="107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6"/>
    </row>
    <row r="749" ht="15.75" customHeight="1">
      <c r="A749" s="109"/>
      <c r="B749" s="104"/>
      <c r="C749" s="104"/>
      <c r="D749" s="105"/>
      <c r="E749" s="106"/>
      <c r="F749" s="107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6"/>
    </row>
    <row r="750" ht="15.75" customHeight="1">
      <c r="A750" s="109"/>
      <c r="B750" s="104"/>
      <c r="C750" s="104"/>
      <c r="D750" s="105"/>
      <c r="E750" s="106"/>
      <c r="F750" s="107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6"/>
    </row>
    <row r="751" ht="15.75" customHeight="1">
      <c r="A751" s="109"/>
      <c r="B751" s="104"/>
      <c r="C751" s="104"/>
      <c r="D751" s="105"/>
      <c r="E751" s="106"/>
      <c r="F751" s="107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6"/>
    </row>
    <row r="752" ht="15.75" customHeight="1">
      <c r="A752" s="109"/>
      <c r="B752" s="104"/>
      <c r="C752" s="104"/>
      <c r="D752" s="105"/>
      <c r="E752" s="106"/>
      <c r="F752" s="107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6"/>
    </row>
    <row r="753" ht="15.75" customHeight="1">
      <c r="A753" s="109"/>
      <c r="B753" s="104"/>
      <c r="C753" s="104"/>
      <c r="D753" s="105"/>
      <c r="E753" s="106"/>
      <c r="F753" s="107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6"/>
    </row>
    <row r="754" ht="15.75" customHeight="1">
      <c r="A754" s="109"/>
      <c r="B754" s="104"/>
      <c r="C754" s="104"/>
      <c r="D754" s="105"/>
      <c r="E754" s="106"/>
      <c r="F754" s="107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6"/>
    </row>
    <row r="755" ht="15.75" customHeight="1">
      <c r="A755" s="109"/>
      <c r="B755" s="104"/>
      <c r="C755" s="104"/>
      <c r="D755" s="105"/>
      <c r="E755" s="106"/>
      <c r="F755" s="107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6"/>
    </row>
    <row r="756" ht="15.75" customHeight="1">
      <c r="A756" s="109"/>
      <c r="B756" s="104"/>
      <c r="C756" s="104"/>
      <c r="D756" s="105"/>
      <c r="E756" s="106"/>
      <c r="F756" s="107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6"/>
    </row>
    <row r="757" ht="15.75" customHeight="1">
      <c r="A757" s="109"/>
      <c r="B757" s="104"/>
      <c r="C757" s="104"/>
      <c r="D757" s="105"/>
      <c r="E757" s="106"/>
      <c r="F757" s="107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6"/>
    </row>
    <row r="758" ht="15.75" customHeight="1">
      <c r="A758" s="109"/>
      <c r="B758" s="104"/>
      <c r="C758" s="104"/>
      <c r="D758" s="105"/>
      <c r="E758" s="106"/>
      <c r="F758" s="107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6"/>
    </row>
    <row r="759" ht="15.75" customHeight="1">
      <c r="A759" s="109"/>
      <c r="B759" s="104"/>
      <c r="C759" s="104"/>
      <c r="D759" s="105"/>
      <c r="E759" s="106"/>
      <c r="F759" s="107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6"/>
    </row>
    <row r="760" ht="15.75" customHeight="1">
      <c r="A760" s="109"/>
      <c r="B760" s="104"/>
      <c r="C760" s="104"/>
      <c r="D760" s="105"/>
      <c r="E760" s="106"/>
      <c r="F760" s="107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6"/>
    </row>
    <row r="761" ht="15.75" customHeight="1">
      <c r="A761" s="109"/>
      <c r="B761" s="104"/>
      <c r="C761" s="104"/>
      <c r="D761" s="105"/>
      <c r="E761" s="106"/>
      <c r="F761" s="107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6"/>
    </row>
    <row r="762" ht="15.75" customHeight="1">
      <c r="A762" s="109"/>
      <c r="B762" s="104"/>
      <c r="C762" s="104"/>
      <c r="D762" s="105"/>
      <c r="E762" s="106"/>
      <c r="F762" s="107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6"/>
    </row>
    <row r="763" ht="15.75" customHeight="1">
      <c r="A763" s="109"/>
      <c r="B763" s="104"/>
      <c r="C763" s="104"/>
      <c r="D763" s="105"/>
      <c r="E763" s="106"/>
      <c r="F763" s="107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6"/>
    </row>
    <row r="764" ht="15.75" customHeight="1">
      <c r="A764" s="109"/>
      <c r="B764" s="104"/>
      <c r="C764" s="104"/>
      <c r="D764" s="105"/>
      <c r="E764" s="106"/>
      <c r="F764" s="107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6"/>
    </row>
    <row r="765" ht="15.75" customHeight="1">
      <c r="A765" s="109"/>
      <c r="B765" s="104"/>
      <c r="C765" s="104"/>
      <c r="D765" s="105"/>
      <c r="E765" s="106"/>
      <c r="F765" s="107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6"/>
    </row>
    <row r="766" ht="15.75" customHeight="1">
      <c r="A766" s="109"/>
      <c r="B766" s="104"/>
      <c r="C766" s="104"/>
      <c r="D766" s="105"/>
      <c r="E766" s="106"/>
      <c r="F766" s="107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6"/>
    </row>
    <row r="767" ht="15.75" customHeight="1">
      <c r="A767" s="109"/>
      <c r="B767" s="104"/>
      <c r="C767" s="104"/>
      <c r="D767" s="105"/>
      <c r="E767" s="106"/>
      <c r="F767" s="107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6"/>
    </row>
    <row r="768" ht="15.75" customHeight="1">
      <c r="A768" s="109"/>
      <c r="B768" s="104"/>
      <c r="C768" s="104"/>
      <c r="D768" s="105"/>
      <c r="E768" s="106"/>
      <c r="F768" s="107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6"/>
    </row>
    <row r="769" ht="15.75" customHeight="1">
      <c r="A769" s="109"/>
      <c r="B769" s="104"/>
      <c r="C769" s="104"/>
      <c r="D769" s="105"/>
      <c r="E769" s="106"/>
      <c r="F769" s="107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6"/>
    </row>
    <row r="770" ht="15.75" customHeight="1">
      <c r="A770" s="109"/>
      <c r="B770" s="104"/>
      <c r="C770" s="104"/>
      <c r="D770" s="105"/>
      <c r="E770" s="106"/>
      <c r="F770" s="107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6"/>
    </row>
    <row r="771" ht="15.75" customHeight="1">
      <c r="A771" s="109"/>
      <c r="B771" s="104"/>
      <c r="C771" s="104"/>
      <c r="D771" s="105"/>
      <c r="E771" s="106"/>
      <c r="F771" s="107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6"/>
    </row>
    <row r="772" ht="15.75" customHeight="1">
      <c r="A772" s="109"/>
      <c r="B772" s="104"/>
      <c r="C772" s="104"/>
      <c r="D772" s="105"/>
      <c r="E772" s="106"/>
      <c r="F772" s="107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6"/>
    </row>
    <row r="773" ht="15.75" customHeight="1">
      <c r="A773" s="109"/>
      <c r="B773" s="104"/>
      <c r="C773" s="104"/>
      <c r="D773" s="105"/>
      <c r="E773" s="106"/>
      <c r="F773" s="107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6"/>
    </row>
    <row r="774" ht="15.75" customHeight="1">
      <c r="A774" s="109"/>
      <c r="B774" s="104"/>
      <c r="C774" s="104"/>
      <c r="D774" s="105"/>
      <c r="E774" s="106"/>
      <c r="F774" s="107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6"/>
    </row>
    <row r="775" ht="15.75" customHeight="1">
      <c r="A775" s="109"/>
      <c r="B775" s="104"/>
      <c r="C775" s="104"/>
      <c r="D775" s="105"/>
      <c r="E775" s="106"/>
      <c r="F775" s="107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6"/>
    </row>
    <row r="776" ht="15.75" customHeight="1">
      <c r="A776" s="109"/>
      <c r="B776" s="104"/>
      <c r="C776" s="104"/>
      <c r="D776" s="105"/>
      <c r="E776" s="106"/>
      <c r="F776" s="107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6"/>
    </row>
    <row r="777" ht="15.75" customHeight="1">
      <c r="A777" s="109"/>
      <c r="B777" s="104"/>
      <c r="C777" s="104"/>
      <c r="D777" s="105"/>
      <c r="E777" s="106"/>
      <c r="F777" s="107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6"/>
    </row>
    <row r="778" ht="15.75" customHeight="1">
      <c r="A778" s="109"/>
      <c r="B778" s="104"/>
      <c r="C778" s="104"/>
      <c r="D778" s="105"/>
      <c r="E778" s="106"/>
      <c r="F778" s="107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6"/>
    </row>
    <row r="779" ht="15.75" customHeight="1">
      <c r="A779" s="109"/>
      <c r="B779" s="104"/>
      <c r="C779" s="104"/>
      <c r="D779" s="105"/>
      <c r="E779" s="106"/>
      <c r="F779" s="107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6"/>
    </row>
    <row r="780" ht="15.75" customHeight="1">
      <c r="A780" s="109"/>
      <c r="B780" s="104"/>
      <c r="C780" s="104"/>
      <c r="D780" s="105"/>
      <c r="E780" s="106"/>
      <c r="F780" s="107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6"/>
    </row>
    <row r="781" ht="15.75" customHeight="1">
      <c r="A781" s="109"/>
      <c r="B781" s="104"/>
      <c r="C781" s="104"/>
      <c r="D781" s="105"/>
      <c r="E781" s="106"/>
      <c r="F781" s="107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6"/>
    </row>
    <row r="782" ht="15.75" customHeight="1">
      <c r="A782" s="109"/>
      <c r="B782" s="104"/>
      <c r="C782" s="104"/>
      <c r="D782" s="105"/>
      <c r="E782" s="106"/>
      <c r="F782" s="107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6"/>
    </row>
    <row r="783" ht="15.75" customHeight="1">
      <c r="A783" s="109"/>
      <c r="B783" s="104"/>
      <c r="C783" s="104"/>
      <c r="D783" s="105"/>
      <c r="E783" s="106"/>
      <c r="F783" s="107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6"/>
    </row>
    <row r="784" ht="15.75" customHeight="1">
      <c r="A784" s="109"/>
      <c r="B784" s="104"/>
      <c r="C784" s="104"/>
      <c r="D784" s="105"/>
      <c r="E784" s="106"/>
      <c r="F784" s="107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6"/>
    </row>
    <row r="785" ht="15.75" customHeight="1">
      <c r="A785" s="109"/>
      <c r="B785" s="104"/>
      <c r="C785" s="104"/>
      <c r="D785" s="105"/>
      <c r="E785" s="106"/>
      <c r="F785" s="107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6"/>
    </row>
    <row r="786" ht="15.75" customHeight="1">
      <c r="A786" s="109"/>
      <c r="B786" s="104"/>
      <c r="C786" s="104"/>
      <c r="D786" s="105"/>
      <c r="E786" s="106"/>
      <c r="F786" s="107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6"/>
    </row>
    <row r="787" ht="15.75" customHeight="1">
      <c r="A787" s="109"/>
      <c r="B787" s="104"/>
      <c r="C787" s="104"/>
      <c r="D787" s="105"/>
      <c r="E787" s="106"/>
      <c r="F787" s="107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6"/>
    </row>
    <row r="788" ht="15.75" customHeight="1">
      <c r="A788" s="109"/>
      <c r="B788" s="104"/>
      <c r="C788" s="104"/>
      <c r="D788" s="105"/>
      <c r="E788" s="106"/>
      <c r="F788" s="107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6"/>
    </row>
    <row r="789" ht="15.75" customHeight="1">
      <c r="A789" s="109"/>
      <c r="B789" s="104"/>
      <c r="C789" s="104"/>
      <c r="D789" s="105"/>
      <c r="E789" s="106"/>
      <c r="F789" s="107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6"/>
    </row>
    <row r="790" ht="15.75" customHeight="1">
      <c r="A790" s="109"/>
      <c r="B790" s="104"/>
      <c r="C790" s="104"/>
      <c r="D790" s="105"/>
      <c r="E790" s="106"/>
      <c r="F790" s="107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6"/>
    </row>
    <row r="791" ht="15.75" customHeight="1">
      <c r="A791" s="109"/>
      <c r="B791" s="104"/>
      <c r="C791" s="104"/>
      <c r="D791" s="105"/>
      <c r="E791" s="106"/>
      <c r="F791" s="107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6"/>
    </row>
    <row r="792" ht="15.75" customHeight="1">
      <c r="A792" s="109"/>
      <c r="B792" s="104"/>
      <c r="C792" s="104"/>
      <c r="D792" s="105"/>
      <c r="E792" s="106"/>
      <c r="F792" s="107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6"/>
    </row>
    <row r="793" ht="15.75" customHeight="1">
      <c r="A793" s="109"/>
      <c r="B793" s="104"/>
      <c r="C793" s="104"/>
      <c r="D793" s="105"/>
      <c r="E793" s="106"/>
      <c r="F793" s="107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6"/>
    </row>
    <row r="794" ht="15.75" customHeight="1">
      <c r="A794" s="109"/>
      <c r="B794" s="104"/>
      <c r="C794" s="104"/>
      <c r="D794" s="105"/>
      <c r="E794" s="106"/>
      <c r="F794" s="107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6"/>
    </row>
    <row r="795" ht="15.75" customHeight="1">
      <c r="A795" s="109"/>
      <c r="B795" s="104"/>
      <c r="C795" s="104"/>
      <c r="D795" s="105"/>
      <c r="E795" s="106"/>
      <c r="F795" s="107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6"/>
    </row>
    <row r="796" ht="15.75" customHeight="1">
      <c r="A796" s="109"/>
      <c r="B796" s="104"/>
      <c r="C796" s="104"/>
      <c r="D796" s="105"/>
      <c r="E796" s="106"/>
      <c r="F796" s="107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6"/>
    </row>
    <row r="797" ht="15.75" customHeight="1">
      <c r="A797" s="109"/>
      <c r="B797" s="104"/>
      <c r="C797" s="104"/>
      <c r="D797" s="105"/>
      <c r="E797" s="106"/>
      <c r="F797" s="107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6"/>
    </row>
    <row r="798" ht="15.75" customHeight="1">
      <c r="A798" s="109"/>
      <c r="B798" s="104"/>
      <c r="C798" s="104"/>
      <c r="D798" s="105"/>
      <c r="E798" s="106"/>
      <c r="F798" s="107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6"/>
    </row>
    <row r="799" ht="15.75" customHeight="1">
      <c r="A799" s="109"/>
      <c r="B799" s="104"/>
      <c r="C799" s="104"/>
      <c r="D799" s="105"/>
      <c r="E799" s="106"/>
      <c r="F799" s="107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6"/>
    </row>
    <row r="800" ht="15.75" customHeight="1">
      <c r="A800" s="109"/>
      <c r="B800" s="104"/>
      <c r="C800" s="104"/>
      <c r="D800" s="105"/>
      <c r="E800" s="106"/>
      <c r="F800" s="107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6"/>
    </row>
    <row r="801" ht="15.75" customHeight="1">
      <c r="A801" s="109"/>
      <c r="B801" s="104"/>
      <c r="C801" s="104"/>
      <c r="D801" s="105"/>
      <c r="E801" s="106"/>
      <c r="F801" s="107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6"/>
    </row>
    <row r="802" ht="15.75" customHeight="1">
      <c r="A802" s="109"/>
      <c r="B802" s="104"/>
      <c r="C802" s="104"/>
      <c r="D802" s="105"/>
      <c r="E802" s="106"/>
      <c r="F802" s="107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6"/>
    </row>
    <row r="803" ht="15.75" customHeight="1">
      <c r="A803" s="109"/>
      <c r="B803" s="104"/>
      <c r="C803" s="104"/>
      <c r="D803" s="105"/>
      <c r="E803" s="106"/>
      <c r="F803" s="107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6"/>
    </row>
    <row r="804" ht="15.75" customHeight="1">
      <c r="A804" s="109"/>
      <c r="B804" s="104"/>
      <c r="C804" s="104"/>
      <c r="D804" s="105"/>
      <c r="E804" s="106"/>
      <c r="F804" s="107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6"/>
    </row>
    <row r="805" ht="15.75" customHeight="1">
      <c r="A805" s="109"/>
      <c r="B805" s="104"/>
      <c r="C805" s="104"/>
      <c r="D805" s="105"/>
      <c r="E805" s="106"/>
      <c r="F805" s="107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6"/>
    </row>
    <row r="806" ht="15.75" customHeight="1">
      <c r="A806" s="109"/>
      <c r="B806" s="104"/>
      <c r="C806" s="104"/>
      <c r="D806" s="105"/>
      <c r="E806" s="106"/>
      <c r="F806" s="107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6"/>
    </row>
    <row r="807" ht="15.75" customHeight="1">
      <c r="A807" s="109"/>
      <c r="B807" s="104"/>
      <c r="C807" s="104"/>
      <c r="D807" s="105"/>
      <c r="E807" s="106"/>
      <c r="F807" s="107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6"/>
    </row>
    <row r="808" ht="15.75" customHeight="1">
      <c r="A808" s="109"/>
      <c r="B808" s="104"/>
      <c r="C808" s="104"/>
      <c r="D808" s="105"/>
      <c r="E808" s="106"/>
      <c r="F808" s="107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6"/>
    </row>
    <row r="809" ht="15.75" customHeight="1">
      <c r="A809" s="109"/>
      <c r="B809" s="104"/>
      <c r="C809" s="104"/>
      <c r="D809" s="105"/>
      <c r="E809" s="106"/>
      <c r="F809" s="107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6"/>
    </row>
    <row r="810" ht="15.75" customHeight="1">
      <c r="A810" s="109"/>
      <c r="B810" s="104"/>
      <c r="C810" s="104"/>
      <c r="D810" s="105"/>
      <c r="E810" s="106"/>
      <c r="F810" s="107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6"/>
    </row>
    <row r="811" ht="15.75" customHeight="1">
      <c r="A811" s="109"/>
      <c r="B811" s="104"/>
      <c r="C811" s="104"/>
      <c r="D811" s="105"/>
      <c r="E811" s="106"/>
      <c r="F811" s="107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6"/>
    </row>
    <row r="812" ht="15.75" customHeight="1">
      <c r="A812" s="109"/>
      <c r="B812" s="104"/>
      <c r="C812" s="104"/>
      <c r="D812" s="105"/>
      <c r="E812" s="106"/>
      <c r="F812" s="107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6"/>
    </row>
    <row r="813" ht="15.75" customHeight="1">
      <c r="A813" s="109"/>
      <c r="B813" s="104"/>
      <c r="C813" s="104"/>
      <c r="D813" s="105"/>
      <c r="E813" s="106"/>
      <c r="F813" s="107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6"/>
    </row>
    <row r="814" ht="15.75" customHeight="1">
      <c r="A814" s="109"/>
      <c r="B814" s="104"/>
      <c r="C814" s="104"/>
      <c r="D814" s="105"/>
      <c r="E814" s="106"/>
      <c r="F814" s="107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6"/>
    </row>
    <row r="815" ht="15.75" customHeight="1">
      <c r="A815" s="109"/>
      <c r="B815" s="104"/>
      <c r="C815" s="104"/>
      <c r="D815" s="105"/>
      <c r="E815" s="106"/>
      <c r="F815" s="107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6"/>
    </row>
    <row r="816" ht="15.75" customHeight="1">
      <c r="A816" s="109"/>
      <c r="B816" s="104"/>
      <c r="C816" s="104"/>
      <c r="D816" s="105"/>
      <c r="E816" s="106"/>
      <c r="F816" s="107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6"/>
    </row>
    <row r="817" ht="15.75" customHeight="1">
      <c r="A817" s="109"/>
      <c r="B817" s="104"/>
      <c r="C817" s="104"/>
      <c r="D817" s="105"/>
      <c r="E817" s="106"/>
      <c r="F817" s="107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6"/>
    </row>
    <row r="818" ht="15.75" customHeight="1">
      <c r="A818" s="109"/>
      <c r="B818" s="104"/>
      <c r="C818" s="104"/>
      <c r="D818" s="105"/>
      <c r="E818" s="106"/>
      <c r="F818" s="107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6"/>
    </row>
    <row r="819" ht="15.75" customHeight="1">
      <c r="A819" s="109"/>
      <c r="B819" s="104"/>
      <c r="C819" s="104"/>
      <c r="D819" s="105"/>
      <c r="E819" s="106"/>
      <c r="F819" s="107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6"/>
    </row>
    <row r="820" ht="15.75" customHeight="1">
      <c r="A820" s="109"/>
      <c r="B820" s="104"/>
      <c r="C820" s="104"/>
      <c r="D820" s="105"/>
      <c r="E820" s="106"/>
      <c r="F820" s="107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6"/>
    </row>
    <row r="821" ht="15.75" customHeight="1">
      <c r="A821" s="109"/>
      <c r="B821" s="104"/>
      <c r="C821" s="104"/>
      <c r="D821" s="105"/>
      <c r="E821" s="106"/>
      <c r="F821" s="107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6"/>
    </row>
    <row r="822" ht="15.75" customHeight="1">
      <c r="A822" s="109"/>
      <c r="B822" s="104"/>
      <c r="C822" s="104"/>
      <c r="D822" s="105"/>
      <c r="E822" s="106"/>
      <c r="F822" s="107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6"/>
    </row>
    <row r="823" ht="15.75" customHeight="1">
      <c r="A823" s="109"/>
      <c r="B823" s="104"/>
      <c r="C823" s="104"/>
      <c r="D823" s="105"/>
      <c r="E823" s="106"/>
      <c r="F823" s="107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6"/>
    </row>
    <row r="824" ht="15.75" customHeight="1">
      <c r="A824" s="109"/>
      <c r="B824" s="104"/>
      <c r="C824" s="104"/>
      <c r="D824" s="105"/>
      <c r="E824" s="106"/>
      <c r="F824" s="107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6"/>
    </row>
    <row r="825" ht="15.75" customHeight="1">
      <c r="A825" s="109"/>
      <c r="B825" s="104"/>
      <c r="C825" s="104"/>
      <c r="D825" s="105"/>
      <c r="E825" s="106"/>
      <c r="F825" s="107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6"/>
    </row>
    <row r="826" ht="15.75" customHeight="1">
      <c r="A826" s="109"/>
      <c r="B826" s="104"/>
      <c r="C826" s="104"/>
      <c r="D826" s="105"/>
      <c r="E826" s="106"/>
      <c r="F826" s="107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6"/>
    </row>
    <row r="827" ht="15.75" customHeight="1">
      <c r="A827" s="109"/>
      <c r="B827" s="104"/>
      <c r="C827" s="104"/>
      <c r="D827" s="105"/>
      <c r="E827" s="106"/>
      <c r="F827" s="107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6"/>
    </row>
    <row r="828" ht="15.75" customHeight="1">
      <c r="A828" s="109"/>
      <c r="B828" s="104"/>
      <c r="C828" s="104"/>
      <c r="D828" s="105"/>
      <c r="E828" s="106"/>
      <c r="F828" s="107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6"/>
    </row>
    <row r="829" ht="15.75" customHeight="1">
      <c r="A829" s="109"/>
      <c r="B829" s="104"/>
      <c r="C829" s="104"/>
      <c r="D829" s="105"/>
      <c r="E829" s="106"/>
      <c r="F829" s="107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6"/>
    </row>
    <row r="830" ht="15.75" customHeight="1">
      <c r="A830" s="109"/>
      <c r="B830" s="104"/>
      <c r="C830" s="104"/>
      <c r="D830" s="105"/>
      <c r="E830" s="106"/>
      <c r="F830" s="107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6"/>
    </row>
    <row r="831" ht="15.75" customHeight="1">
      <c r="A831" s="109"/>
      <c r="B831" s="104"/>
      <c r="C831" s="104"/>
      <c r="D831" s="105"/>
      <c r="E831" s="106"/>
      <c r="F831" s="107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6"/>
    </row>
    <row r="832" ht="15.75" customHeight="1">
      <c r="A832" s="109"/>
      <c r="B832" s="104"/>
      <c r="C832" s="104"/>
      <c r="D832" s="105"/>
      <c r="E832" s="106"/>
      <c r="F832" s="107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6"/>
    </row>
    <row r="833" ht="15.75" customHeight="1">
      <c r="A833" s="109"/>
      <c r="B833" s="104"/>
      <c r="C833" s="104"/>
      <c r="D833" s="105"/>
      <c r="E833" s="106"/>
      <c r="F833" s="107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6"/>
    </row>
    <row r="834" ht="15.75" customHeight="1">
      <c r="A834" s="109"/>
      <c r="B834" s="104"/>
      <c r="C834" s="104"/>
      <c r="D834" s="105"/>
      <c r="E834" s="106"/>
      <c r="F834" s="107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6"/>
    </row>
    <row r="835" ht="15.75" customHeight="1">
      <c r="A835" s="109"/>
      <c r="B835" s="104"/>
      <c r="C835" s="104"/>
      <c r="D835" s="105"/>
      <c r="E835" s="106"/>
      <c r="F835" s="107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6"/>
    </row>
    <row r="836" ht="15.75" customHeight="1">
      <c r="A836" s="109"/>
      <c r="B836" s="104"/>
      <c r="C836" s="104"/>
      <c r="D836" s="105"/>
      <c r="E836" s="106"/>
      <c r="F836" s="107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6"/>
    </row>
    <row r="837" ht="15.75" customHeight="1">
      <c r="A837" s="109"/>
      <c r="B837" s="104"/>
      <c r="C837" s="104"/>
      <c r="D837" s="105"/>
      <c r="E837" s="106"/>
      <c r="F837" s="107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6"/>
    </row>
    <row r="838" ht="15.75" customHeight="1">
      <c r="A838" s="109"/>
      <c r="B838" s="104"/>
      <c r="C838" s="104"/>
      <c r="D838" s="105"/>
      <c r="E838" s="106"/>
      <c r="F838" s="107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6"/>
    </row>
    <row r="839" ht="15.75" customHeight="1">
      <c r="A839" s="109"/>
      <c r="B839" s="104"/>
      <c r="C839" s="104"/>
      <c r="D839" s="105"/>
      <c r="E839" s="106"/>
      <c r="F839" s="107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6"/>
    </row>
    <row r="840" ht="15.75" customHeight="1">
      <c r="A840" s="109"/>
      <c r="B840" s="104"/>
      <c r="C840" s="104"/>
      <c r="D840" s="105"/>
      <c r="E840" s="106"/>
      <c r="F840" s="107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6"/>
    </row>
    <row r="841" ht="15.75" customHeight="1">
      <c r="A841" s="109"/>
      <c r="B841" s="104"/>
      <c r="C841" s="104"/>
      <c r="D841" s="105"/>
      <c r="E841" s="106"/>
      <c r="F841" s="107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6"/>
    </row>
    <row r="842" ht="15.75" customHeight="1">
      <c r="A842" s="109"/>
      <c r="B842" s="104"/>
      <c r="C842" s="104"/>
      <c r="D842" s="105"/>
      <c r="E842" s="106"/>
      <c r="F842" s="107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6"/>
    </row>
    <row r="843" ht="15.75" customHeight="1">
      <c r="A843" s="109"/>
      <c r="B843" s="104"/>
      <c r="C843" s="104"/>
      <c r="D843" s="105"/>
      <c r="E843" s="106"/>
      <c r="F843" s="107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6"/>
    </row>
    <row r="844" ht="15.75" customHeight="1">
      <c r="A844" s="109"/>
      <c r="B844" s="104"/>
      <c r="C844" s="104"/>
      <c r="D844" s="105"/>
      <c r="E844" s="106"/>
      <c r="F844" s="107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6"/>
    </row>
    <row r="845" ht="15.75" customHeight="1">
      <c r="A845" s="109"/>
      <c r="B845" s="104"/>
      <c r="C845" s="104"/>
      <c r="D845" s="105"/>
      <c r="E845" s="106"/>
      <c r="F845" s="107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6"/>
    </row>
    <row r="846" ht="15.75" customHeight="1">
      <c r="A846" s="109"/>
      <c r="B846" s="104"/>
      <c r="C846" s="104"/>
      <c r="D846" s="105"/>
      <c r="E846" s="106"/>
      <c r="F846" s="107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6"/>
    </row>
    <row r="847" ht="15.75" customHeight="1">
      <c r="A847" s="109"/>
      <c r="B847" s="104"/>
      <c r="C847" s="104"/>
      <c r="D847" s="105"/>
      <c r="E847" s="106"/>
      <c r="F847" s="107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6"/>
    </row>
    <row r="848" ht="15.75" customHeight="1">
      <c r="A848" s="109"/>
      <c r="B848" s="104"/>
      <c r="C848" s="104"/>
      <c r="D848" s="105"/>
      <c r="E848" s="106"/>
      <c r="F848" s="107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6"/>
    </row>
    <row r="849" ht="15.75" customHeight="1">
      <c r="A849" s="109"/>
      <c r="B849" s="104"/>
      <c r="C849" s="104"/>
      <c r="D849" s="105"/>
      <c r="E849" s="106"/>
      <c r="F849" s="107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6"/>
    </row>
    <row r="850" ht="15.75" customHeight="1">
      <c r="A850" s="109"/>
      <c r="B850" s="104"/>
      <c r="C850" s="104"/>
      <c r="D850" s="105"/>
      <c r="E850" s="106"/>
      <c r="F850" s="107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6"/>
    </row>
    <row r="851" ht="15.75" customHeight="1">
      <c r="A851" s="109"/>
      <c r="B851" s="104"/>
      <c r="C851" s="104"/>
      <c r="D851" s="105"/>
      <c r="E851" s="106"/>
      <c r="F851" s="107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6"/>
    </row>
    <row r="852" ht="15.75" customHeight="1">
      <c r="A852" s="109"/>
      <c r="B852" s="104"/>
      <c r="C852" s="104"/>
      <c r="D852" s="105"/>
      <c r="E852" s="106"/>
      <c r="F852" s="107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6"/>
    </row>
    <row r="853" ht="15.75" customHeight="1">
      <c r="A853" s="109"/>
      <c r="B853" s="104"/>
      <c r="C853" s="104"/>
      <c r="D853" s="105"/>
      <c r="E853" s="106"/>
      <c r="F853" s="107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6"/>
    </row>
    <row r="854" ht="15.75" customHeight="1">
      <c r="A854" s="109"/>
      <c r="B854" s="104"/>
      <c r="C854" s="104"/>
      <c r="D854" s="105"/>
      <c r="E854" s="106"/>
      <c r="F854" s="107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6"/>
    </row>
    <row r="855" ht="15.75" customHeight="1">
      <c r="A855" s="109"/>
      <c r="B855" s="104"/>
      <c r="C855" s="104"/>
      <c r="D855" s="105"/>
      <c r="E855" s="106"/>
      <c r="F855" s="107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6"/>
    </row>
    <row r="856" ht="15.75" customHeight="1">
      <c r="A856" s="109"/>
      <c r="B856" s="104"/>
      <c r="C856" s="104"/>
      <c r="D856" s="105"/>
      <c r="E856" s="106"/>
      <c r="F856" s="107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6"/>
    </row>
    <row r="857" ht="15.75" customHeight="1">
      <c r="A857" s="109"/>
      <c r="B857" s="104"/>
      <c r="C857" s="104"/>
      <c r="D857" s="105"/>
      <c r="E857" s="106"/>
      <c r="F857" s="107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6"/>
    </row>
    <row r="858" ht="15.75" customHeight="1">
      <c r="A858" s="109"/>
      <c r="B858" s="104"/>
      <c r="C858" s="104"/>
      <c r="D858" s="105"/>
      <c r="E858" s="106"/>
      <c r="F858" s="107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6"/>
    </row>
    <row r="859" ht="15.75" customHeight="1">
      <c r="A859" s="109"/>
      <c r="B859" s="104"/>
      <c r="C859" s="104"/>
      <c r="D859" s="105"/>
      <c r="E859" s="106"/>
      <c r="F859" s="107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6"/>
    </row>
    <row r="860" ht="15.75" customHeight="1">
      <c r="A860" s="109"/>
      <c r="B860" s="104"/>
      <c r="C860" s="104"/>
      <c r="D860" s="105"/>
      <c r="E860" s="106"/>
      <c r="F860" s="107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6"/>
    </row>
    <row r="861" ht="15.75" customHeight="1">
      <c r="A861" s="109"/>
      <c r="B861" s="104"/>
      <c r="C861" s="104"/>
      <c r="D861" s="105"/>
      <c r="E861" s="106"/>
      <c r="F861" s="107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6"/>
    </row>
    <row r="862" ht="15.75" customHeight="1">
      <c r="A862" s="109"/>
      <c r="B862" s="104"/>
      <c r="C862" s="104"/>
      <c r="D862" s="105"/>
      <c r="E862" s="106"/>
      <c r="F862" s="107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6"/>
    </row>
    <row r="863" ht="15.75" customHeight="1">
      <c r="A863" s="109"/>
      <c r="B863" s="104"/>
      <c r="C863" s="104"/>
      <c r="D863" s="105"/>
      <c r="E863" s="106"/>
      <c r="F863" s="107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6"/>
    </row>
    <row r="864" ht="15.75" customHeight="1">
      <c r="A864" s="109"/>
      <c r="B864" s="104"/>
      <c r="C864" s="104"/>
      <c r="D864" s="105"/>
      <c r="E864" s="106"/>
      <c r="F864" s="107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6"/>
    </row>
    <row r="865" ht="15.75" customHeight="1">
      <c r="A865" s="109"/>
      <c r="B865" s="104"/>
      <c r="C865" s="104"/>
      <c r="D865" s="105"/>
      <c r="E865" s="106"/>
      <c r="F865" s="107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6"/>
    </row>
    <row r="866" ht="15.75" customHeight="1">
      <c r="A866" s="109"/>
      <c r="B866" s="104"/>
      <c r="C866" s="104"/>
      <c r="D866" s="105"/>
      <c r="E866" s="106"/>
      <c r="F866" s="107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6"/>
    </row>
    <row r="867" ht="15.75" customHeight="1">
      <c r="A867" s="109"/>
      <c r="B867" s="104"/>
      <c r="C867" s="104"/>
      <c r="D867" s="105"/>
      <c r="E867" s="106"/>
      <c r="F867" s="107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6"/>
    </row>
    <row r="868" ht="15.75" customHeight="1">
      <c r="A868" s="109"/>
      <c r="B868" s="104"/>
      <c r="C868" s="104"/>
      <c r="D868" s="105"/>
      <c r="E868" s="106"/>
      <c r="F868" s="107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6"/>
    </row>
    <row r="869" ht="15.75" customHeight="1">
      <c r="A869" s="109"/>
      <c r="B869" s="104"/>
      <c r="C869" s="104"/>
      <c r="D869" s="105"/>
      <c r="E869" s="106"/>
      <c r="F869" s="107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6"/>
    </row>
    <row r="870" ht="15.75" customHeight="1">
      <c r="A870" s="109"/>
      <c r="B870" s="104"/>
      <c r="C870" s="104"/>
      <c r="D870" s="105"/>
      <c r="E870" s="106"/>
      <c r="F870" s="107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6"/>
    </row>
    <row r="871" ht="15.75" customHeight="1">
      <c r="A871" s="109"/>
      <c r="B871" s="104"/>
      <c r="C871" s="104"/>
      <c r="D871" s="105"/>
      <c r="E871" s="106"/>
      <c r="F871" s="107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6"/>
    </row>
    <row r="872" ht="15.75" customHeight="1">
      <c r="A872" s="109"/>
      <c r="B872" s="104"/>
      <c r="C872" s="104"/>
      <c r="D872" s="105"/>
      <c r="E872" s="106"/>
      <c r="F872" s="107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6"/>
    </row>
    <row r="873" ht="15.75" customHeight="1">
      <c r="A873" s="109"/>
      <c r="B873" s="104"/>
      <c r="C873" s="104"/>
      <c r="D873" s="105"/>
      <c r="E873" s="106"/>
      <c r="F873" s="107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6"/>
    </row>
    <row r="874" ht="15.75" customHeight="1">
      <c r="A874" s="109"/>
      <c r="B874" s="104"/>
      <c r="C874" s="104"/>
      <c r="D874" s="105"/>
      <c r="E874" s="106"/>
      <c r="F874" s="107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6"/>
    </row>
    <row r="875" ht="15.75" customHeight="1">
      <c r="A875" s="109"/>
      <c r="B875" s="104"/>
      <c r="C875" s="104"/>
      <c r="D875" s="105"/>
      <c r="E875" s="106"/>
      <c r="F875" s="107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6"/>
    </row>
    <row r="876" ht="15.75" customHeight="1">
      <c r="A876" s="109"/>
      <c r="B876" s="104"/>
      <c r="C876" s="104"/>
      <c r="D876" s="105"/>
      <c r="E876" s="106"/>
      <c r="F876" s="107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6"/>
    </row>
    <row r="877" ht="15.75" customHeight="1">
      <c r="A877" s="109"/>
      <c r="B877" s="104"/>
      <c r="C877" s="104"/>
      <c r="D877" s="105"/>
      <c r="E877" s="106"/>
      <c r="F877" s="107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6"/>
    </row>
    <row r="878" ht="15.75" customHeight="1">
      <c r="A878" s="109"/>
      <c r="B878" s="104"/>
      <c r="C878" s="104"/>
      <c r="D878" s="105"/>
      <c r="E878" s="106"/>
      <c r="F878" s="107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6"/>
    </row>
    <row r="879" ht="15.75" customHeight="1">
      <c r="A879" s="109"/>
      <c r="B879" s="104"/>
      <c r="C879" s="104"/>
      <c r="D879" s="105"/>
      <c r="E879" s="106"/>
      <c r="F879" s="107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6"/>
    </row>
    <row r="880" ht="15.75" customHeight="1">
      <c r="A880" s="109"/>
      <c r="B880" s="104"/>
      <c r="C880" s="104"/>
      <c r="D880" s="105"/>
      <c r="E880" s="106"/>
      <c r="F880" s="107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6"/>
    </row>
    <row r="881" ht="15.75" customHeight="1">
      <c r="A881" s="109"/>
      <c r="B881" s="104"/>
      <c r="C881" s="104"/>
      <c r="D881" s="105"/>
      <c r="E881" s="106"/>
      <c r="F881" s="107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6"/>
    </row>
    <row r="882" ht="15.75" customHeight="1">
      <c r="A882" s="109"/>
      <c r="B882" s="104"/>
      <c r="C882" s="104"/>
      <c r="D882" s="105"/>
      <c r="E882" s="106"/>
      <c r="F882" s="107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6"/>
    </row>
    <row r="883" ht="15.75" customHeight="1">
      <c r="A883" s="109"/>
      <c r="B883" s="104"/>
      <c r="C883" s="104"/>
      <c r="D883" s="105"/>
      <c r="E883" s="106"/>
      <c r="F883" s="107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6"/>
    </row>
    <row r="884" ht="15.75" customHeight="1">
      <c r="A884" s="109"/>
      <c r="B884" s="104"/>
      <c r="C884" s="104"/>
      <c r="D884" s="105"/>
      <c r="E884" s="106"/>
      <c r="F884" s="107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6"/>
    </row>
    <row r="885" ht="15.75" customHeight="1">
      <c r="A885" s="109"/>
      <c r="B885" s="104"/>
      <c r="C885" s="104"/>
      <c r="D885" s="105"/>
      <c r="E885" s="106"/>
      <c r="F885" s="107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6"/>
    </row>
    <row r="886" ht="15.75" customHeight="1">
      <c r="A886" s="109"/>
      <c r="B886" s="104"/>
      <c r="C886" s="104"/>
      <c r="D886" s="105"/>
      <c r="E886" s="106"/>
      <c r="F886" s="107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6"/>
    </row>
    <row r="887" ht="15.75" customHeight="1">
      <c r="A887" s="109"/>
      <c r="B887" s="104"/>
      <c r="C887" s="104"/>
      <c r="D887" s="105"/>
      <c r="E887" s="106"/>
      <c r="F887" s="107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6"/>
    </row>
    <row r="888" ht="15.75" customHeight="1">
      <c r="A888" s="109"/>
      <c r="B888" s="104"/>
      <c r="C888" s="104"/>
      <c r="D888" s="105"/>
      <c r="E888" s="106"/>
      <c r="F888" s="107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6"/>
    </row>
    <row r="889" ht="15.75" customHeight="1">
      <c r="A889" s="109"/>
      <c r="B889" s="104"/>
      <c r="C889" s="104"/>
      <c r="D889" s="105"/>
      <c r="E889" s="106"/>
      <c r="F889" s="107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6"/>
    </row>
    <row r="890" ht="15.75" customHeight="1">
      <c r="A890" s="109"/>
      <c r="B890" s="104"/>
      <c r="C890" s="104"/>
      <c r="D890" s="105"/>
      <c r="E890" s="106"/>
      <c r="F890" s="107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6"/>
    </row>
    <row r="891" ht="15.75" customHeight="1">
      <c r="A891" s="109"/>
      <c r="B891" s="104"/>
      <c r="C891" s="104"/>
      <c r="D891" s="105"/>
      <c r="E891" s="106"/>
      <c r="F891" s="107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6"/>
    </row>
    <row r="892" ht="15.75" customHeight="1">
      <c r="A892" s="109"/>
      <c r="B892" s="104"/>
      <c r="C892" s="104"/>
      <c r="D892" s="105"/>
      <c r="E892" s="106"/>
      <c r="F892" s="107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6"/>
    </row>
    <row r="893" ht="15.75" customHeight="1">
      <c r="A893" s="109"/>
      <c r="B893" s="104"/>
      <c r="C893" s="104"/>
      <c r="D893" s="105"/>
      <c r="E893" s="106"/>
      <c r="F893" s="107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6"/>
    </row>
    <row r="894" ht="15.75" customHeight="1">
      <c r="A894" s="109"/>
      <c r="B894" s="104"/>
      <c r="C894" s="104"/>
      <c r="D894" s="105"/>
      <c r="E894" s="106"/>
      <c r="F894" s="107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6"/>
    </row>
    <row r="895" ht="15.75" customHeight="1">
      <c r="A895" s="109"/>
      <c r="B895" s="104"/>
      <c r="C895" s="104"/>
      <c r="D895" s="105"/>
      <c r="E895" s="106"/>
      <c r="F895" s="107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6"/>
    </row>
    <row r="896" ht="15.75" customHeight="1">
      <c r="A896" s="109"/>
      <c r="B896" s="104"/>
      <c r="C896" s="104"/>
      <c r="D896" s="105"/>
      <c r="E896" s="106"/>
      <c r="F896" s="107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6"/>
    </row>
    <row r="897" ht="15.75" customHeight="1">
      <c r="A897" s="109"/>
      <c r="B897" s="104"/>
      <c r="C897" s="104"/>
      <c r="D897" s="105"/>
      <c r="E897" s="106"/>
      <c r="F897" s="107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6"/>
    </row>
    <row r="898" ht="15.75" customHeight="1">
      <c r="A898" s="109"/>
      <c r="B898" s="104"/>
      <c r="C898" s="104"/>
      <c r="D898" s="105"/>
      <c r="E898" s="106"/>
      <c r="F898" s="107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6"/>
    </row>
    <row r="899" ht="15.75" customHeight="1">
      <c r="A899" s="109"/>
      <c r="B899" s="104"/>
      <c r="C899" s="104"/>
      <c r="D899" s="105"/>
      <c r="E899" s="106"/>
      <c r="F899" s="107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6"/>
    </row>
    <row r="900" ht="15.75" customHeight="1">
      <c r="A900" s="109"/>
      <c r="B900" s="104"/>
      <c r="C900" s="104"/>
      <c r="D900" s="105"/>
      <c r="E900" s="106"/>
      <c r="F900" s="107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6"/>
    </row>
    <row r="901" ht="15.75" customHeight="1">
      <c r="A901" s="109"/>
      <c r="B901" s="104"/>
      <c r="C901" s="104"/>
      <c r="D901" s="105"/>
      <c r="E901" s="106"/>
      <c r="F901" s="107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6"/>
    </row>
    <row r="902" ht="15.75" customHeight="1">
      <c r="A902" s="109"/>
      <c r="B902" s="104"/>
      <c r="C902" s="104"/>
      <c r="D902" s="105"/>
      <c r="E902" s="106"/>
      <c r="F902" s="107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6"/>
    </row>
    <row r="903" ht="15.75" customHeight="1">
      <c r="A903" s="109"/>
      <c r="B903" s="104"/>
      <c r="C903" s="104"/>
      <c r="D903" s="105"/>
      <c r="E903" s="106"/>
      <c r="F903" s="107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6"/>
    </row>
    <row r="904" ht="15.75" customHeight="1">
      <c r="A904" s="109"/>
      <c r="B904" s="104"/>
      <c r="C904" s="104"/>
      <c r="D904" s="105"/>
      <c r="E904" s="106"/>
      <c r="F904" s="107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6"/>
    </row>
    <row r="905" ht="15.75" customHeight="1">
      <c r="A905" s="109"/>
      <c r="B905" s="104"/>
      <c r="C905" s="104"/>
      <c r="D905" s="105"/>
      <c r="E905" s="106"/>
      <c r="F905" s="107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6"/>
    </row>
    <row r="906" ht="15.75" customHeight="1">
      <c r="A906" s="109"/>
      <c r="B906" s="104"/>
      <c r="C906" s="104"/>
      <c r="D906" s="105"/>
      <c r="E906" s="106"/>
      <c r="F906" s="107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6"/>
    </row>
    <row r="907" ht="15.75" customHeight="1">
      <c r="A907" s="109"/>
      <c r="B907" s="104"/>
      <c r="C907" s="104"/>
      <c r="D907" s="105"/>
      <c r="E907" s="106"/>
      <c r="F907" s="107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6"/>
    </row>
    <row r="908" ht="15.75" customHeight="1">
      <c r="A908" s="109"/>
      <c r="B908" s="104"/>
      <c r="C908" s="104"/>
      <c r="D908" s="105"/>
      <c r="E908" s="106"/>
      <c r="F908" s="107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6"/>
    </row>
    <row r="909" ht="15.75" customHeight="1">
      <c r="A909" s="109"/>
      <c r="B909" s="104"/>
      <c r="C909" s="104"/>
      <c r="D909" s="105"/>
      <c r="E909" s="106"/>
      <c r="F909" s="107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6"/>
    </row>
    <row r="910" ht="15.75" customHeight="1">
      <c r="A910" s="109"/>
      <c r="B910" s="104"/>
      <c r="C910" s="104"/>
      <c r="D910" s="105"/>
      <c r="E910" s="106"/>
      <c r="F910" s="107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6"/>
    </row>
    <row r="911" ht="15.75" customHeight="1">
      <c r="A911" s="109"/>
      <c r="B911" s="104"/>
      <c r="C911" s="104"/>
      <c r="D911" s="105"/>
      <c r="E911" s="106"/>
      <c r="F911" s="107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6"/>
    </row>
    <row r="912" ht="15.75" customHeight="1">
      <c r="A912" s="109"/>
      <c r="B912" s="104"/>
      <c r="C912" s="104"/>
      <c r="D912" s="105"/>
      <c r="E912" s="106"/>
      <c r="F912" s="107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6"/>
    </row>
    <row r="913" ht="15.75" customHeight="1">
      <c r="A913" s="109"/>
      <c r="B913" s="104"/>
      <c r="C913" s="104"/>
      <c r="D913" s="105"/>
      <c r="E913" s="106"/>
      <c r="F913" s="107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6"/>
    </row>
    <row r="914" ht="15.75" customHeight="1">
      <c r="A914" s="109"/>
      <c r="B914" s="104"/>
      <c r="C914" s="104"/>
      <c r="D914" s="105"/>
      <c r="E914" s="106"/>
      <c r="F914" s="107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6"/>
    </row>
    <row r="915" ht="15.75" customHeight="1">
      <c r="A915" s="109"/>
      <c r="B915" s="104"/>
      <c r="C915" s="104"/>
      <c r="D915" s="105"/>
      <c r="E915" s="106"/>
      <c r="F915" s="107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6"/>
    </row>
    <row r="916" ht="15.75" customHeight="1">
      <c r="A916" s="109"/>
      <c r="B916" s="104"/>
      <c r="C916" s="104"/>
      <c r="D916" s="105"/>
      <c r="E916" s="106"/>
      <c r="F916" s="107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6"/>
    </row>
    <row r="917" ht="15.75" customHeight="1">
      <c r="A917" s="109"/>
      <c r="B917" s="104"/>
      <c r="C917" s="104"/>
      <c r="D917" s="105"/>
      <c r="E917" s="106"/>
      <c r="F917" s="107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6"/>
    </row>
    <row r="918" ht="15.75" customHeight="1">
      <c r="A918" s="109"/>
      <c r="B918" s="104"/>
      <c r="C918" s="104"/>
      <c r="D918" s="105"/>
      <c r="E918" s="106"/>
      <c r="F918" s="107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6"/>
    </row>
    <row r="919" ht="15.75" customHeight="1">
      <c r="A919" s="109"/>
      <c r="B919" s="104"/>
      <c r="C919" s="104"/>
      <c r="D919" s="105"/>
      <c r="E919" s="106"/>
      <c r="F919" s="107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6"/>
    </row>
    <row r="920" ht="15.75" customHeight="1">
      <c r="A920" s="109"/>
      <c r="B920" s="104"/>
      <c r="C920" s="104"/>
      <c r="D920" s="105"/>
      <c r="E920" s="106"/>
      <c r="F920" s="107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6"/>
    </row>
    <row r="921" ht="15.75" customHeight="1">
      <c r="A921" s="109"/>
      <c r="B921" s="104"/>
      <c r="C921" s="104"/>
      <c r="D921" s="105"/>
      <c r="E921" s="106"/>
      <c r="F921" s="107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6"/>
    </row>
    <row r="922" ht="15.75" customHeight="1">
      <c r="A922" s="109"/>
      <c r="B922" s="104"/>
      <c r="C922" s="104"/>
      <c r="D922" s="105"/>
      <c r="E922" s="106"/>
      <c r="F922" s="107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6"/>
    </row>
    <row r="923" ht="15.75" customHeight="1">
      <c r="A923" s="109"/>
      <c r="B923" s="104"/>
      <c r="C923" s="104"/>
      <c r="D923" s="105"/>
      <c r="E923" s="106"/>
      <c r="F923" s="107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6"/>
    </row>
    <row r="924" ht="15.75" customHeight="1">
      <c r="A924" s="109"/>
      <c r="B924" s="104"/>
      <c r="C924" s="104"/>
      <c r="D924" s="105"/>
      <c r="E924" s="106"/>
      <c r="F924" s="107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6"/>
    </row>
    <row r="925" ht="15.75" customHeight="1">
      <c r="A925" s="109"/>
      <c r="B925" s="104"/>
      <c r="C925" s="104"/>
      <c r="D925" s="105"/>
      <c r="E925" s="106"/>
      <c r="F925" s="107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6"/>
    </row>
    <row r="926" ht="15.75" customHeight="1">
      <c r="A926" s="109"/>
      <c r="B926" s="104"/>
      <c r="C926" s="104"/>
      <c r="D926" s="105"/>
      <c r="E926" s="106"/>
      <c r="F926" s="107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6"/>
    </row>
    <row r="927" ht="15.75" customHeight="1">
      <c r="A927" s="109"/>
      <c r="B927" s="104"/>
      <c r="C927" s="104"/>
      <c r="D927" s="105"/>
      <c r="E927" s="106"/>
      <c r="F927" s="107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6"/>
    </row>
    <row r="928" ht="15.75" customHeight="1">
      <c r="A928" s="109"/>
      <c r="B928" s="104"/>
      <c r="C928" s="104"/>
      <c r="D928" s="105"/>
      <c r="E928" s="106"/>
      <c r="F928" s="107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6"/>
    </row>
    <row r="929" ht="15.75" customHeight="1">
      <c r="A929" s="109"/>
      <c r="B929" s="104"/>
      <c r="C929" s="104"/>
      <c r="D929" s="105"/>
      <c r="E929" s="106"/>
      <c r="F929" s="107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6"/>
    </row>
    <row r="930" ht="15.75" customHeight="1">
      <c r="A930" s="109"/>
      <c r="B930" s="104"/>
      <c r="C930" s="104"/>
      <c r="D930" s="105"/>
      <c r="E930" s="106"/>
      <c r="F930" s="107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6"/>
    </row>
    <row r="931" ht="15.75" customHeight="1">
      <c r="A931" s="109"/>
      <c r="B931" s="104"/>
      <c r="C931" s="104"/>
      <c r="D931" s="105"/>
      <c r="E931" s="106"/>
      <c r="F931" s="107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6"/>
    </row>
    <row r="932" ht="15.75" customHeight="1">
      <c r="A932" s="109"/>
      <c r="B932" s="104"/>
      <c r="C932" s="104"/>
      <c r="D932" s="105"/>
      <c r="E932" s="106"/>
      <c r="F932" s="107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6"/>
    </row>
    <row r="933" ht="15.75" customHeight="1">
      <c r="A933" s="109"/>
      <c r="B933" s="104"/>
      <c r="C933" s="104"/>
      <c r="D933" s="105"/>
      <c r="E933" s="106"/>
      <c r="F933" s="107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6"/>
    </row>
    <row r="934" ht="15.75" customHeight="1">
      <c r="A934" s="109"/>
      <c r="B934" s="104"/>
      <c r="C934" s="104"/>
      <c r="D934" s="105"/>
      <c r="E934" s="106"/>
      <c r="F934" s="107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6"/>
    </row>
    <row r="935" ht="15.75" customHeight="1">
      <c r="A935" s="109"/>
      <c r="B935" s="104"/>
      <c r="C935" s="104"/>
      <c r="D935" s="105"/>
      <c r="E935" s="106"/>
      <c r="F935" s="107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6"/>
    </row>
    <row r="936" ht="15.75" customHeight="1">
      <c r="A936" s="109"/>
      <c r="B936" s="104"/>
      <c r="C936" s="104"/>
      <c r="D936" s="105"/>
      <c r="E936" s="106"/>
      <c r="F936" s="107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6"/>
    </row>
    <row r="937" ht="15.75" customHeight="1">
      <c r="A937" s="109"/>
      <c r="B937" s="104"/>
      <c r="C937" s="104"/>
      <c r="D937" s="105"/>
      <c r="E937" s="106"/>
      <c r="F937" s="107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6"/>
    </row>
    <row r="938" ht="15.75" customHeight="1">
      <c r="A938" s="109"/>
      <c r="B938" s="104"/>
      <c r="C938" s="104"/>
      <c r="D938" s="105"/>
      <c r="E938" s="106"/>
      <c r="F938" s="107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6"/>
    </row>
    <row r="939" ht="15.75" customHeight="1">
      <c r="A939" s="109"/>
      <c r="B939" s="104"/>
      <c r="C939" s="104"/>
      <c r="D939" s="105"/>
      <c r="E939" s="106"/>
      <c r="F939" s="107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6"/>
    </row>
    <row r="940" ht="15.75" customHeight="1">
      <c r="A940" s="109"/>
      <c r="B940" s="104"/>
      <c r="C940" s="104"/>
      <c r="D940" s="105"/>
      <c r="E940" s="106"/>
      <c r="F940" s="107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6"/>
    </row>
    <row r="941" ht="15.75" customHeight="1">
      <c r="A941" s="109"/>
      <c r="B941" s="104"/>
      <c r="C941" s="104"/>
      <c r="D941" s="105"/>
      <c r="E941" s="106"/>
      <c r="F941" s="107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6"/>
    </row>
    <row r="942" ht="15.75" customHeight="1">
      <c r="A942" s="109"/>
      <c r="B942" s="104"/>
      <c r="C942" s="104"/>
      <c r="D942" s="105"/>
      <c r="E942" s="106"/>
      <c r="F942" s="107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6"/>
    </row>
    <row r="943" ht="15.75" customHeight="1">
      <c r="A943" s="109"/>
      <c r="B943" s="104"/>
      <c r="C943" s="104"/>
      <c r="D943" s="105"/>
      <c r="E943" s="106"/>
      <c r="F943" s="107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6"/>
    </row>
    <row r="944" ht="15.75" customHeight="1">
      <c r="A944" s="109"/>
      <c r="B944" s="104"/>
      <c r="C944" s="104"/>
      <c r="D944" s="105"/>
      <c r="E944" s="106"/>
      <c r="F944" s="107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6"/>
    </row>
    <row r="945" ht="15.75" customHeight="1">
      <c r="A945" s="109"/>
      <c r="B945" s="104"/>
      <c r="C945" s="104"/>
      <c r="D945" s="105"/>
      <c r="E945" s="106"/>
      <c r="F945" s="107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6"/>
    </row>
    <row r="946" ht="15.75" customHeight="1">
      <c r="A946" s="109"/>
      <c r="B946" s="104"/>
      <c r="C946" s="104"/>
      <c r="D946" s="105"/>
      <c r="E946" s="106"/>
      <c r="F946" s="107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6"/>
    </row>
    <row r="947" ht="15.75" customHeight="1">
      <c r="A947" s="109"/>
      <c r="B947" s="104"/>
      <c r="C947" s="104"/>
      <c r="D947" s="105"/>
      <c r="E947" s="106"/>
      <c r="F947" s="107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6"/>
    </row>
    <row r="948" ht="15.75" customHeight="1">
      <c r="A948" s="109"/>
      <c r="B948" s="104"/>
      <c r="C948" s="104"/>
      <c r="D948" s="105"/>
      <c r="E948" s="106"/>
      <c r="F948" s="107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6"/>
    </row>
    <row r="949" ht="15.75" customHeight="1">
      <c r="A949" s="109"/>
      <c r="B949" s="104"/>
      <c r="C949" s="104"/>
      <c r="D949" s="105"/>
      <c r="E949" s="106"/>
      <c r="F949" s="107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6"/>
    </row>
    <row r="950" ht="15.75" customHeight="1">
      <c r="A950" s="109"/>
      <c r="B950" s="104"/>
      <c r="C950" s="104"/>
      <c r="D950" s="105"/>
      <c r="E950" s="106"/>
      <c r="F950" s="107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6"/>
    </row>
    <row r="951" ht="15.75" customHeight="1">
      <c r="A951" s="109"/>
      <c r="B951" s="104"/>
      <c r="C951" s="104"/>
      <c r="D951" s="105"/>
      <c r="E951" s="106"/>
      <c r="F951" s="107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6"/>
    </row>
    <row r="952" ht="15.75" customHeight="1">
      <c r="A952" s="109"/>
      <c r="B952" s="104"/>
      <c r="C952" s="104"/>
      <c r="D952" s="105"/>
      <c r="E952" s="106"/>
      <c r="F952" s="107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6"/>
    </row>
    <row r="953" ht="15.75" customHeight="1">
      <c r="A953" s="109"/>
      <c r="B953" s="104"/>
      <c r="C953" s="104"/>
      <c r="D953" s="105"/>
      <c r="E953" s="106"/>
      <c r="F953" s="107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6"/>
    </row>
    <row r="954" ht="15.75" customHeight="1">
      <c r="A954" s="109"/>
      <c r="B954" s="104"/>
      <c r="C954" s="104"/>
      <c r="D954" s="105"/>
      <c r="E954" s="106"/>
      <c r="F954" s="107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6"/>
    </row>
    <row r="955" ht="15.75" customHeight="1">
      <c r="A955" s="109"/>
      <c r="B955" s="104"/>
      <c r="C955" s="104"/>
      <c r="D955" s="105"/>
      <c r="E955" s="106"/>
      <c r="F955" s="107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6"/>
    </row>
    <row r="956" ht="15.75" customHeight="1">
      <c r="A956" s="109"/>
      <c r="B956" s="104"/>
      <c r="C956" s="104"/>
      <c r="D956" s="105"/>
      <c r="E956" s="106"/>
      <c r="F956" s="107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6"/>
    </row>
    <row r="957" ht="15.75" customHeight="1">
      <c r="A957" s="109"/>
      <c r="B957" s="104"/>
      <c r="C957" s="104"/>
      <c r="D957" s="105"/>
      <c r="E957" s="106"/>
      <c r="F957" s="107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6"/>
    </row>
    <row r="958" ht="15.75" customHeight="1">
      <c r="A958" s="109"/>
      <c r="B958" s="104"/>
      <c r="C958" s="104"/>
      <c r="D958" s="105"/>
      <c r="E958" s="106"/>
      <c r="F958" s="107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6"/>
    </row>
    <row r="959" ht="15.75" customHeight="1">
      <c r="A959" s="109"/>
      <c r="B959" s="104"/>
      <c r="C959" s="104"/>
      <c r="D959" s="105"/>
      <c r="E959" s="106"/>
      <c r="F959" s="107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6"/>
    </row>
    <row r="960" ht="15.75" customHeight="1">
      <c r="A960" s="109"/>
      <c r="B960" s="104"/>
      <c r="C960" s="104"/>
      <c r="D960" s="105"/>
      <c r="E960" s="106"/>
      <c r="F960" s="107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6"/>
    </row>
    <row r="961" ht="15.75" customHeight="1">
      <c r="A961" s="109"/>
      <c r="B961" s="104"/>
      <c r="C961" s="104"/>
      <c r="D961" s="105"/>
      <c r="E961" s="106"/>
      <c r="F961" s="107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6"/>
    </row>
    <row r="962" ht="15.75" customHeight="1">
      <c r="A962" s="109"/>
      <c r="B962" s="104"/>
      <c r="C962" s="104"/>
      <c r="D962" s="105"/>
      <c r="E962" s="106"/>
      <c r="F962" s="107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6"/>
    </row>
    <row r="963" ht="15.75" customHeight="1">
      <c r="A963" s="109"/>
      <c r="B963" s="104"/>
      <c r="C963" s="104"/>
      <c r="D963" s="105"/>
      <c r="E963" s="106"/>
      <c r="F963" s="107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6"/>
    </row>
    <row r="964" ht="15.75" customHeight="1">
      <c r="A964" s="109"/>
      <c r="B964" s="104"/>
      <c r="C964" s="104"/>
      <c r="D964" s="105"/>
      <c r="E964" s="106"/>
      <c r="F964" s="107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6"/>
    </row>
    <row r="965" ht="15.75" customHeight="1">
      <c r="A965" s="109"/>
      <c r="B965" s="104"/>
      <c r="C965" s="104"/>
      <c r="D965" s="105"/>
      <c r="E965" s="106"/>
      <c r="F965" s="107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6"/>
    </row>
    <row r="966" ht="15.75" customHeight="1">
      <c r="A966" s="109"/>
      <c r="B966" s="104"/>
      <c r="C966" s="104"/>
      <c r="D966" s="105"/>
      <c r="E966" s="106"/>
      <c r="F966" s="107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6"/>
    </row>
    <row r="967" ht="15.75" customHeight="1">
      <c r="A967" s="109"/>
      <c r="B967" s="104"/>
      <c r="C967" s="104"/>
      <c r="D967" s="105"/>
      <c r="E967" s="106"/>
      <c r="F967" s="107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6"/>
    </row>
    <row r="968" ht="15.75" customHeight="1">
      <c r="A968" s="109"/>
      <c r="B968" s="104"/>
      <c r="C968" s="104"/>
      <c r="D968" s="105"/>
      <c r="E968" s="106"/>
      <c r="F968" s="107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6"/>
    </row>
    <row r="969" ht="15.75" customHeight="1">
      <c r="A969" s="109"/>
      <c r="B969" s="104"/>
      <c r="C969" s="104"/>
      <c r="D969" s="105"/>
      <c r="E969" s="106"/>
      <c r="F969" s="107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6"/>
    </row>
    <row r="970" ht="15.75" customHeight="1">
      <c r="A970" s="109"/>
      <c r="B970" s="104"/>
      <c r="C970" s="104"/>
      <c r="D970" s="105"/>
      <c r="E970" s="106"/>
      <c r="F970" s="107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6"/>
    </row>
    <row r="971" ht="15.75" customHeight="1">
      <c r="A971" s="109"/>
      <c r="B971" s="104"/>
      <c r="C971" s="104"/>
      <c r="D971" s="105"/>
      <c r="E971" s="106"/>
      <c r="F971" s="107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6"/>
    </row>
    <row r="972" ht="15.75" customHeight="1">
      <c r="A972" s="109"/>
      <c r="B972" s="104"/>
      <c r="C972" s="104"/>
      <c r="D972" s="105"/>
      <c r="E972" s="106"/>
      <c r="F972" s="107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6"/>
    </row>
    <row r="973" ht="15.75" customHeight="1">
      <c r="A973" s="109"/>
      <c r="B973" s="104"/>
      <c r="C973" s="104"/>
      <c r="D973" s="105"/>
      <c r="E973" s="106"/>
      <c r="F973" s="107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6"/>
    </row>
    <row r="974" ht="15.75" customHeight="1">
      <c r="A974" s="109"/>
      <c r="B974" s="104"/>
      <c r="C974" s="104"/>
      <c r="D974" s="105"/>
      <c r="E974" s="106"/>
      <c r="F974" s="107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6"/>
    </row>
    <row r="975" ht="15.75" customHeight="1">
      <c r="A975" s="109"/>
      <c r="B975" s="104"/>
      <c r="C975" s="104"/>
      <c r="D975" s="105"/>
      <c r="E975" s="106"/>
      <c r="F975" s="107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6"/>
    </row>
    <row r="976" ht="15.75" customHeight="1">
      <c r="A976" s="109"/>
      <c r="B976" s="104"/>
      <c r="C976" s="104"/>
      <c r="D976" s="105"/>
      <c r="E976" s="106"/>
      <c r="F976" s="107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6"/>
    </row>
    <row r="977" ht="15.75" customHeight="1">
      <c r="A977" s="109"/>
      <c r="B977" s="104"/>
      <c r="C977" s="104"/>
      <c r="D977" s="105"/>
      <c r="E977" s="106"/>
      <c r="F977" s="107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6"/>
    </row>
    <row r="978" ht="15.75" customHeight="1">
      <c r="A978" s="109"/>
      <c r="B978" s="104"/>
      <c r="C978" s="104"/>
      <c r="D978" s="105"/>
      <c r="E978" s="106"/>
      <c r="F978" s="107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6"/>
    </row>
    <row r="979" ht="15.75" customHeight="1">
      <c r="A979" s="109"/>
      <c r="B979" s="104"/>
      <c r="C979" s="104"/>
      <c r="D979" s="105"/>
      <c r="E979" s="106"/>
      <c r="F979" s="107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6"/>
    </row>
    <row r="980" ht="15.75" customHeight="1">
      <c r="A980" s="109"/>
      <c r="B980" s="104"/>
      <c r="C980" s="104"/>
      <c r="D980" s="105"/>
      <c r="E980" s="106"/>
      <c r="F980" s="107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6"/>
    </row>
    <row r="981" ht="15.75" customHeight="1">
      <c r="A981" s="109"/>
      <c r="B981" s="104"/>
      <c r="C981" s="104"/>
      <c r="D981" s="105"/>
      <c r="E981" s="106"/>
      <c r="F981" s="107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6"/>
    </row>
    <row r="982" ht="15.75" customHeight="1">
      <c r="A982" s="109"/>
      <c r="B982" s="104"/>
      <c r="C982" s="104"/>
      <c r="D982" s="105"/>
      <c r="E982" s="106"/>
      <c r="F982" s="107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6"/>
    </row>
    <row r="983" ht="15.75" customHeight="1">
      <c r="A983" s="109"/>
      <c r="B983" s="104"/>
      <c r="C983" s="104"/>
      <c r="D983" s="105"/>
      <c r="E983" s="106"/>
      <c r="F983" s="107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6"/>
    </row>
    <row r="984" ht="15.75" customHeight="1">
      <c r="A984" s="109"/>
      <c r="B984" s="104"/>
      <c r="C984" s="104"/>
      <c r="D984" s="105"/>
      <c r="E984" s="106"/>
      <c r="F984" s="107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6"/>
    </row>
    <row r="985" ht="15.75" customHeight="1">
      <c r="A985" s="109"/>
      <c r="B985" s="104"/>
      <c r="C985" s="104"/>
      <c r="D985" s="105"/>
      <c r="E985" s="106"/>
      <c r="F985" s="107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6"/>
    </row>
    <row r="986" ht="15.75" customHeight="1">
      <c r="A986" s="109"/>
      <c r="B986" s="104"/>
      <c r="C986" s="104"/>
      <c r="D986" s="105"/>
      <c r="E986" s="106"/>
      <c r="F986" s="107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6"/>
    </row>
    <row r="987" ht="15.75" customHeight="1">
      <c r="A987" s="109"/>
      <c r="B987" s="104"/>
      <c r="C987" s="104"/>
      <c r="D987" s="105"/>
      <c r="E987" s="106"/>
      <c r="F987" s="107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6"/>
    </row>
    <row r="988" ht="15.75" customHeight="1">
      <c r="A988" s="109"/>
      <c r="B988" s="104"/>
      <c r="C988" s="104"/>
      <c r="D988" s="105"/>
      <c r="E988" s="106"/>
      <c r="F988" s="107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6"/>
    </row>
    <row r="989" ht="15.75" customHeight="1">
      <c r="A989" s="109"/>
      <c r="B989" s="104"/>
      <c r="C989" s="104"/>
      <c r="D989" s="105"/>
      <c r="E989" s="106"/>
      <c r="F989" s="107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6"/>
    </row>
    <row r="990" ht="15.75" customHeight="1">
      <c r="A990" s="109"/>
      <c r="B990" s="104"/>
      <c r="C990" s="104"/>
      <c r="D990" s="105"/>
      <c r="E990" s="106"/>
      <c r="F990" s="107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6"/>
    </row>
    <row r="991" ht="15.75" customHeight="1">
      <c r="A991" s="109"/>
      <c r="B991" s="104"/>
      <c r="C991" s="104"/>
      <c r="D991" s="105"/>
      <c r="E991" s="106"/>
      <c r="F991" s="107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6"/>
    </row>
    <row r="992" ht="15.75" customHeight="1">
      <c r="A992" s="109"/>
      <c r="B992" s="104"/>
      <c r="C992" s="104"/>
      <c r="D992" s="105"/>
      <c r="E992" s="106"/>
      <c r="F992" s="107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6"/>
    </row>
    <row r="993" ht="15.75" customHeight="1">
      <c r="A993" s="109"/>
      <c r="B993" s="104"/>
      <c r="C993" s="104"/>
      <c r="D993" s="105"/>
      <c r="E993" s="106"/>
      <c r="F993" s="107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6"/>
    </row>
    <row r="994" ht="15.75" customHeight="1">
      <c r="A994" s="109"/>
      <c r="B994" s="104"/>
      <c r="C994" s="104"/>
      <c r="D994" s="105"/>
      <c r="E994" s="106"/>
      <c r="F994" s="107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6"/>
    </row>
    <row r="995" ht="15.75" customHeight="1">
      <c r="A995" s="109"/>
      <c r="B995" s="104"/>
      <c r="C995" s="104"/>
      <c r="D995" s="105"/>
      <c r="E995" s="106"/>
      <c r="F995" s="107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6"/>
    </row>
    <row r="996" ht="15.75" customHeight="1">
      <c r="A996" s="109"/>
      <c r="B996" s="104"/>
      <c r="C996" s="104"/>
      <c r="D996" s="105"/>
      <c r="E996" s="106"/>
      <c r="F996" s="107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6"/>
    </row>
    <row r="997" ht="15.75" customHeight="1">
      <c r="A997" s="109"/>
      <c r="B997" s="104"/>
      <c r="C997" s="104"/>
      <c r="D997" s="105"/>
      <c r="E997" s="106"/>
      <c r="F997" s="107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6"/>
    </row>
    <row r="998" ht="15.75" customHeight="1">
      <c r="A998" s="109"/>
      <c r="B998" s="104"/>
      <c r="C998" s="104"/>
      <c r="D998" s="105"/>
      <c r="E998" s="106"/>
      <c r="F998" s="107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6"/>
    </row>
    <row r="999" ht="15.75" customHeight="1">
      <c r="A999" s="109"/>
      <c r="B999" s="104"/>
      <c r="C999" s="104"/>
      <c r="D999" s="105"/>
      <c r="E999" s="106"/>
      <c r="F999" s="107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6"/>
    </row>
    <row r="1000" ht="15.75" customHeight="1">
      <c r="A1000" s="109"/>
      <c r="B1000" s="104"/>
      <c r="C1000" s="104"/>
      <c r="D1000" s="105"/>
      <c r="E1000" s="106"/>
      <c r="F1000" s="107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2021-02-27T17:29:12Z</dcterms:created>
  <dc:creator>Microsoft Office User</dc:creator>
</cp:coreProperties>
</file>